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iangli.meng\Downloads\SWE\SWE.6\SWE.6\"/>
    </mc:Choice>
  </mc:AlternateContent>
  <bookViews>
    <workbookView xWindow="0" yWindow="0" windowWidth="24750" windowHeight="11480"/>
  </bookViews>
  <sheets>
    <sheet name="封面" sheetId="1" r:id="rId1"/>
    <sheet name="变更记录" sheetId="14" r:id="rId2"/>
    <sheet name="评审记录表" sheetId="13" r:id="rId3"/>
    <sheet name="Finding List" sheetId="11" r:id="rId4"/>
    <sheet name="SWE.6 软件测试计划评审检查单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3" l="1"/>
  <c r="G21" i="13"/>
</calcChain>
</file>

<file path=xl/comments1.xml><?xml version="1.0" encoding="utf-8"?>
<comments xmlns="http://schemas.openxmlformats.org/spreadsheetml/2006/main">
  <authors>
    <author>tc={82EC4E5C-E41D-4665-85B9-D27C9135077F}</author>
    <author>tc={C8921FEF-8ABA-4EF9-AC86-53167131213C}</author>
    <author>王亚宁 (WF/TC/ECD)</author>
    <author>tc={99474C67-A6A9-448D-B989-D2E57173B175}</author>
    <author>tc={253D7D02-9202-455C-8E38-25DE17BC2BEF}</author>
    <author>tc={469F5D77-0021-461A-B00F-2A3F711A299C}</author>
    <author>朱丽军</author>
  </authors>
  <commentList>
    <comment ref="E4" authorId="0" shapeId="0">
      <text>
        <r>
          <rPr>
            <sz val="11"/>
            <color rgb="FF000000"/>
            <rFont val="宋体"/>
            <family val="3"/>
            <charset val="134"/>
            <scheme val="minor"/>
          </rPr>
          <t>说明:
与项目进度计划中最终版文档和评审报告的实际完成日期一致</t>
        </r>
      </text>
    </comment>
    <comment ref="A5" authorId="1" shapeId="0">
      <text>
        <r>
          <rPr>
            <sz val="11"/>
            <color rgb="FF000000"/>
            <rFont val="宋体"/>
            <family val="3"/>
            <charset val="134"/>
            <scheme val="minor"/>
          </rPr>
          <t>说明:
作者的部门名，和项目成员表中的部门保持一致</t>
        </r>
      </text>
    </comment>
    <comment ref="A6" authorId="2" shapeId="0">
      <text>
        <r>
          <rPr>
            <sz val="11"/>
            <rFont val="宋体"/>
            <family val="3"/>
            <charset val="134"/>
          </rPr>
          <t>说明:
填写质量保证计划中对应的评审工作产品</t>
        </r>
      </text>
    </comment>
    <comment ref="E6" authorId="2" shapeId="0">
      <text>
        <r>
          <rPr>
            <sz val="11"/>
            <rFont val="宋体"/>
            <family val="3"/>
            <charset val="134"/>
          </rPr>
          <t>说明:
填写质量保证计划中的评审类型，走查/检查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8" authorId="2" shapeId="0">
      <text>
        <r>
          <rPr>
            <sz val="11"/>
            <rFont val="宋体"/>
            <family val="3"/>
            <charset val="134"/>
          </rPr>
          <t>说明:
被评审的文件名称</t>
        </r>
      </text>
    </comment>
    <comment ref="E8" authorId="2" shapeId="0">
      <text>
        <r>
          <rPr>
            <sz val="11"/>
            <rFont val="宋体"/>
            <family val="3"/>
            <charset val="134"/>
          </rPr>
          <t>说明:
正式评审对象的版本</t>
        </r>
      </text>
    </comment>
    <comment ref="A9" authorId="2" shapeId="0">
      <text>
        <r>
          <rPr>
            <sz val="11"/>
            <rFont val="宋体"/>
            <family val="3"/>
            <charset val="134"/>
          </rPr>
          <t>说明:
评审对象的作成时间</t>
        </r>
      </text>
    </comment>
    <comment ref="A10" authorId="3" shapeId="0">
      <text>
        <r>
          <rPr>
            <sz val="11"/>
            <color rgb="FF000000"/>
            <rFont val="宋体"/>
            <family val="3"/>
            <charset val="134"/>
            <scheme val="minor"/>
          </rPr>
          <t>说明:
参加评审人员的角色，要与项目组织成员表一致</t>
        </r>
      </text>
    </comment>
    <comment ref="D10" authorId="4" shapeId="0">
      <text>
        <r>
          <rPr>
            <sz val="11"/>
            <color rgb="FF000000"/>
            <rFont val="宋体"/>
            <family val="3"/>
            <charset val="134"/>
            <scheme val="minor"/>
          </rPr>
          <t>说明:
依据项目Dashboard_技能分析表填写</t>
        </r>
      </text>
    </comment>
    <comment ref="G10" authorId="5" shapeId="0">
      <text>
        <r>
          <rPr>
            <sz val="11"/>
            <color rgb="FF000000"/>
            <rFont val="宋体"/>
            <family val="3"/>
            <charset val="134"/>
            <scheme val="minor"/>
          </rPr>
          <t>说明:
作者和裁决者不参与预评审，用时为0</t>
        </r>
      </text>
    </comment>
    <comment ref="A21" authorId="2" shapeId="0">
      <text>
        <r>
          <rPr>
            <sz val="11"/>
            <rFont val="宋体"/>
            <family val="3"/>
            <charset val="134"/>
          </rPr>
          <t>说明:
与项目进度计划中预评审的实际完成日期一致；无如预评审，请填入「－」</t>
        </r>
      </text>
    </comment>
    <comment ref="A22" authorId="6" shapeId="0">
      <text>
        <r>
          <rPr>
            <sz val="11"/>
            <rFont val="宋体"/>
            <family val="3"/>
            <charset val="134"/>
          </rPr>
          <t>说明：
评审报告发布时间。不需要记载会议时间和会议地点,请填入「－」。</t>
        </r>
      </text>
    </comment>
    <comment ref="F22" authorId="2" shapeId="0">
      <text>
        <r>
          <rPr>
            <sz val="11"/>
            <rFont val="宋体"/>
            <family val="3"/>
            <charset val="134"/>
          </rPr>
          <t>说明：
召开时间与左侧记录时间、进度计划中实际工时保持一致</t>
        </r>
      </text>
    </comment>
    <comment ref="A24" authorId="6" shapeId="0">
      <text>
        <r>
          <rPr>
            <sz val="11"/>
            <rFont val="宋体"/>
            <family val="3"/>
            <charset val="134"/>
            <scheme val="minor"/>
          </rPr>
          <t>说明：
由判定者（单元格E2）记入判定结果（单元格E1）的理由。
QA判定明确的情况下，按照如下例子记载即可，但若有特记事项，请具体记入。
【记入例】
判定OK的记入例1：无遗留事项
判定OK的记入例2：关于遗留事项，登录到问题管理进行follow
判定NG的记入例：明确事项的follow计划，实施再评审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王亚宁 (WF/TC/ECD)</author>
  </authors>
  <commentList>
    <comment ref="F2" authorId="0" shapeId="0">
      <text>
        <r>
          <rPr>
            <b/>
            <sz val="9"/>
            <rFont val="宋体"/>
            <family val="3"/>
            <charset val="134"/>
          </rPr>
          <t>王亚宁 (WF/TC/ECD):</t>
        </r>
        <r>
          <rPr>
            <sz val="9"/>
            <rFont val="宋体"/>
            <family val="3"/>
            <charset val="134"/>
          </rPr>
          <t xml:space="preserve">
填写评审问题的具体位置，包括问题所在的文件名、所在页次、项目NO.、行NO.等。
如果对象是单一文件时，不需要填写文件名，写明提出的问题位置即可。
如果对象是excel，需要填写sheet名、单元格编号等。</t>
        </r>
      </text>
    </comment>
    <comment ref="H2" authorId="0" shapeId="0">
      <text>
        <r>
          <rPr>
            <b/>
            <sz val="9"/>
            <rFont val="宋体"/>
            <family val="3"/>
            <charset val="134"/>
          </rPr>
          <t>王亚宁 (WF/TC/ECD):</t>
        </r>
        <r>
          <rPr>
            <sz val="9"/>
            <rFont val="宋体"/>
            <family val="3"/>
            <charset val="134"/>
          </rPr>
          <t xml:space="preserve">
分析时填入预计的解决期限；有具体对策后填入解决日期。
※需要复写的地方，如果需要留下履历，使用删除线划掉原有内容，重新填写新的内容。</t>
        </r>
      </text>
    </comment>
    <comment ref="I2" authorId="0" shapeId="0">
      <text>
        <r>
          <rPr>
            <b/>
            <sz val="9"/>
            <rFont val="宋体"/>
            <family val="3"/>
            <charset val="134"/>
          </rPr>
          <t>王亚宁 (WF/TC/ECD):</t>
        </r>
        <r>
          <rPr>
            <sz val="9"/>
            <rFont val="宋体"/>
            <family val="3"/>
            <charset val="134"/>
          </rPr>
          <t xml:space="preserve">
分析时填入初定解决人（临时负责人也可以）；有具体对策后记入实际的解决人。
※需要复写的地方，如果需要留下履历，使用删除线划掉原有内容，重新填写新的内容。</t>
        </r>
      </text>
    </comment>
    <comment ref="K2" authorId="0" shapeId="0">
      <text>
        <r>
          <rPr>
            <b/>
            <sz val="9"/>
            <rFont val="宋体"/>
            <family val="3"/>
            <charset val="134"/>
          </rPr>
          <t>王亚宁 (WF/TC/ECD):</t>
        </r>
        <r>
          <rPr>
            <sz val="9"/>
            <rFont val="宋体"/>
            <family val="3"/>
            <charset val="134"/>
          </rPr>
          <t xml:space="preserve">
通常确认人是提出人。紧急时，可以填提出人的Leader。</t>
        </r>
      </text>
    </comment>
  </commentList>
</comments>
</file>

<file path=xl/comments3.xml><?xml version="1.0" encoding="utf-8"?>
<comments xmlns="http://schemas.openxmlformats.org/spreadsheetml/2006/main">
  <authors>
    <author>王亚宁 (WF/TC/ECD)</author>
  </authors>
  <commentList>
    <comment ref="D3" authorId="0" shapeId="0">
      <text>
        <r>
          <rPr>
            <sz val="11"/>
            <rFont val="宋体"/>
            <family val="3"/>
            <charset val="134"/>
          </rPr>
          <t>说明:
存在NC的条目，填写对应的Finding ID；判断为NA的条目，填写不适用理由</t>
        </r>
      </text>
    </comment>
  </commentList>
</comments>
</file>

<file path=xl/sharedStrings.xml><?xml version="1.0" encoding="utf-8"?>
<sst xmlns="http://schemas.openxmlformats.org/spreadsheetml/2006/main" count="132" uniqueCount="120">
  <si>
    <t>评审报告</t>
  </si>
  <si>
    <t>模板编号/版本</t>
  </si>
  <si>
    <t>SWE6_TEM_05</t>
  </si>
  <si>
    <t>项目编号</t>
  </si>
  <si>
    <t>文档版本</t>
  </si>
  <si>
    <t>V1.0</t>
  </si>
  <si>
    <t>发布日期</t>
  </si>
  <si>
    <t>页次</t>
  </si>
  <si>
    <t>1/5</t>
  </si>
  <si>
    <r>
      <rPr>
        <b/>
        <sz val="22"/>
        <rFont val="Arial"/>
        <family val="2"/>
      </rPr>
      <t>XXX_</t>
    </r>
    <r>
      <rPr>
        <b/>
        <sz val="22"/>
        <rFont val="宋体"/>
        <family val="3"/>
        <charset val="134"/>
        <scheme val="minor"/>
      </rPr>
      <t xml:space="preserve">
软件测试计划评审报告</t>
    </r>
  </si>
  <si>
    <t xml:space="preserve">  
  </t>
  </si>
  <si>
    <t>编制</t>
  </si>
  <si>
    <t>审核</t>
  </si>
  <si>
    <t>批准</t>
  </si>
  <si>
    <t>角色</t>
  </si>
  <si>
    <t>日期</t>
  </si>
  <si>
    <t>发行部门：</t>
  </si>
  <si>
    <t>技术研究院</t>
  </si>
  <si>
    <t>保密等级：</t>
  </si>
  <si>
    <t>评审记录表</t>
  </si>
  <si>
    <t>项目名/系统名</t>
  </si>
  <si>
    <t>部门名</t>
  </si>
  <si>
    <t>作者</t>
  </si>
  <si>
    <t>评审类型</t>
  </si>
  <si>
    <t>软件测试计划</t>
  </si>
  <si>
    <t>评审形式</t>
  </si>
  <si>
    <t>功能名</t>
  </si>
  <si>
    <t>NA</t>
  </si>
  <si>
    <t>组件名</t>
  </si>
  <si>
    <t>评审对象</t>
  </si>
  <si>
    <t>版本</t>
  </si>
  <si>
    <t>作成时间</t>
  </si>
  <si>
    <t>评审对象工件数</t>
  </si>
  <si>
    <t>参加者</t>
  </si>
  <si>
    <t>姓名（全名）</t>
  </si>
  <si>
    <t>技能等级</t>
  </si>
  <si>
    <t>参加者角色</t>
  </si>
  <si>
    <t>评审会议
参加状况</t>
  </si>
  <si>
    <t>预评审作业用时（H）</t>
  </si>
  <si>
    <t>1项目经理</t>
  </si>
  <si>
    <t>1:出席</t>
  </si>
  <si>
    <t>2项目总监</t>
  </si>
  <si>
    <t>裁决者</t>
  </si>
  <si>
    <t>3QA</t>
  </si>
  <si>
    <t>QA</t>
  </si>
  <si>
    <t>预评审期间</t>
  </si>
  <si>
    <t>(yyyy/mm/dd - yyyy/mm/dd)</t>
  </si>
  <si>
    <t>预评审作业用时合计</t>
  </si>
  <si>
    <t>评审会议时间</t>
  </si>
  <si>
    <t>(yyyy/mm/dd)</t>
  </si>
  <si>
    <t>start time - end time</t>
  </si>
  <si>
    <t>评审会议召开时间[H]</t>
  </si>
  <si>
    <t>评审会议地点</t>
  </si>
  <si>
    <t>评审会议参加人数</t>
  </si>
  <si>
    <t>QA判定</t>
  </si>
  <si>
    <t>再评审的预定</t>
  </si>
  <si>
    <t>不要</t>
  </si>
  <si>
    <r>
      <rPr>
        <sz val="11"/>
        <rFont val="宋体"/>
        <family val="3"/>
        <charset val="134"/>
      </rPr>
      <t>（需要再评审时，记载预定召开时间日期</t>
    </r>
    <r>
      <rPr>
        <sz val="11"/>
        <rFont val="MS Gothic"/>
        <family val="3"/>
        <charset val="128"/>
      </rPr>
      <t>・</t>
    </r>
    <r>
      <rPr>
        <sz val="11"/>
        <rFont val="宋体"/>
        <family val="3"/>
        <charset val="134"/>
      </rPr>
      <t>场所，或召开期限等）</t>
    </r>
  </si>
  <si>
    <t>特殊事项</t>
  </si>
  <si>
    <r>
      <rPr>
        <b/>
        <sz val="16"/>
        <rFont val="宋体"/>
        <family val="3"/>
        <charset val="134"/>
      </rPr>
      <t xml:space="preserve">评审问题记录表
</t>
    </r>
    <r>
      <rPr>
        <b/>
        <sz val="16"/>
        <rFont val="Arial"/>
        <family val="2"/>
      </rPr>
      <t>Finding list</t>
    </r>
  </si>
  <si>
    <t>NO.</t>
  </si>
  <si>
    <r>
      <rPr>
        <sz val="11"/>
        <color theme="0"/>
        <rFont val="宋体"/>
        <family val="3"/>
        <charset val="134"/>
      </rPr>
      <t xml:space="preserve">状态
</t>
    </r>
    <r>
      <rPr>
        <sz val="11"/>
        <color theme="0"/>
        <rFont val="Arial"/>
        <family val="2"/>
      </rPr>
      <t>Status</t>
    </r>
  </si>
  <si>
    <r>
      <rPr>
        <sz val="11"/>
        <color theme="0"/>
        <rFont val="宋体"/>
        <family val="3"/>
        <charset val="134"/>
      </rPr>
      <t xml:space="preserve">提出日期
</t>
    </r>
    <r>
      <rPr>
        <sz val="11"/>
        <color theme="0"/>
        <rFont val="Arial"/>
        <family val="2"/>
      </rPr>
      <t>(yyyy/m/d)</t>
    </r>
  </si>
  <si>
    <r>
      <rPr>
        <sz val="11"/>
        <color theme="0"/>
        <rFont val="宋体"/>
        <family val="3"/>
        <charset val="134"/>
      </rPr>
      <t>提出部门</t>
    </r>
  </si>
  <si>
    <t>提出人</t>
  </si>
  <si>
    <r>
      <rPr>
        <sz val="11"/>
        <color theme="0"/>
        <rFont val="宋体"/>
        <family val="3"/>
        <charset val="134"/>
      </rPr>
      <t>提出位置
（文件名、页次、项目</t>
    </r>
    <r>
      <rPr>
        <sz val="11"/>
        <color theme="0"/>
        <rFont val="Arial"/>
        <family val="2"/>
      </rPr>
      <t>NO</t>
    </r>
    <r>
      <rPr>
        <sz val="11"/>
        <color theme="0"/>
        <rFont val="宋体"/>
        <family val="3"/>
        <charset val="134"/>
      </rPr>
      <t>、行</t>
    </r>
    <r>
      <rPr>
        <sz val="11"/>
        <color theme="0"/>
        <rFont val="Arial"/>
        <family val="2"/>
      </rPr>
      <t>NO.</t>
    </r>
    <r>
      <rPr>
        <sz val="11"/>
        <color theme="0"/>
        <rFont val="宋体"/>
        <family val="3"/>
        <charset val="134"/>
      </rPr>
      <t>等）</t>
    </r>
  </si>
  <si>
    <r>
      <rPr>
        <sz val="11"/>
        <color theme="0"/>
        <rFont val="宋体"/>
        <family val="3"/>
        <charset val="134"/>
      </rPr>
      <t>提出内容</t>
    </r>
  </si>
  <si>
    <r>
      <rPr>
        <sz val="11"/>
        <color theme="0"/>
        <rFont val="宋体"/>
        <family val="3"/>
        <charset val="134"/>
      </rPr>
      <t>解决期限</t>
    </r>
    <r>
      <rPr>
        <sz val="11"/>
        <color theme="0"/>
        <rFont val="Arial"/>
        <family val="2"/>
      </rPr>
      <t xml:space="preserve">
</t>
    </r>
    <r>
      <rPr>
        <sz val="11"/>
        <color theme="0"/>
        <rFont val="宋体"/>
        <family val="3"/>
        <charset val="134"/>
      </rPr>
      <t xml:space="preserve">解决日期
</t>
    </r>
    <r>
      <rPr>
        <sz val="11"/>
        <color theme="0"/>
        <rFont val="Arial"/>
        <family val="2"/>
      </rPr>
      <t>(yyyy/m/d)</t>
    </r>
  </si>
  <si>
    <r>
      <rPr>
        <sz val="11"/>
        <color theme="0"/>
        <rFont val="宋体"/>
        <family val="3"/>
        <charset val="134"/>
      </rPr>
      <t>初定解决人</t>
    </r>
    <r>
      <rPr>
        <sz val="11"/>
        <color theme="0"/>
        <rFont val="Arial"/>
        <family val="2"/>
      </rPr>
      <t xml:space="preserve">
</t>
    </r>
    <r>
      <rPr>
        <sz val="11"/>
        <color theme="0"/>
        <rFont val="宋体"/>
        <family val="3"/>
        <charset val="134"/>
      </rPr>
      <t>解决人</t>
    </r>
  </si>
  <si>
    <r>
      <rPr>
        <sz val="11"/>
        <color theme="0"/>
        <rFont val="宋体"/>
        <family val="3"/>
        <charset val="134"/>
      </rPr>
      <t>对策内容</t>
    </r>
  </si>
  <si>
    <t>确认人</t>
  </si>
  <si>
    <r>
      <rPr>
        <sz val="10.5"/>
        <color theme="0"/>
        <rFont val="宋体"/>
        <family val="3"/>
        <charset val="134"/>
      </rPr>
      <t xml:space="preserve">确认日期
</t>
    </r>
    <r>
      <rPr>
        <sz val="10.5"/>
        <color theme="0"/>
        <rFont val="Arial"/>
        <family val="2"/>
      </rPr>
      <t>(yyyy/m/d)</t>
    </r>
  </si>
  <si>
    <r>
      <rPr>
        <sz val="11"/>
        <color theme="0"/>
        <rFont val="宋体"/>
        <family val="3"/>
        <charset val="134"/>
      </rPr>
      <t>备注</t>
    </r>
  </si>
  <si>
    <r>
      <rPr>
        <sz val="11"/>
        <color theme="0"/>
        <rFont val="宋体"/>
        <family val="3"/>
        <charset val="134"/>
      </rPr>
      <t>发生要因</t>
    </r>
  </si>
  <si>
    <r>
      <rPr>
        <b/>
        <sz val="16"/>
        <color theme="1"/>
        <rFont val="Times New Roman"/>
        <family val="1"/>
      </rPr>
      <t xml:space="preserve">SWE.6 </t>
    </r>
    <r>
      <rPr>
        <b/>
        <sz val="16"/>
        <color theme="1"/>
        <rFont val="宋体"/>
        <family val="3"/>
        <charset val="134"/>
      </rPr>
      <t>软件合格性测试用例评审检查单</t>
    </r>
    <r>
      <rPr>
        <b/>
        <sz val="16"/>
        <color theme="1"/>
        <rFont val="Times New Roman"/>
        <family val="1"/>
      </rPr>
      <t xml:space="preserve">
SWE.6 Software Test Plan Checklist</t>
    </r>
  </si>
  <si>
    <r>
      <rPr>
        <b/>
        <sz val="10"/>
        <rFont val="宋体"/>
        <family val="3"/>
        <charset val="134"/>
      </rPr>
      <t xml:space="preserve">编号
</t>
    </r>
    <r>
      <rPr>
        <b/>
        <sz val="10"/>
        <rFont val="Times New Roman"/>
        <family val="1"/>
      </rPr>
      <t>NO.</t>
    </r>
  </si>
  <si>
    <r>
      <rPr>
        <b/>
        <sz val="10"/>
        <rFont val="宋体"/>
        <family val="3"/>
        <charset val="134"/>
      </rPr>
      <t>检查项</t>
    </r>
    <r>
      <rPr>
        <b/>
        <sz val="10"/>
        <rFont val="Times New Roman"/>
        <family val="1"/>
      </rPr>
      <t xml:space="preserve">
Check Item</t>
    </r>
  </si>
  <si>
    <r>
      <rPr>
        <b/>
        <sz val="10"/>
        <rFont val="宋体"/>
        <family val="3"/>
        <charset val="134"/>
      </rPr>
      <t xml:space="preserve">检查结果
</t>
    </r>
    <r>
      <rPr>
        <b/>
        <sz val="10"/>
        <rFont val="Times New Roman"/>
        <family val="1"/>
      </rPr>
      <t>Check Result</t>
    </r>
  </si>
  <si>
    <r>
      <rPr>
        <b/>
        <sz val="10"/>
        <rFont val="宋体"/>
        <family val="3"/>
        <charset val="134"/>
      </rPr>
      <t xml:space="preserve">检查结果（修改后）
</t>
    </r>
    <r>
      <rPr>
        <b/>
        <sz val="10"/>
        <rFont val="Times New Roman"/>
        <family val="1"/>
      </rPr>
      <t>Check Result</t>
    </r>
  </si>
  <si>
    <r>
      <rPr>
        <b/>
        <sz val="10"/>
        <rFont val="宋体"/>
        <family val="3"/>
        <charset val="134"/>
      </rPr>
      <t xml:space="preserve">日期
</t>
    </r>
    <r>
      <rPr>
        <b/>
        <i/>
        <sz val="10"/>
        <color rgb="FF0000FF"/>
        <rFont val="宋体"/>
        <family val="3"/>
        <charset val="134"/>
      </rPr>
      <t>yyyy/mm/dd</t>
    </r>
  </si>
  <si>
    <r>
      <rPr>
        <b/>
        <sz val="10"/>
        <rFont val="宋体"/>
        <family val="3"/>
        <charset val="134"/>
      </rPr>
      <t>说明</t>
    </r>
    <r>
      <rPr>
        <b/>
        <sz val="10"/>
        <rFont val="Times New Roman"/>
        <family val="1"/>
      </rPr>
      <t xml:space="preserve">
Comment</t>
    </r>
  </si>
  <si>
    <t>通用基础与策略评审General Basis &amp; Strategy Review</t>
  </si>
  <si>
    <r>
      <rPr>
        <sz val="10"/>
        <rFont val="Times New Roman"/>
        <family val="1"/>
      </rPr>
      <t xml:space="preserve">Does the plan clearly define the scope of testing (including which modules/functions) and what is out of scope?
</t>
    </r>
    <r>
      <rPr>
        <sz val="10"/>
        <rFont val="宋体"/>
        <family val="3"/>
        <charset val="134"/>
      </rPr>
      <t>计划是否明确界定了本次测试的范围（包括哪些模块、功能）以及不包含的内容？</t>
    </r>
  </si>
  <si>
    <r>
      <rPr>
        <sz val="10"/>
        <rFont val="Times New Roman"/>
        <family val="1"/>
      </rPr>
      <t xml:space="preserve">Does the plan clearly distinguish the hierarchy between Unit Test (SWE.4), Integration Test (SWE.5), and Qualification Test (SWE.6)?
</t>
    </r>
    <r>
      <rPr>
        <sz val="10"/>
        <rFont val="宋体"/>
        <family val="3"/>
        <charset val="134"/>
      </rPr>
      <t>计划是否清晰区分了单元测试</t>
    </r>
    <r>
      <rPr>
        <sz val="10"/>
        <rFont val="Times New Roman"/>
        <family val="1"/>
      </rPr>
      <t>(SWE.4)</t>
    </r>
    <r>
      <rPr>
        <sz val="10"/>
        <rFont val="宋体"/>
        <family val="3"/>
        <charset val="134"/>
      </rPr>
      <t>、集成测试</t>
    </r>
    <r>
      <rPr>
        <sz val="10"/>
        <rFont val="Times New Roman"/>
        <family val="1"/>
      </rPr>
      <t>(SWE.5)</t>
    </r>
    <r>
      <rPr>
        <sz val="10"/>
        <rFont val="宋体"/>
        <family val="3"/>
        <charset val="134"/>
      </rPr>
      <t>和合格性测试</t>
    </r>
    <r>
      <rPr>
        <sz val="10"/>
        <rFont val="Times New Roman"/>
        <family val="1"/>
      </rPr>
      <t>(SWE.6)</t>
    </r>
    <r>
      <rPr>
        <sz val="10"/>
        <rFont val="宋体"/>
        <family val="3"/>
        <charset val="134"/>
      </rPr>
      <t>的层级关系？</t>
    </r>
  </si>
  <si>
    <r>
      <rPr>
        <sz val="10"/>
        <rFont val="Times New Roman"/>
        <family val="1"/>
      </rPr>
      <t xml:space="preserve">Are clear Entry Criteria and Exit Criteria defined for each test phase?
</t>
    </r>
    <r>
      <rPr>
        <sz val="10"/>
        <rFont val="宋体"/>
        <family val="3"/>
        <charset val="134"/>
      </rPr>
      <t>是否为每个测试阶段定义了明确的准入条件（</t>
    </r>
    <r>
      <rPr>
        <sz val="10"/>
        <rFont val="Times New Roman"/>
        <family val="1"/>
      </rPr>
      <t>Entry Criteria</t>
    </r>
    <r>
      <rPr>
        <sz val="10"/>
        <rFont val="宋体"/>
        <family val="3"/>
        <charset val="134"/>
      </rPr>
      <t>）和准出条件（</t>
    </r>
    <r>
      <rPr>
        <sz val="10"/>
        <rFont val="Times New Roman"/>
        <family val="1"/>
      </rPr>
      <t>Exit Criteria</t>
    </r>
    <r>
      <rPr>
        <sz val="10"/>
        <rFont val="宋体"/>
        <family val="3"/>
        <charset val="134"/>
      </rPr>
      <t>）</t>
    </r>
  </si>
  <si>
    <r>
      <rPr>
        <sz val="10"/>
        <rFont val="Times New Roman"/>
        <family val="1"/>
      </rPr>
      <t xml:space="preserve">Is a regression test selection strategy defined when software changes or defects are fixed (e.g., impact analysis driven or full regression)?
</t>
    </r>
    <r>
      <rPr>
        <sz val="10"/>
        <rFont val="宋体"/>
        <family val="3"/>
        <charset val="134"/>
      </rPr>
      <t>当软件发生变更或缺陷修复时，是否定义了回归测试的选择策略（如：影响分析驱动或全量回归）？</t>
    </r>
  </si>
  <si>
    <t>SWE.4 软件单元验证 SWE.4 Software Unit Verification</t>
  </si>
  <si>
    <r>
      <rPr>
        <sz val="10"/>
        <rFont val="Times New Roman"/>
        <family val="1"/>
      </rPr>
      <t xml:space="preserve">Does the plan specify the static analysis tools and rule sets to be used (e.g., MISRA C:2012, CERT C)?
</t>
    </r>
    <r>
      <rPr>
        <sz val="10"/>
        <rFont val="宋体"/>
        <family val="3"/>
        <charset val="134"/>
      </rPr>
      <t>计划是否指定了使用的静态分析工具及规则集（如</t>
    </r>
    <r>
      <rPr>
        <sz val="10"/>
        <rFont val="Times New Roman"/>
        <family val="1"/>
      </rPr>
      <t xml:space="preserve"> MISRA C:2012, CERT C</t>
    </r>
    <r>
      <rPr>
        <sz val="10"/>
        <rFont val="宋体"/>
        <family val="3"/>
        <charset val="134"/>
      </rPr>
      <t>）？</t>
    </r>
  </si>
  <si>
    <r>
      <rPr>
        <sz val="10"/>
        <rFont val="Times New Roman"/>
        <family val="1"/>
      </rPr>
      <t xml:space="preserve">Are test methods based on detailed design planned (e.g., Equivalence Partitioning, Boundary Value Analysis)?
</t>
    </r>
    <r>
      <rPr>
        <sz val="10"/>
        <rFont val="宋体"/>
        <family val="3"/>
        <charset val="134"/>
      </rPr>
      <t>是否规划了基于详细设计的测试方法（如等价类划分、边界值分析）？</t>
    </r>
  </si>
  <si>
    <r>
      <rPr>
        <sz val="10"/>
        <rFont val="Times New Roman"/>
        <family val="1"/>
      </rPr>
      <t xml:space="preserve">Are specific code coverage targets set according to the ASIL level (Statement Coverage, Branch Coverage, MC/DC)?
</t>
    </r>
    <r>
      <rPr>
        <sz val="10"/>
        <rFont val="宋体"/>
        <family val="3"/>
        <charset val="134"/>
      </rPr>
      <t>是否根据</t>
    </r>
    <r>
      <rPr>
        <sz val="10"/>
        <rFont val="Times New Roman"/>
        <family val="1"/>
      </rPr>
      <t xml:space="preserve"> ASIL </t>
    </r>
    <r>
      <rPr>
        <sz val="10"/>
        <rFont val="宋体"/>
        <family val="3"/>
        <charset val="134"/>
      </rPr>
      <t>等级设定了具体的代码覆盖率目标（语句覆盖、分支覆盖、</t>
    </r>
    <r>
      <rPr>
        <sz val="10"/>
        <rFont val="Times New Roman"/>
        <family val="1"/>
      </rPr>
      <t>MC/DC</t>
    </r>
    <r>
      <rPr>
        <sz val="10"/>
        <rFont val="宋体"/>
        <family val="3"/>
        <charset val="134"/>
      </rPr>
      <t>）？</t>
    </r>
  </si>
  <si>
    <r>
      <rPr>
        <sz val="10"/>
        <rFont val="Times New Roman"/>
        <family val="1"/>
      </rPr>
      <t xml:space="preserve">For units that cannot run in the target environment, is the development strategy for Stubs and Drivers planned?
</t>
    </r>
    <r>
      <rPr>
        <sz val="10"/>
        <rFont val="宋体"/>
        <family val="3"/>
        <charset val="134"/>
      </rPr>
      <t>对于无法在目标环境运行的单元，是否规划了桩模块（</t>
    </r>
    <r>
      <rPr>
        <sz val="10"/>
        <rFont val="Times New Roman"/>
        <family val="1"/>
      </rPr>
      <t>Stubs</t>
    </r>
    <r>
      <rPr>
        <sz val="10"/>
        <rFont val="宋体"/>
        <family val="3"/>
        <charset val="134"/>
      </rPr>
      <t>）和驱动模块（</t>
    </r>
    <r>
      <rPr>
        <sz val="10"/>
        <rFont val="Times New Roman"/>
        <family val="1"/>
      </rPr>
      <t>Drivers</t>
    </r>
    <r>
      <rPr>
        <sz val="10"/>
        <rFont val="宋体"/>
        <family val="3"/>
        <charset val="134"/>
      </rPr>
      <t>）的开发策略？</t>
    </r>
  </si>
  <si>
    <t>3</t>
  </si>
  <si>
    <t>SWE.5 软件集成和集成测试 SWE.5 Software Integration and Integration Test</t>
  </si>
  <si>
    <r>
      <rPr>
        <sz val="10"/>
        <rFont val="Times New Roman"/>
        <family val="1"/>
      </rPr>
      <t xml:space="preserve">Does the plan define the steps and sequence of integration (e.g., Bottom-up, Top-down, Big Bang)? Is this consistent with the Software Architecture Design?
</t>
    </r>
    <r>
      <rPr>
        <sz val="10"/>
        <rFont val="宋体"/>
        <family val="3"/>
        <charset val="134"/>
      </rPr>
      <t>计划是否定义了集成的步骤和顺序（如自底向上、自顶向下、大爆炸式）？这是否与软件架构设计一致？</t>
    </r>
  </si>
  <si>
    <r>
      <rPr>
        <sz val="10"/>
        <rFont val="Times New Roman"/>
        <family val="1"/>
      </rPr>
      <t xml:space="preserve">Is the focus on testing interfaces between components (data flow, control flow, global data structures) clearly planned?
</t>
    </r>
    <r>
      <rPr>
        <sz val="10"/>
        <rFont val="宋体"/>
        <family val="3"/>
        <charset val="134"/>
      </rPr>
      <t>是否明确规划了对组件间接口（数据流、控制流、全局数据结构）的测试重点？</t>
    </r>
  </si>
  <si>
    <r>
      <rPr>
        <sz val="10"/>
        <rFont val="Times New Roman"/>
        <family val="1"/>
      </rPr>
      <t xml:space="preserve">If integration involves hardware interaction, does the plan include arrangements for Hardware-Software Interface (HSI) verification?
</t>
    </r>
    <r>
      <rPr>
        <sz val="10"/>
        <rFont val="宋体"/>
        <family val="3"/>
        <charset val="134"/>
      </rPr>
      <t>如果集成涉及硬件交互，计划中是否包含了软硬件接口（</t>
    </r>
    <r>
      <rPr>
        <sz val="10"/>
        <rFont val="Times New Roman"/>
        <family val="1"/>
      </rPr>
      <t>HSI</t>
    </r>
    <r>
      <rPr>
        <sz val="10"/>
        <rFont val="宋体"/>
        <family val="3"/>
        <charset val="134"/>
      </rPr>
      <t>）的验证安排？</t>
    </r>
  </si>
  <si>
    <r>
      <rPr>
        <sz val="10"/>
        <rFont val="Times New Roman"/>
        <family val="1"/>
      </rPr>
      <t xml:space="preserve">Are the simulators, virtualization environments, or specific hardware configurations required for integration testing clearly identified?
</t>
    </r>
    <r>
      <rPr>
        <sz val="10"/>
        <rFont val="宋体"/>
        <family val="3"/>
        <charset val="134"/>
      </rPr>
      <t>是否明确了集成测试所需的模拟器、虚拟化环境或特定的硬件配置？</t>
    </r>
  </si>
  <si>
    <t>4</t>
  </si>
  <si>
    <t>SWE.6 软件合格性验证 SWE.6 Software Qualification Test Plan</t>
  </si>
  <si>
    <r>
      <rPr>
        <sz val="10"/>
        <color rgb="FF333333"/>
        <rFont val="Times New Roman"/>
        <family val="1"/>
      </rPr>
      <t xml:space="preserve">Does the plan ensure that every software requirement (SRS) has at least one corresponding test case? (Bi-directional traceability planning)
</t>
    </r>
    <r>
      <rPr>
        <sz val="10"/>
        <color rgb="FF333333"/>
        <rFont val="宋体"/>
        <family val="3"/>
        <charset val="134"/>
      </rPr>
      <t>计划是否确保每个软件需求（</t>
    </r>
    <r>
      <rPr>
        <sz val="10"/>
        <color rgb="FF333333"/>
        <rFont val="Times New Roman"/>
        <family val="1"/>
      </rPr>
      <t>SRS</t>
    </r>
    <r>
      <rPr>
        <sz val="10"/>
        <color rgb="FF333333"/>
        <rFont val="宋体"/>
        <family val="3"/>
        <charset val="134"/>
      </rPr>
      <t>）至少有一个对应的测试用例？（双向追溯规划）</t>
    </r>
  </si>
  <si>
    <r>
      <rPr>
        <sz val="10"/>
        <rFont val="Times New Roman"/>
        <family val="1"/>
      </rPr>
      <t xml:space="preserve">Does the plan emphasize the use of black-box testing techniques (independent of internal code structure) to verify functionality?
</t>
    </r>
    <r>
      <rPr>
        <sz val="10"/>
        <rFont val="宋体"/>
        <family val="3"/>
        <charset val="134"/>
      </rPr>
      <t>计划是否强调使用黑盒测试技术（不依赖内部代码结构）来验证功能？</t>
    </r>
  </si>
  <si>
    <r>
      <rPr>
        <sz val="10"/>
        <rFont val="Times New Roman"/>
        <family val="1"/>
      </rPr>
      <t xml:space="preserve">Does the plan include arrangements for testing non-functional requirements such as performance, resource consumption, and safety?
</t>
    </r>
    <r>
      <rPr>
        <sz val="10"/>
        <rFont val="宋体"/>
        <family val="3"/>
        <charset val="134"/>
      </rPr>
      <t>计划是否包含了对性能、资源消耗、安全性等非功能性需求的测试安排？</t>
    </r>
  </si>
  <si>
    <r>
      <rPr>
        <sz val="10"/>
        <color rgb="FF333333"/>
        <rFont val="Times New Roman"/>
        <family val="1"/>
      </rPr>
      <t xml:space="preserve">Is the generation and management method for the large amount of test data required for qualification testing planned?
</t>
    </r>
    <r>
      <rPr>
        <sz val="10"/>
        <color rgb="FF333333"/>
        <rFont val="宋体"/>
        <family val="3"/>
        <charset val="134"/>
      </rPr>
      <t>是否规划了合格性测试所需的大量测试数据的生成和管理方式？</t>
    </r>
  </si>
  <si>
    <t>5</t>
  </si>
  <si>
    <t>资源和发布 Resources &amp; Deliverables</t>
  </si>
  <si>
    <r>
      <rPr>
        <sz val="10"/>
        <rFont val="Times New Roman"/>
        <family val="1"/>
      </rPr>
      <t xml:space="preserve">Are all required test tools (compilers, debuggers, automation frameworks) listed, and are their versions and qualifications confirmed?
</t>
    </r>
    <r>
      <rPr>
        <sz val="10"/>
        <rFont val="宋体"/>
        <family val="3"/>
        <charset val="134"/>
      </rPr>
      <t>是否列出了所有需要的测试工具（编译器、调试器、自动化测试框架），并确认其版本和资格（</t>
    </r>
    <r>
      <rPr>
        <sz val="10"/>
        <rFont val="Times New Roman"/>
        <family val="1"/>
      </rPr>
      <t>Tool Qualification</t>
    </r>
    <r>
      <rPr>
        <sz val="10"/>
        <rFont val="宋体"/>
        <family val="3"/>
        <charset val="134"/>
      </rPr>
      <t>）？</t>
    </r>
  </si>
  <si>
    <r>
      <rPr>
        <sz val="10"/>
        <rFont val="Times New Roman"/>
        <family val="1"/>
      </rPr>
      <t xml:space="preserve">Is the schedule for test activities realistic and synchronized with the project development plan?
</t>
    </r>
    <r>
      <rPr>
        <sz val="10"/>
        <rFont val="宋体"/>
        <family val="3"/>
        <charset val="134"/>
      </rPr>
      <t>测试活动的时间表是否现实，并与项目开发计划同步？</t>
    </r>
  </si>
  <si>
    <r>
      <rPr>
        <sz val="10"/>
        <rFont val="Times New Roman"/>
        <family val="1"/>
      </rPr>
      <t xml:space="preserve">Is the process for recording, prioritizing, assigning, and verifying fixes for bugs found during testing defined?
</t>
    </r>
    <r>
      <rPr>
        <sz val="10"/>
        <rFont val="宋体"/>
        <family val="3"/>
        <charset val="134"/>
      </rPr>
      <t>是否定义了测试中发现的</t>
    </r>
    <r>
      <rPr>
        <sz val="10"/>
        <rFont val="Times New Roman"/>
        <family val="1"/>
      </rPr>
      <t xml:space="preserve"> Bug </t>
    </r>
    <r>
      <rPr>
        <sz val="10"/>
        <rFont val="宋体"/>
        <family val="3"/>
        <charset val="134"/>
      </rPr>
      <t>的记录、分级、分配和修复验证流程？</t>
    </r>
  </si>
  <si>
    <t>变更及审批记录</t>
    <phoneticPr fontId="55" type="noConversion"/>
  </si>
  <si>
    <t>文档版本</t>
    <phoneticPr fontId="52" type="noConversion"/>
  </si>
  <si>
    <t>修订日期</t>
    <phoneticPr fontId="52" type="noConversion"/>
  </si>
  <si>
    <t>修改内容</t>
    <phoneticPr fontId="52" type="noConversion"/>
  </si>
  <si>
    <t>修订</t>
    <phoneticPr fontId="52" type="noConversion"/>
  </si>
  <si>
    <t>V0.01</t>
    <phoneticPr fontId="55" type="noConversion"/>
  </si>
  <si>
    <t>初始草稿版本</t>
    <phoneticPr fontId="55" type="noConversion"/>
  </si>
  <si>
    <r>
      <rPr>
        <sz val="11"/>
        <color rgb="FF000000"/>
        <rFont val="宋体"/>
        <family val="3"/>
        <charset val="134"/>
      </rPr>
      <t>王君亦</t>
    </r>
    <r>
      <rPr>
        <sz val="11"/>
        <color rgb="FF000000"/>
        <rFont val="Arial"/>
        <family val="2"/>
      </rPr>
      <t>(WFSS/TEC)</t>
    </r>
    <phoneticPr fontId="55" type="noConversion"/>
  </si>
  <si>
    <t>V1.0</t>
    <phoneticPr fontId="52" type="noConversion"/>
  </si>
  <si>
    <r>
      <t>ELM</t>
    </r>
    <r>
      <rPr>
        <sz val="11"/>
        <color theme="1"/>
        <rFont val="宋体"/>
        <family val="3"/>
        <charset val="134"/>
      </rPr>
      <t>中发布</t>
    </r>
    <phoneticPr fontId="52" type="noConversion"/>
  </si>
  <si>
    <r>
      <rPr>
        <sz val="11"/>
        <color rgb="FF000000"/>
        <rFont val="宋体"/>
        <family val="3"/>
        <charset val="134"/>
      </rPr>
      <t>王君亦</t>
    </r>
    <r>
      <rPr>
        <sz val="11"/>
        <color rgb="FF000000"/>
        <rFont val="Arial"/>
        <family val="2"/>
      </rPr>
      <t>(WFSS/TEC)</t>
    </r>
    <phoneticPr fontId="55" type="noConversion"/>
  </si>
  <si>
    <t>王永强
张晓峰</t>
    <phoneticPr fontId="5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</si>
</sst>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\ &quot;H&quot;"/>
    <numFmt numFmtId="177" formatCode="#\ &quot;h&quot;"/>
    <numFmt numFmtId="178" formatCode="yyyy/m/d;@"/>
    <numFmt numFmtId="179" formatCode="#\ &quot;人&quot;"/>
  </numFmts>
  <fonts count="56">
    <font>
      <sz val="11"/>
      <color rgb="FF000000"/>
      <name val="Arial"/>
      <charset val="204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2"/>
      <color theme="1"/>
      <name val="Times New Roman"/>
      <family val="1"/>
    </font>
    <font>
      <sz val="11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rgb="FF333333"/>
      <name val="Times New Roman"/>
      <family val="1"/>
    </font>
    <font>
      <sz val="10.5"/>
      <color theme="1"/>
      <name val="Arial"/>
      <family val="2"/>
    </font>
    <font>
      <b/>
      <sz val="16"/>
      <name val="Arial"/>
      <family val="2"/>
    </font>
    <font>
      <sz val="11"/>
      <color theme="0"/>
      <name val="Arial"/>
      <family val="2"/>
    </font>
    <font>
      <sz val="11"/>
      <color theme="0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  <scheme val="minor"/>
    </font>
    <font>
      <b/>
      <sz val="16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Arial"/>
      <family val="2"/>
    </font>
    <font>
      <b/>
      <sz val="22"/>
      <name val="宋体"/>
      <family val="3"/>
      <charset val="134"/>
      <scheme val="minor"/>
    </font>
    <font>
      <sz val="12"/>
      <name val="Times New Roman"/>
      <family val="1"/>
    </font>
    <font>
      <sz val="11"/>
      <color rgb="FF000000"/>
      <name val="Arial"/>
      <family val="2"/>
    </font>
    <font>
      <sz val="10.5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0.5"/>
      <color rgb="FF000000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Arial"/>
      <family val="2"/>
    </font>
    <font>
      <sz val="10.5"/>
      <name val="Arial"/>
      <family val="2"/>
    </font>
    <font>
      <sz val="12"/>
      <color rgb="FF000000"/>
      <name val="宋体"/>
      <family val="3"/>
      <charset val="134"/>
      <scheme val="minor"/>
    </font>
    <font>
      <sz val="11"/>
      <name val="ＭＳ Ｐゴシック"/>
      <charset val="128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1"/>
      <name val="MS Gothic"/>
      <family val="3"/>
      <charset val="128"/>
    </font>
    <font>
      <b/>
      <i/>
      <sz val="10"/>
      <color rgb="FF0000FF"/>
      <name val="宋体"/>
      <family val="3"/>
      <charset val="134"/>
    </font>
    <font>
      <b/>
      <sz val="16"/>
      <name val="宋体"/>
      <family val="3"/>
      <charset val="134"/>
    </font>
    <font>
      <b/>
      <sz val="22"/>
      <name val="Arial"/>
      <family val="2"/>
    </font>
    <font>
      <sz val="10"/>
      <color rgb="FF333333"/>
      <name val="宋体"/>
      <family val="3"/>
      <charset val="134"/>
    </font>
    <font>
      <sz val="10.5"/>
      <color theme="0"/>
      <name val="宋体"/>
      <family val="3"/>
      <charset val="134"/>
    </font>
    <font>
      <sz val="10.5"/>
      <color theme="0"/>
      <name val="Arial"/>
      <family val="2"/>
    </font>
    <font>
      <b/>
      <sz val="16"/>
      <color theme="1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</borders>
  <cellStyleXfs count="12">
    <xf numFmtId="0" fontId="0" fillId="0" borderId="0"/>
    <xf numFmtId="0" fontId="37" fillId="0" borderId="0">
      <alignment vertical="center"/>
    </xf>
    <xf numFmtId="0" fontId="38" fillId="0" borderId="0">
      <alignment vertical="center"/>
    </xf>
    <xf numFmtId="0" fontId="39" fillId="0" borderId="0"/>
    <xf numFmtId="0" fontId="38" fillId="0" borderId="0">
      <alignment vertical="center"/>
    </xf>
    <xf numFmtId="0" fontId="18" fillId="0" borderId="0">
      <alignment vertical="center"/>
    </xf>
    <xf numFmtId="0" fontId="40" fillId="0" borderId="0">
      <alignment vertical="center"/>
    </xf>
    <xf numFmtId="0" fontId="38" fillId="0" borderId="0">
      <alignment vertical="center"/>
    </xf>
    <xf numFmtId="0" fontId="18" fillId="0" borderId="0"/>
    <xf numFmtId="0" fontId="38" fillId="0" borderId="0"/>
    <xf numFmtId="0" fontId="18" fillId="0" borderId="0">
      <alignment vertical="center"/>
    </xf>
    <xf numFmtId="0" fontId="18" fillId="0" borderId="0">
      <alignment vertical="center"/>
    </xf>
  </cellStyleXfs>
  <cellXfs count="141">
    <xf numFmtId="49" fontId="0" fillId="0" borderId="0" xfId="0" applyNumberFormat="1" applyAlignment="1">
      <alignment horizontal="left" vertical="top" wrapText="1"/>
    </xf>
    <xf numFmtId="0" fontId="1" fillId="0" borderId="0" xfId="4" applyFont="1" applyAlignment="1">
      <alignment vertical="center" wrapText="1"/>
    </xf>
    <xf numFmtId="49" fontId="2" fillId="0" borderId="0" xfId="4" applyNumberFormat="1" applyFont="1" applyAlignment="1">
      <alignment vertical="center" wrapText="1"/>
    </xf>
    <xf numFmtId="0" fontId="3" fillId="2" borderId="0" xfId="7" applyFont="1" applyFill="1" applyAlignment="1">
      <alignment vertical="center" wrapText="1"/>
    </xf>
    <xf numFmtId="0" fontId="2" fillId="0" borderId="0" xfId="4" applyFont="1" applyAlignment="1">
      <alignment vertical="center" wrapText="1"/>
    </xf>
    <xf numFmtId="0" fontId="5" fillId="3" borderId="7" xfId="6" applyFont="1" applyFill="1" applyBorder="1" applyAlignment="1">
      <alignment horizontal="center" vertical="center" wrapText="1"/>
    </xf>
    <xf numFmtId="0" fontId="5" fillId="3" borderId="8" xfId="6" applyFont="1" applyFill="1" applyBorder="1" applyAlignment="1">
      <alignment horizontal="center" vertical="center" wrapText="1"/>
    </xf>
    <xf numFmtId="14" fontId="6" fillId="3" borderId="7" xfId="6" applyNumberFormat="1" applyFont="1" applyFill="1" applyBorder="1" applyAlignment="1">
      <alignment horizontal="center" vertical="center" wrapText="1"/>
    </xf>
    <xf numFmtId="49" fontId="5" fillId="4" borderId="6" xfId="4" applyNumberFormat="1" applyFont="1" applyFill="1" applyBorder="1" applyAlignment="1">
      <alignment horizontal="center" vertical="center" wrapText="1"/>
    </xf>
    <xf numFmtId="0" fontId="6" fillId="4" borderId="11" xfId="4" applyFont="1" applyFill="1" applyBorder="1" applyAlignment="1">
      <alignment horizontal="left" vertical="center" wrapText="1"/>
    </xf>
    <xf numFmtId="0" fontId="5" fillId="4" borderId="12" xfId="4" applyFont="1" applyFill="1" applyBorder="1" applyAlignment="1">
      <alignment horizontal="center" vertical="center" wrapText="1"/>
    </xf>
    <xf numFmtId="0" fontId="5" fillId="4" borderId="12" xfId="4" applyFont="1" applyFill="1" applyBorder="1" applyAlignment="1">
      <alignment horizontal="left" vertical="center" wrapText="1"/>
    </xf>
    <xf numFmtId="0" fontId="5" fillId="4" borderId="13" xfId="4" applyFont="1" applyFill="1" applyBorder="1" applyAlignment="1">
      <alignment horizontal="left" vertical="center" wrapText="1"/>
    </xf>
    <xf numFmtId="0" fontId="2" fillId="0" borderId="6" xfId="4" applyNumberFormat="1" applyFont="1" applyBorder="1" applyAlignment="1">
      <alignment horizontal="center" vertical="center" wrapText="1"/>
    </xf>
    <xf numFmtId="0" fontId="3" fillId="0" borderId="7" xfId="3" applyFont="1" applyBorder="1" applyAlignment="1">
      <alignment vertical="center" wrapText="1"/>
    </xf>
    <xf numFmtId="0" fontId="7" fillId="2" borderId="7" xfId="6" applyFont="1" applyFill="1" applyBorder="1" applyAlignment="1">
      <alignment horizontal="center" vertical="center" wrapText="1"/>
    </xf>
    <xf numFmtId="0" fontId="8" fillId="0" borderId="7" xfId="9" applyFont="1" applyBorder="1" applyAlignment="1">
      <alignment horizontal="left" vertical="center"/>
    </xf>
    <xf numFmtId="0" fontId="9" fillId="2" borderId="8" xfId="6" applyFont="1" applyFill="1" applyBorder="1" applyAlignment="1">
      <alignment horizontal="left" vertical="center" wrapText="1"/>
    </xf>
    <xf numFmtId="0" fontId="10" fillId="2" borderId="8" xfId="6" applyFont="1" applyFill="1" applyBorder="1" applyAlignment="1">
      <alignment horizontal="left" vertical="center" wrapText="1"/>
    </xf>
    <xf numFmtId="0" fontId="3" fillId="0" borderId="11" xfId="3" applyFont="1" applyBorder="1" applyAlignment="1">
      <alignment vertical="center" wrapText="1"/>
    </xf>
    <xf numFmtId="0" fontId="11" fillId="4" borderId="12" xfId="4" applyFont="1" applyFill="1" applyBorder="1" applyAlignment="1">
      <alignment horizontal="left" vertical="center" wrapText="1"/>
    </xf>
    <xf numFmtId="0" fontId="11" fillId="4" borderId="13" xfId="4" applyFont="1" applyFill="1" applyBorder="1" applyAlignment="1">
      <alignment horizontal="left" vertical="center" wrapText="1"/>
    </xf>
    <xf numFmtId="0" fontId="3" fillId="0" borderId="7" xfId="4" applyFont="1" applyBorder="1" applyAlignment="1">
      <alignment horizontal="left" vertical="center" wrapText="1"/>
    </xf>
    <xf numFmtId="0" fontId="8" fillId="0" borderId="7" xfId="9" applyFont="1" applyBorder="1" applyAlignment="1">
      <alignment horizontal="left" vertical="center" wrapText="1"/>
    </xf>
    <xf numFmtId="0" fontId="12" fillId="0" borderId="7" xfId="4" applyFont="1" applyBorder="1" applyAlignment="1">
      <alignment horizontal="left" vertical="center" wrapText="1"/>
    </xf>
    <xf numFmtId="0" fontId="12" fillId="0" borderId="11" xfId="4" applyFont="1" applyBorder="1" applyAlignment="1">
      <alignment horizontal="left" vertical="center" wrapText="1"/>
    </xf>
    <xf numFmtId="0" fontId="10" fillId="0" borderId="7" xfId="9" applyFont="1" applyBorder="1" applyAlignment="1">
      <alignment horizontal="left" vertical="center"/>
    </xf>
    <xf numFmtId="0" fontId="11" fillId="2" borderId="8" xfId="6" applyFont="1" applyFill="1" applyBorder="1" applyAlignment="1">
      <alignment horizontal="left" vertical="center" wrapText="1"/>
    </xf>
    <xf numFmtId="0" fontId="13" fillId="0" borderId="0" xfId="5" applyFont="1">
      <alignment vertical="center"/>
    </xf>
    <xf numFmtId="0" fontId="15" fillId="5" borderId="14" xfId="2" applyFont="1" applyFill="1" applyBorder="1" applyAlignment="1">
      <alignment horizontal="center" vertical="center" wrapText="1"/>
    </xf>
    <xf numFmtId="0" fontId="15" fillId="5" borderId="15" xfId="2" applyFont="1" applyFill="1" applyBorder="1" applyAlignment="1">
      <alignment horizontal="center" vertical="center" wrapText="1"/>
    </xf>
    <xf numFmtId="0" fontId="15" fillId="5" borderId="15" xfId="2" applyFont="1" applyFill="1" applyBorder="1" applyAlignment="1">
      <alignment horizontal="center" vertical="center"/>
    </xf>
    <xf numFmtId="0" fontId="16" fillId="5" borderId="15" xfId="2" applyFont="1" applyFill="1" applyBorder="1" applyAlignment="1">
      <alignment horizontal="center" vertical="center" wrapText="1"/>
    </xf>
    <xf numFmtId="0" fontId="15" fillId="5" borderId="1" xfId="2" applyFont="1" applyFill="1" applyBorder="1" applyAlignment="1">
      <alignment horizontal="center" vertical="center" wrapText="1"/>
    </xf>
    <xf numFmtId="0" fontId="15" fillId="5" borderId="2" xfId="2" applyFont="1" applyFill="1" applyBorder="1" applyAlignment="1">
      <alignment horizontal="center" vertical="center" wrapText="1"/>
    </xf>
    <xf numFmtId="0" fontId="16" fillId="5" borderId="16" xfId="2" applyFont="1" applyFill="1" applyBorder="1" applyAlignment="1">
      <alignment horizontal="center" vertical="center" wrapText="1"/>
    </xf>
    <xf numFmtId="0" fontId="15" fillId="5" borderId="16" xfId="2" applyFont="1" applyFill="1" applyBorder="1" applyAlignment="1">
      <alignment horizontal="center" vertical="center" wrapText="1"/>
    </xf>
    <xf numFmtId="0" fontId="17" fillId="0" borderId="7" xfId="5" applyFont="1" applyBorder="1" applyAlignment="1">
      <alignment horizontal="center" vertical="center"/>
    </xf>
    <xf numFmtId="14" fontId="17" fillId="0" borderId="7" xfId="5" applyNumberFormat="1" applyFont="1" applyBorder="1" applyAlignment="1">
      <alignment horizontal="center" vertical="center"/>
    </xf>
    <xf numFmtId="0" fontId="18" fillId="0" borderId="0" xfId="11">
      <alignment vertical="center"/>
    </xf>
    <xf numFmtId="0" fontId="18" fillId="0" borderId="0" xfId="11" applyAlignment="1">
      <alignment horizontal="center" vertical="center"/>
    </xf>
    <xf numFmtId="0" fontId="16" fillId="5" borderId="7" xfId="11" applyFont="1" applyFill="1" applyBorder="1" applyAlignment="1">
      <alignment horizontal="center" vertical="center"/>
    </xf>
    <xf numFmtId="0" fontId="20" fillId="0" borderId="7" xfId="11" applyFont="1" applyBorder="1" applyAlignment="1">
      <alignment horizontal="center" vertical="center"/>
    </xf>
    <xf numFmtId="0" fontId="16" fillId="5" borderId="7" xfId="11" applyFont="1" applyFill="1" applyBorder="1" applyAlignment="1">
      <alignment horizontal="center" vertical="center" wrapText="1"/>
    </xf>
    <xf numFmtId="0" fontId="20" fillId="0" borderId="7" xfId="11" applyFont="1" applyBorder="1" applyAlignment="1">
      <alignment horizontal="left" vertical="center"/>
    </xf>
    <xf numFmtId="0" fontId="20" fillId="0" borderId="7" xfId="11" applyFont="1" applyBorder="1">
      <alignment vertical="center"/>
    </xf>
    <xf numFmtId="0" fontId="21" fillId="0" borderId="11" xfId="1" applyFont="1" applyBorder="1" applyProtection="1">
      <alignment vertical="center"/>
      <protection locked="0"/>
    </xf>
    <xf numFmtId="0" fontId="16" fillId="5" borderId="7" xfId="1" applyFont="1" applyFill="1" applyBorder="1" applyProtection="1">
      <alignment vertical="center"/>
      <protection locked="0"/>
    </xf>
    <xf numFmtId="176" fontId="21" fillId="0" borderId="7" xfId="1" applyNumberFormat="1" applyFont="1" applyBorder="1">
      <alignment vertical="center"/>
    </xf>
    <xf numFmtId="177" fontId="16" fillId="5" borderId="7" xfId="1" applyNumberFormat="1" applyFont="1" applyFill="1" applyBorder="1" applyProtection="1">
      <alignment vertical="center"/>
      <protection locked="0"/>
    </xf>
    <xf numFmtId="178" fontId="21" fillId="0" borderId="7" xfId="1" applyNumberFormat="1" applyFont="1" applyBorder="1" applyAlignment="1" applyProtection="1">
      <alignment horizontal="left" vertical="center"/>
      <protection locked="0"/>
    </xf>
    <xf numFmtId="176" fontId="21" fillId="0" borderId="7" xfId="1" applyNumberFormat="1" applyFont="1" applyBorder="1" applyProtection="1">
      <alignment vertical="center"/>
      <protection locked="0"/>
    </xf>
    <xf numFmtId="179" fontId="21" fillId="0" borderId="7" xfId="1" applyNumberFormat="1" applyFont="1" applyBorder="1">
      <alignment vertical="center"/>
    </xf>
    <xf numFmtId="0" fontId="16" fillId="5" borderId="17" xfId="1" applyFont="1" applyFill="1" applyBorder="1" applyAlignment="1" applyProtection="1">
      <alignment vertical="center" wrapText="1"/>
      <protection locked="0"/>
    </xf>
    <xf numFmtId="0" fontId="21" fillId="0" borderId="7" xfId="1" applyFont="1" applyBorder="1" applyProtection="1">
      <alignment vertical="center"/>
      <protection locked="0"/>
    </xf>
    <xf numFmtId="0" fontId="16" fillId="5" borderId="7" xfId="1" applyFont="1" applyFill="1" applyBorder="1" applyAlignment="1" applyProtection="1">
      <alignment horizontal="left" vertical="center" wrapText="1"/>
      <protection locked="0"/>
    </xf>
    <xf numFmtId="0" fontId="25" fillId="0" borderId="3" xfId="0" applyFont="1" applyFill="1" applyBorder="1" applyAlignment="1">
      <alignment vertical="center" wrapText="1"/>
    </xf>
    <xf numFmtId="0" fontId="26" fillId="0" borderId="5" xfId="0" applyFont="1" applyFill="1" applyBorder="1" applyAlignment="1">
      <alignment vertical="center" wrapText="1"/>
    </xf>
    <xf numFmtId="0" fontId="25" fillId="0" borderId="7" xfId="0" applyFont="1" applyFill="1" applyBorder="1" applyAlignment="1">
      <alignment vertical="center" wrapText="1"/>
    </xf>
    <xf numFmtId="0" fontId="26" fillId="0" borderId="8" xfId="0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left" vertical="center" wrapText="1"/>
    </xf>
    <xf numFmtId="14" fontId="26" fillId="0" borderId="8" xfId="0" applyNumberFormat="1" applyFont="1" applyFill="1" applyBorder="1" applyAlignment="1">
      <alignment horizontal="left" vertical="center" wrapText="1"/>
    </xf>
    <xf numFmtId="0" fontId="25" fillId="0" borderId="22" xfId="0" applyFont="1" applyFill="1" applyBorder="1" applyAlignment="1">
      <alignment vertical="center" wrapText="1"/>
    </xf>
    <xf numFmtId="49" fontId="26" fillId="0" borderId="25" xfId="0" applyNumberFormat="1" applyFont="1" applyFill="1" applyBorder="1" applyAlignment="1">
      <alignment vertical="center" wrapText="1"/>
    </xf>
    <xf numFmtId="0" fontId="0" fillId="2" borderId="0" xfId="0" applyFill="1" applyBorder="1" applyAlignment="1">
      <alignment vertical="top" wrapText="1"/>
    </xf>
    <xf numFmtId="49" fontId="29" fillId="0" borderId="0" xfId="0" applyNumberFormat="1" applyFont="1" applyAlignment="1">
      <alignment horizontal="left" vertical="top" wrapText="1"/>
    </xf>
    <xf numFmtId="0" fontId="0" fillId="2" borderId="26" xfId="0" applyFill="1" applyBorder="1" applyAlignment="1">
      <alignment vertical="top" wrapText="1"/>
    </xf>
    <xf numFmtId="0" fontId="30" fillId="2" borderId="7" xfId="0" applyFont="1" applyFill="1" applyBorder="1" applyAlignment="1">
      <alignment horizontal="center" vertical="center" wrapText="1"/>
    </xf>
    <xf numFmtId="0" fontId="31" fillId="2" borderId="7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14" fontId="34" fillId="2" borderId="7" xfId="0" applyNumberFormat="1" applyFont="1" applyFill="1" applyBorder="1" applyAlignment="1">
      <alignment horizontal="center" vertical="center" wrapText="1"/>
    </xf>
    <xf numFmtId="0" fontId="23" fillId="2" borderId="0" xfId="0" applyFont="1" applyFill="1" applyBorder="1" applyAlignment="1">
      <alignment horizontal="center" vertical="center" wrapText="1"/>
    </xf>
    <xf numFmtId="0" fontId="36" fillId="2" borderId="27" xfId="0" applyFont="1" applyFill="1" applyBorder="1" applyAlignment="1">
      <alignment horizontal="center" vertical="top" wrapText="1"/>
    </xf>
    <xf numFmtId="0" fontId="23" fillId="2" borderId="27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top" wrapText="1"/>
    </xf>
    <xf numFmtId="0" fontId="30" fillId="2" borderId="0" xfId="0" applyFont="1" applyFill="1" applyBorder="1" applyAlignment="1">
      <alignment horizontal="left" vertical="center"/>
    </xf>
    <xf numFmtId="49" fontId="0" fillId="2" borderId="0" xfId="0" applyNumberFormat="1" applyFill="1" applyAlignment="1">
      <alignment horizontal="left" vertical="top" wrapText="1"/>
    </xf>
    <xf numFmtId="49" fontId="0" fillId="2" borderId="0" xfId="0" applyNumberFormat="1" applyFill="1" applyBorder="1" applyAlignment="1">
      <alignment horizontal="left" vertical="top" wrapText="1"/>
    </xf>
    <xf numFmtId="0" fontId="0" fillId="0" borderId="0" xfId="0"/>
    <xf numFmtId="0" fontId="22" fillId="6" borderId="17" xfId="0" applyFont="1" applyFill="1" applyBorder="1" applyAlignment="1">
      <alignment horizontal="center" vertical="center" wrapText="1"/>
    </xf>
    <xf numFmtId="0" fontId="51" fillId="6" borderId="31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 wrapText="1"/>
    </xf>
    <xf numFmtId="0" fontId="22" fillId="6" borderId="32" xfId="0" applyFont="1" applyFill="1" applyBorder="1" applyAlignment="1">
      <alignment horizontal="center" vertical="center" wrapText="1"/>
    </xf>
    <xf numFmtId="0" fontId="51" fillId="6" borderId="33" xfId="0" applyFont="1" applyFill="1" applyBorder="1" applyAlignment="1">
      <alignment horizontal="center" vertical="center" wrapText="1"/>
    </xf>
    <xf numFmtId="0" fontId="51" fillId="6" borderId="34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justify" vertical="center" wrapText="1"/>
    </xf>
    <xf numFmtId="14" fontId="17" fillId="0" borderId="7" xfId="0" applyNumberFormat="1" applyFont="1" applyBorder="1" applyAlignment="1">
      <alignment horizontal="justify" vertical="center" wrapText="1"/>
    </xf>
    <xf numFmtId="0" fontId="20" fillId="0" borderId="7" xfId="0" applyFont="1" applyBorder="1" applyAlignment="1">
      <alignment horizontal="justify" vertical="center" wrapText="1"/>
    </xf>
    <xf numFmtId="0" fontId="29" fillId="0" borderId="7" xfId="0" applyFont="1" applyBorder="1"/>
    <xf numFmtId="0" fontId="0" fillId="0" borderId="7" xfId="0" applyBorder="1"/>
    <xf numFmtId="0" fontId="0" fillId="0" borderId="7" xfId="0" applyFont="1" applyBorder="1"/>
    <xf numFmtId="0" fontId="22" fillId="0" borderId="7" xfId="0" applyFont="1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49" fontId="28" fillId="2" borderId="0" xfId="0" applyNumberFormat="1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14" fontId="34" fillId="2" borderId="7" xfId="0" applyNumberFormat="1" applyFont="1" applyFill="1" applyBorder="1" applyAlignment="1">
      <alignment horizontal="center" vertical="center" wrapText="1"/>
    </xf>
    <xf numFmtId="0" fontId="34" fillId="2" borderId="7" xfId="0" applyFont="1" applyFill="1" applyBorder="1" applyAlignment="1">
      <alignment horizontal="center" vertical="center" wrapText="1"/>
    </xf>
    <xf numFmtId="14" fontId="35" fillId="2" borderId="7" xfId="0" applyNumberFormat="1" applyFont="1" applyFill="1" applyBorder="1" applyAlignment="1">
      <alignment horizontal="center" vertical="center" wrapText="1"/>
    </xf>
    <xf numFmtId="0" fontId="35" fillId="2" borderId="7" xfId="0" applyFont="1" applyFill="1" applyBorder="1" applyAlignment="1">
      <alignment horizontal="center" vertical="center" wrapText="1"/>
    </xf>
    <xf numFmtId="0" fontId="31" fillId="2" borderId="0" xfId="0" applyFont="1" applyFill="1" applyBorder="1" applyAlignment="1">
      <alignment horizontal="left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0" fontId="22" fillId="2" borderId="26" xfId="0" applyFont="1" applyFill="1" applyBorder="1" applyAlignment="1">
      <alignment horizontal="left" vertical="center" wrapText="1"/>
    </xf>
    <xf numFmtId="0" fontId="27" fillId="2" borderId="0" xfId="0" applyFont="1" applyFill="1" applyBorder="1" applyAlignment="1">
      <alignment horizontal="center" vertical="top" wrapText="1"/>
    </xf>
    <xf numFmtId="0" fontId="31" fillId="2" borderId="7" xfId="0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1" fillId="0" borderId="7" xfId="1" applyFont="1" applyBorder="1" applyAlignment="1" applyProtection="1">
      <alignment horizontal="left" vertical="center" wrapText="1"/>
      <protection locked="0"/>
    </xf>
    <xf numFmtId="0" fontId="19" fillId="0" borderId="0" xfId="11" applyFont="1" applyBorder="1" applyAlignment="1">
      <alignment horizontal="center" vertical="center"/>
    </xf>
    <xf numFmtId="0" fontId="21" fillId="0" borderId="7" xfId="1" applyFont="1" applyBorder="1" applyAlignment="1" applyProtection="1">
      <alignment horizontal="left" vertical="center"/>
      <protection locked="0"/>
    </xf>
    <xf numFmtId="0" fontId="21" fillId="2" borderId="7" xfId="1" applyFont="1" applyFill="1" applyBorder="1" applyAlignment="1" applyProtection="1">
      <alignment horizontal="left" vertical="center"/>
      <protection locked="0"/>
    </xf>
    <xf numFmtId="0" fontId="21" fillId="0" borderId="11" xfId="1" applyFont="1" applyBorder="1" applyAlignment="1" applyProtection="1">
      <alignment horizontal="left" vertical="center" wrapText="1"/>
      <protection locked="0"/>
    </xf>
    <xf numFmtId="0" fontId="21" fillId="0" borderId="12" xfId="1" applyFont="1" applyBorder="1" applyAlignment="1" applyProtection="1">
      <alignment horizontal="left" vertical="center" wrapText="1"/>
      <protection locked="0"/>
    </xf>
    <xf numFmtId="0" fontId="21" fillId="0" borderId="18" xfId="1" applyFont="1" applyBorder="1" applyAlignment="1" applyProtection="1">
      <alignment horizontal="left" vertical="center" wrapText="1"/>
      <protection locked="0"/>
    </xf>
    <xf numFmtId="0" fontId="21" fillId="0" borderId="11" xfId="1" applyFont="1" applyBorder="1" applyAlignment="1" applyProtection="1">
      <alignment horizontal="left" vertical="center"/>
      <protection locked="0"/>
    </xf>
    <xf numFmtId="0" fontId="21" fillId="0" borderId="12" xfId="1" applyFont="1" applyBorder="1" applyAlignment="1" applyProtection="1">
      <alignment horizontal="left" vertical="center"/>
      <protection locked="0"/>
    </xf>
    <xf numFmtId="0" fontId="21" fillId="0" borderId="18" xfId="1" applyFont="1" applyBorder="1" applyAlignment="1" applyProtection="1">
      <alignment horizontal="left" vertical="center"/>
      <protection locked="0"/>
    </xf>
    <xf numFmtId="0" fontId="14" fillId="0" borderId="0" xfId="1" applyFont="1" applyFill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2" xfId="4" applyFont="1" applyBorder="1" applyAlignment="1">
      <alignment horizontal="center" vertical="center" wrapText="1"/>
    </xf>
    <xf numFmtId="0" fontId="4" fillId="0" borderId="3" xfId="4" applyFont="1" applyBorder="1" applyAlignment="1">
      <alignment horizontal="center" vertical="center" wrapText="1"/>
    </xf>
    <xf numFmtId="0" fontId="4" fillId="0" borderId="4" xfId="4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5" fillId="3" borderId="7" xfId="6" applyFont="1" applyFill="1" applyBorder="1" applyAlignment="1">
      <alignment horizontal="center" vertical="center" wrapText="1"/>
    </xf>
    <xf numFmtId="0" fontId="5" fillId="3" borderId="8" xfId="6" applyFont="1" applyFill="1" applyBorder="1" applyAlignment="1">
      <alignment horizontal="center" vertical="center" wrapText="1"/>
    </xf>
    <xf numFmtId="0" fontId="5" fillId="3" borderId="6" xfId="7" applyFont="1" applyFill="1" applyBorder="1" applyAlignment="1">
      <alignment horizontal="center" vertical="center" wrapText="1"/>
    </xf>
    <xf numFmtId="0" fontId="5" fillId="3" borderId="9" xfId="7" applyFont="1" applyFill="1" applyBorder="1" applyAlignment="1">
      <alignment horizontal="center" vertical="center" wrapText="1"/>
    </xf>
    <xf numFmtId="0" fontId="5" fillId="3" borderId="7" xfId="7" applyFont="1" applyFill="1" applyBorder="1" applyAlignment="1">
      <alignment horizontal="center" vertical="center" wrapText="1"/>
    </xf>
    <xf numFmtId="0" fontId="5" fillId="3" borderId="10" xfId="7" applyFont="1" applyFill="1" applyBorder="1" applyAlignment="1">
      <alignment horizontal="center" vertical="center" wrapText="1"/>
    </xf>
  </cellXfs>
  <cellStyles count="12">
    <cellStyle name="標準_EES-A002-00-02_レビュー報告書" xfId="1"/>
    <cellStyle name="常规" xfId="0" builtinId="0"/>
    <cellStyle name="常规 11" xfId="2"/>
    <cellStyle name="常规 12" xfId="3"/>
    <cellStyle name="常规 2" xfId="4"/>
    <cellStyle name="常规 2 2" xfId="5"/>
    <cellStyle name="常规 2 2 2" xfId="6"/>
    <cellStyle name="常规 3" xfId="7"/>
    <cellStyle name="常规 4" xfId="8"/>
    <cellStyle name="常规 5" xfId="9"/>
    <cellStyle name="常规 6" xfId="10"/>
    <cellStyle name="常规 6 2" xfId="11"/>
  </cellStyles>
  <dxfs count="23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ill>
        <patternFill patternType="solid">
          <bgColor theme="9" tint="-0.24994659260841701"/>
        </patternFill>
      </fill>
    </dxf>
    <dxf>
      <fill>
        <patternFill patternType="solid">
          <bgColor theme="1" tint="0.499984740745262"/>
        </patternFill>
      </fill>
    </dxf>
    <dxf>
      <fill>
        <patternFill patternType="solid">
          <bgColor theme="9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  <dxf>
      <fill>
        <patternFill patternType="solid">
          <bgColor theme="7" tint="0.79995117038483843"/>
        </patternFill>
      </fill>
    </dxf>
  </dxfs>
  <tableStyles count="0" defaultTableStyle="TableStyleMedium9" defaultPivotStyle="PivotStyleLight16"/>
  <colors>
    <mruColors>
      <color rgb="FF0075BE"/>
      <color rgb="FF034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155281</xdr:colOff>
      <xdr:row>1</xdr:row>
      <xdr:rowOff>202507</xdr:rowOff>
    </xdr:from>
    <xdr:to>
      <xdr:col>1</xdr:col>
      <xdr:colOff>579221</xdr:colOff>
      <xdr:row>3</xdr:row>
      <xdr:rowOff>85966</xdr:rowOff>
    </xdr:to>
    <xdr:pic>
      <xdr:nvPicPr>
        <xdr:cNvPr id="10" name="图片 9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940" y="411480"/>
          <a:ext cx="1097280" cy="30289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15</xdr:row>
          <xdr:rowOff>57150</xdr:rowOff>
        </xdr:from>
        <xdr:to>
          <xdr:col>7</xdr:col>
          <xdr:colOff>546100</xdr:colOff>
          <xdr:row>15</xdr:row>
          <xdr:rowOff>336550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绝密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584200</xdr:colOff>
          <xdr:row>15</xdr:row>
          <xdr:rowOff>57150</xdr:rowOff>
        </xdr:from>
        <xdr:to>
          <xdr:col>8</xdr:col>
          <xdr:colOff>241300</xdr:colOff>
          <xdr:row>15</xdr:row>
          <xdr:rowOff>336550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机密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279400</xdr:colOff>
          <xdr:row>15</xdr:row>
          <xdr:rowOff>57150</xdr:rowOff>
        </xdr:from>
        <xdr:to>
          <xdr:col>8</xdr:col>
          <xdr:colOff>850900</xdr:colOff>
          <xdr:row>15</xdr:row>
          <xdr:rowOff>336550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秘密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889000</xdr:colOff>
          <xdr:row>15</xdr:row>
          <xdr:rowOff>57150</xdr:rowOff>
        </xdr:from>
        <xdr:to>
          <xdr:col>8</xdr:col>
          <xdr:colOff>1460500</xdr:colOff>
          <xdr:row>15</xdr:row>
          <xdr:rowOff>336550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公开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2" name="图片 1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600" y="247650"/>
          <a:ext cx="1195070" cy="254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3" name="图片 2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2600" y="254000"/>
          <a:ext cx="6495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114300</xdr:colOff>
      <xdr:row>1</xdr:row>
      <xdr:rowOff>69850</xdr:rowOff>
    </xdr:from>
    <xdr:to>
      <xdr:col>1</xdr:col>
      <xdr:colOff>1309932</xdr:colOff>
      <xdr:row>1</xdr:row>
      <xdr:rowOff>323851</xdr:rowOff>
    </xdr:to>
    <xdr:pic>
      <xdr:nvPicPr>
        <xdr:cNvPr id="4" name="图片 3" descr="cid:image003.png@01DB291D.9974F1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600" y="254000"/>
          <a:ext cx="649532" cy="254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Q20"/>
  <sheetViews>
    <sheetView tabSelected="1" view="pageBreakPreview" topLeftCell="A7" zoomScaleNormal="80" workbookViewId="0">
      <selection activeCell="I17" sqref="I17"/>
    </sheetView>
  </sheetViews>
  <sheetFormatPr defaultColWidth="9" defaultRowHeight="14"/>
  <cols>
    <col min="1" max="1" width="8.83203125" customWidth="1"/>
    <col min="2" max="2" width="8.33203125" customWidth="1"/>
    <col min="3" max="3" width="6.83203125" customWidth="1"/>
    <col min="4" max="4" width="9.33203125" customWidth="1"/>
    <col min="5" max="5" width="7" customWidth="1"/>
    <col min="6" max="6" width="5" customWidth="1"/>
    <col min="7" max="7" width="5.33203125" customWidth="1"/>
    <col min="8" max="8" width="12.08203125" customWidth="1"/>
    <col min="9" max="9" width="21.25" customWidth="1"/>
    <col min="13" max="13" width="16.25" customWidth="1"/>
  </cols>
  <sheetData>
    <row r="1" spans="1:17" ht="16.5" customHeight="1">
      <c r="A1" s="92"/>
      <c r="B1" s="93"/>
      <c r="C1" s="99" t="s">
        <v>0</v>
      </c>
      <c r="D1" s="100"/>
      <c r="E1" s="100"/>
      <c r="F1" s="100"/>
      <c r="G1" s="100"/>
      <c r="H1" s="56" t="s">
        <v>1</v>
      </c>
      <c r="I1" s="57" t="s">
        <v>2</v>
      </c>
    </row>
    <row r="2" spans="1:17" ht="16.5" customHeight="1">
      <c r="A2" s="94"/>
      <c r="B2" s="95"/>
      <c r="C2" s="101"/>
      <c r="D2" s="102"/>
      <c r="E2" s="102"/>
      <c r="F2" s="102"/>
      <c r="G2" s="102"/>
      <c r="H2" s="58" t="s">
        <v>3</v>
      </c>
      <c r="I2" s="59"/>
    </row>
    <row r="3" spans="1:17" ht="16.5" customHeight="1">
      <c r="A3" s="94"/>
      <c r="B3" s="95"/>
      <c r="C3" s="101"/>
      <c r="D3" s="102"/>
      <c r="E3" s="102"/>
      <c r="F3" s="102"/>
      <c r="G3" s="102"/>
      <c r="H3" s="58" t="s">
        <v>4</v>
      </c>
      <c r="I3" s="60" t="s">
        <v>5</v>
      </c>
    </row>
    <row r="4" spans="1:17" ht="16.5" customHeight="1">
      <c r="A4" s="94"/>
      <c r="B4" s="95"/>
      <c r="C4" s="101"/>
      <c r="D4" s="102"/>
      <c r="E4" s="102"/>
      <c r="F4" s="102"/>
      <c r="G4" s="102"/>
      <c r="H4" s="58" t="s">
        <v>6</v>
      </c>
      <c r="I4" s="61"/>
    </row>
    <row r="5" spans="1:17" ht="16.5" customHeight="1">
      <c r="A5" s="96"/>
      <c r="B5" s="97"/>
      <c r="C5" s="103"/>
      <c r="D5" s="104"/>
      <c r="E5" s="104"/>
      <c r="F5" s="104"/>
      <c r="G5" s="104"/>
      <c r="H5" s="62" t="s">
        <v>7</v>
      </c>
      <c r="I5" s="63" t="s">
        <v>8</v>
      </c>
    </row>
    <row r="6" spans="1:17" ht="135" customHeight="1">
      <c r="A6" s="64"/>
      <c r="B6" s="64"/>
      <c r="C6" s="64"/>
      <c r="D6" s="64"/>
      <c r="E6" s="64"/>
      <c r="F6" s="64"/>
      <c r="G6" s="64"/>
      <c r="H6" s="64"/>
      <c r="I6" s="64"/>
    </row>
    <row r="7" spans="1:17" ht="166.5" customHeight="1">
      <c r="A7" s="112" t="s">
        <v>9</v>
      </c>
      <c r="B7" s="112"/>
      <c r="C7" s="112"/>
      <c r="D7" s="112"/>
      <c r="E7" s="112"/>
      <c r="F7" s="112"/>
      <c r="G7" s="112"/>
      <c r="H7" s="112"/>
      <c r="I7" s="112"/>
    </row>
    <row r="8" spans="1:17" ht="17.25" customHeight="1">
      <c r="A8" s="98" t="s">
        <v>10</v>
      </c>
      <c r="B8" s="98"/>
      <c r="C8" s="98"/>
      <c r="D8" s="98"/>
      <c r="E8" s="98"/>
      <c r="F8" s="98"/>
      <c r="G8" s="98"/>
      <c r="H8" s="98"/>
      <c r="I8" s="98"/>
      <c r="Q8" s="65"/>
    </row>
    <row r="9" spans="1:17" ht="17.25" customHeight="1">
      <c r="A9" s="98"/>
      <c r="B9" s="98"/>
      <c r="C9" s="98"/>
      <c r="D9" s="98"/>
      <c r="E9" s="98"/>
      <c r="F9" s="98"/>
      <c r="G9" s="98"/>
      <c r="H9" s="98"/>
      <c r="I9" s="98"/>
    </row>
    <row r="10" spans="1:17" ht="17.25" customHeight="1">
      <c r="A10" s="98"/>
      <c r="B10" s="98"/>
      <c r="C10" s="98"/>
      <c r="D10" s="98"/>
      <c r="E10" s="98"/>
      <c r="F10" s="98"/>
      <c r="G10" s="98"/>
      <c r="H10" s="98"/>
      <c r="I10" s="98"/>
    </row>
    <row r="11" spans="1:17" ht="161.25" customHeight="1">
      <c r="A11" s="66"/>
      <c r="B11" s="66"/>
      <c r="C11" s="66"/>
      <c r="D11" s="66"/>
      <c r="E11" s="66"/>
      <c r="F11" s="66"/>
      <c r="G11" s="66"/>
      <c r="H11" s="66"/>
      <c r="I11" s="66"/>
    </row>
    <row r="12" spans="1:17" ht="32.15" customHeight="1">
      <c r="A12" s="67" t="s">
        <v>11</v>
      </c>
      <c r="B12" s="113"/>
      <c r="C12" s="113"/>
      <c r="D12" s="69" t="s">
        <v>12</v>
      </c>
      <c r="E12" s="114"/>
      <c r="F12" s="115"/>
      <c r="G12" s="115"/>
      <c r="H12" s="69" t="s">
        <v>13</v>
      </c>
      <c r="I12" s="69"/>
    </row>
    <row r="13" spans="1:17" ht="32.15" customHeight="1">
      <c r="A13" s="67" t="s">
        <v>14</v>
      </c>
      <c r="B13" s="113"/>
      <c r="C13" s="113"/>
      <c r="D13" s="67" t="s">
        <v>14</v>
      </c>
      <c r="E13" s="113"/>
      <c r="F13" s="113"/>
      <c r="G13" s="113"/>
      <c r="H13" s="68" t="s">
        <v>14</v>
      </c>
      <c r="I13" s="68"/>
    </row>
    <row r="14" spans="1:17" ht="32.15" customHeight="1">
      <c r="A14" s="67" t="s">
        <v>15</v>
      </c>
      <c r="B14" s="105"/>
      <c r="C14" s="106"/>
      <c r="D14" s="67" t="s">
        <v>15</v>
      </c>
      <c r="E14" s="107"/>
      <c r="F14" s="108"/>
      <c r="G14" s="108"/>
      <c r="H14" s="68" t="s">
        <v>15</v>
      </c>
      <c r="I14" s="70"/>
    </row>
    <row r="15" spans="1:17" ht="9" customHeight="1">
      <c r="A15" s="71"/>
      <c r="B15" s="72"/>
      <c r="C15" s="72"/>
      <c r="D15" s="73"/>
      <c r="E15" s="73"/>
      <c r="F15" s="73"/>
      <c r="G15" s="71"/>
      <c r="H15" s="74"/>
      <c r="I15" s="74"/>
    </row>
    <row r="16" spans="1:17" ht="29.25" customHeight="1">
      <c r="A16" s="75" t="s">
        <v>16</v>
      </c>
      <c r="B16" s="109" t="s">
        <v>17</v>
      </c>
      <c r="C16" s="109"/>
      <c r="D16" s="109"/>
      <c r="E16" s="109"/>
      <c r="F16" s="110" t="s">
        <v>18</v>
      </c>
      <c r="G16" s="110"/>
      <c r="H16" s="74"/>
      <c r="I16" s="74"/>
    </row>
    <row r="17" spans="1:9" ht="18.75" customHeight="1">
      <c r="A17" s="76"/>
      <c r="B17" s="77"/>
      <c r="C17" s="77"/>
      <c r="D17" s="77"/>
      <c r="E17" s="77"/>
      <c r="F17" s="77"/>
      <c r="G17" s="76"/>
      <c r="H17" s="76"/>
      <c r="I17" s="76"/>
    </row>
    <row r="18" spans="1:9" ht="27" customHeight="1">
      <c r="A18" s="111"/>
      <c r="B18" s="111"/>
      <c r="C18" s="111"/>
      <c r="D18" s="111"/>
      <c r="E18" s="111"/>
      <c r="F18" s="111"/>
      <c r="G18" s="111"/>
      <c r="H18" s="111"/>
      <c r="I18" s="111"/>
    </row>
    <row r="19" spans="1:9" ht="19.5" customHeight="1">
      <c r="A19" s="76"/>
      <c r="B19" s="76"/>
      <c r="C19" s="76"/>
      <c r="D19" s="76"/>
      <c r="E19" s="76"/>
      <c r="F19" s="76"/>
      <c r="G19" s="76"/>
      <c r="H19" s="76"/>
      <c r="I19" s="76"/>
    </row>
    <row r="20" spans="1:9" ht="19.5" customHeight="1"/>
  </sheetData>
  <mergeCells count="13">
    <mergeCell ref="B16:E16"/>
    <mergeCell ref="F16:G16"/>
    <mergeCell ref="A18:I18"/>
    <mergeCell ref="A7:I7"/>
    <mergeCell ref="B12:C12"/>
    <mergeCell ref="E12:G12"/>
    <mergeCell ref="B13:C13"/>
    <mergeCell ref="E13:G13"/>
    <mergeCell ref="A1:B5"/>
    <mergeCell ref="A8:I10"/>
    <mergeCell ref="C1:G5"/>
    <mergeCell ref="B14:C14"/>
    <mergeCell ref="E14:G14"/>
  </mergeCells>
  <phoneticPr fontId="52" type="noConversion"/>
  <printOptions horizontalCentered="1" verticalCentered="1"/>
  <pageMargins left="0.511811023622047" right="0.511811023622047" top="0.39370078740157499" bottom="0.39370078740157499" header="0.31496062992126" footer="0.31496062992126"/>
  <pageSetup paperSize="9" orientation="portrait" r:id="rId1"/>
  <headerFooter>
    <oddFooter>&amp;L&amp;"宋体,常规"备注：版权归属无锡威孚高科技集团股份有限公司所有，本文档内容属商业机密。未经允许，任何组织或个人不得以任何形式复制和传播。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4" name="Check Box 11">
              <controlPr defaultSize="0" autoPict="0">
                <anchor moveWithCells="1">
                  <from>
                    <xdr:col>6</xdr:col>
                    <xdr:colOff>381000</xdr:colOff>
                    <xdr:row>15</xdr:row>
                    <xdr:rowOff>57150</xdr:rowOff>
                  </from>
                  <to>
                    <xdr:col>7</xdr:col>
                    <xdr:colOff>546100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5" name="Check Box 12">
              <controlPr defaultSize="0" autoPict="0">
                <anchor moveWithCells="1">
                  <from>
                    <xdr:col>7</xdr:col>
                    <xdr:colOff>584200</xdr:colOff>
                    <xdr:row>15</xdr:row>
                    <xdr:rowOff>57150</xdr:rowOff>
                  </from>
                  <to>
                    <xdr:col>8</xdr:col>
                    <xdr:colOff>241300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6" name="Check Box 13">
              <controlPr defaultSize="0" autoPict="0">
                <anchor moveWithCells="1">
                  <from>
                    <xdr:col>8</xdr:col>
                    <xdr:colOff>279400</xdr:colOff>
                    <xdr:row>15</xdr:row>
                    <xdr:rowOff>57150</xdr:rowOff>
                  </from>
                  <to>
                    <xdr:col>8</xdr:col>
                    <xdr:colOff>850900</xdr:colOff>
                    <xdr:row>15</xdr:row>
                    <xdr:rowOff>336550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7" name="Check Box 14">
              <controlPr defaultSize="0" autoPict="0">
                <anchor moveWithCells="1">
                  <from>
                    <xdr:col>8</xdr:col>
                    <xdr:colOff>889000</xdr:colOff>
                    <xdr:row>15</xdr:row>
                    <xdr:rowOff>57150</xdr:rowOff>
                  </from>
                  <to>
                    <xdr:col>8</xdr:col>
                    <xdr:colOff>1460500</xdr:colOff>
                    <xdr:row>15</xdr:row>
                    <xdr:rowOff>336550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"/>
  <sheetViews>
    <sheetView showGridLines="0" workbookViewId="0">
      <selection activeCell="D23" sqref="D23"/>
    </sheetView>
  </sheetViews>
  <sheetFormatPr defaultRowHeight="14"/>
  <cols>
    <col min="1" max="1" width="4.83203125" style="78" customWidth="1"/>
    <col min="2" max="2" width="10" style="78" bestFit="1" customWidth="1"/>
    <col min="3" max="3" width="9.1640625" style="78" bestFit="1" customWidth="1"/>
    <col min="4" max="4" width="15.58203125" style="78" customWidth="1"/>
    <col min="5" max="5" width="18" style="78" bestFit="1" customWidth="1"/>
    <col min="6" max="6" width="8.6640625" style="78"/>
    <col min="7" max="7" width="11.33203125" style="78" customWidth="1"/>
    <col min="8" max="16384" width="8.6640625" style="78"/>
  </cols>
  <sheetData>
    <row r="1" spans="2:7" ht="14.5" thickBot="1"/>
    <row r="2" spans="2:7" ht="33.5" customHeight="1" thickBot="1">
      <c r="B2" s="116" t="s">
        <v>108</v>
      </c>
      <c r="C2" s="117"/>
      <c r="D2" s="117"/>
      <c r="E2" s="117"/>
      <c r="F2" s="117"/>
      <c r="G2" s="118"/>
    </row>
    <row r="3" spans="2:7">
      <c r="B3" s="79" t="s">
        <v>109</v>
      </c>
      <c r="C3" s="80" t="s">
        <v>110</v>
      </c>
      <c r="D3" s="81" t="s">
        <v>111</v>
      </c>
      <c r="E3" s="82" t="s">
        <v>112</v>
      </c>
      <c r="F3" s="83" t="s">
        <v>12</v>
      </c>
      <c r="G3" s="84" t="s">
        <v>13</v>
      </c>
    </row>
    <row r="4" spans="2:7" ht="14.5">
      <c r="B4" s="85" t="s">
        <v>113</v>
      </c>
      <c r="C4" s="86">
        <v>46142</v>
      </c>
      <c r="D4" s="87" t="s">
        <v>114</v>
      </c>
      <c r="E4" s="88" t="s">
        <v>115</v>
      </c>
      <c r="F4" s="89"/>
      <c r="G4" s="89"/>
    </row>
    <row r="5" spans="2:7" ht="28.5">
      <c r="B5" s="85" t="s">
        <v>116</v>
      </c>
      <c r="C5" s="86">
        <v>46176</v>
      </c>
      <c r="D5" s="85" t="s">
        <v>117</v>
      </c>
      <c r="E5" s="88" t="s">
        <v>118</v>
      </c>
      <c r="F5" s="90"/>
      <c r="G5" s="91" t="s">
        <v>119</v>
      </c>
    </row>
    <row r="6" spans="2:7">
      <c r="B6" s="85"/>
      <c r="C6" s="85"/>
      <c r="D6" s="85"/>
      <c r="E6" s="85"/>
      <c r="F6" s="90"/>
      <c r="G6" s="90"/>
    </row>
    <row r="7" spans="2:7">
      <c r="B7" s="85"/>
      <c r="C7" s="85"/>
      <c r="D7" s="85"/>
      <c r="E7" s="85"/>
      <c r="F7" s="90"/>
      <c r="G7" s="90"/>
    </row>
    <row r="8" spans="2:7">
      <c r="B8" s="85"/>
      <c r="C8" s="85"/>
      <c r="D8" s="85"/>
      <c r="E8" s="85"/>
      <c r="F8" s="90"/>
      <c r="G8" s="90"/>
    </row>
    <row r="9" spans="2:7">
      <c r="B9" s="85"/>
      <c r="C9" s="85"/>
      <c r="D9" s="85"/>
      <c r="E9" s="85"/>
      <c r="F9" s="90"/>
      <c r="G9" s="90"/>
    </row>
    <row r="10" spans="2:7">
      <c r="B10" s="85"/>
      <c r="C10" s="85"/>
      <c r="D10" s="85"/>
      <c r="E10" s="85"/>
      <c r="F10" s="90"/>
      <c r="G10" s="90"/>
    </row>
    <row r="11" spans="2:7">
      <c r="B11" s="85"/>
      <c r="C11" s="85"/>
      <c r="D11" s="85"/>
      <c r="E11" s="85"/>
      <c r="F11" s="90"/>
      <c r="G11" s="90"/>
    </row>
    <row r="12" spans="2:7">
      <c r="B12" s="85"/>
      <c r="C12" s="85"/>
      <c r="D12" s="85"/>
      <c r="E12" s="85"/>
      <c r="F12" s="90"/>
      <c r="G12" s="90"/>
    </row>
    <row r="13" spans="2:7">
      <c r="B13" s="85"/>
      <c r="C13" s="85"/>
      <c r="D13" s="85"/>
      <c r="E13" s="85"/>
      <c r="F13" s="90"/>
      <c r="G13" s="90"/>
    </row>
    <row r="14" spans="2:7">
      <c r="B14" s="85"/>
      <c r="C14" s="85"/>
      <c r="D14" s="85"/>
      <c r="E14" s="85"/>
      <c r="F14" s="90"/>
      <c r="G14" s="90"/>
    </row>
    <row r="15" spans="2:7">
      <c r="B15" s="85"/>
      <c r="C15" s="85"/>
      <c r="D15" s="85"/>
      <c r="E15" s="85"/>
      <c r="F15" s="90"/>
      <c r="G15" s="90"/>
    </row>
    <row r="16" spans="2:7">
      <c r="B16" s="85"/>
      <c r="C16" s="85"/>
      <c r="D16" s="85"/>
      <c r="E16" s="85"/>
      <c r="F16" s="90"/>
      <c r="G16" s="90"/>
    </row>
    <row r="17" spans="2:7">
      <c r="B17" s="85"/>
      <c r="C17" s="85"/>
      <c r="D17" s="85"/>
      <c r="E17" s="85"/>
      <c r="F17" s="90"/>
      <c r="G17" s="90"/>
    </row>
    <row r="18" spans="2:7">
      <c r="B18" s="85"/>
      <c r="C18" s="85"/>
      <c r="D18" s="85"/>
      <c r="E18" s="85"/>
      <c r="F18" s="90"/>
      <c r="G18" s="90"/>
    </row>
    <row r="19" spans="2:7">
      <c r="B19" s="85"/>
      <c r="C19" s="85"/>
      <c r="D19" s="85"/>
      <c r="E19" s="85"/>
      <c r="F19" s="90"/>
      <c r="G19" s="90"/>
    </row>
  </sheetData>
  <mergeCells count="1">
    <mergeCell ref="B2:G2"/>
  </mergeCells>
  <phoneticPr fontId="5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6"/>
  <sheetViews>
    <sheetView workbookViewId="0">
      <selection activeCell="B7" sqref="B7"/>
    </sheetView>
  </sheetViews>
  <sheetFormatPr defaultColWidth="9" defaultRowHeight="14"/>
  <cols>
    <col min="1" max="1" width="20.83203125" style="39" customWidth="1"/>
    <col min="2" max="4" width="20.83203125" style="40" customWidth="1"/>
    <col min="5" max="5" width="17.5" style="39" customWidth="1"/>
    <col min="6" max="6" width="20.83203125" style="39" customWidth="1"/>
    <col min="7" max="7" width="22.5" style="39" customWidth="1"/>
    <col min="8" max="8" width="18.58203125" style="39" customWidth="1"/>
    <col min="9" max="16384" width="9" style="39"/>
  </cols>
  <sheetData>
    <row r="1" spans="1:7" ht="18" customHeight="1">
      <c r="A1" s="120" t="s">
        <v>19</v>
      </c>
      <c r="B1" s="120"/>
      <c r="C1" s="120"/>
      <c r="D1" s="120"/>
      <c r="E1" s="120"/>
      <c r="F1" s="120"/>
      <c r="G1" s="120"/>
    </row>
    <row r="2" spans="1:7" ht="18" customHeight="1">
      <c r="A2" s="120"/>
      <c r="B2" s="120"/>
      <c r="C2" s="120"/>
      <c r="D2" s="120"/>
      <c r="E2" s="120"/>
      <c r="F2" s="120"/>
      <c r="G2" s="120"/>
    </row>
    <row r="4" spans="1:7" ht="18" customHeight="1">
      <c r="A4" s="41" t="s">
        <v>20</v>
      </c>
      <c r="B4" s="42"/>
      <c r="C4" s="42"/>
      <c r="D4" s="42"/>
      <c r="E4" s="41" t="s">
        <v>6</v>
      </c>
      <c r="F4" s="42"/>
      <c r="G4" s="42"/>
    </row>
    <row r="5" spans="1:7" ht="18" customHeight="1">
      <c r="A5" s="41" t="s">
        <v>21</v>
      </c>
      <c r="B5" s="42"/>
      <c r="C5" s="42"/>
      <c r="D5" s="42"/>
      <c r="E5" s="41" t="s">
        <v>22</v>
      </c>
      <c r="F5" s="42"/>
      <c r="G5" s="42"/>
    </row>
    <row r="6" spans="1:7" ht="18" customHeight="1">
      <c r="A6" s="41" t="s">
        <v>23</v>
      </c>
      <c r="B6" s="42" t="s">
        <v>24</v>
      </c>
      <c r="C6" s="42"/>
      <c r="D6" s="42"/>
      <c r="E6" s="41" t="s">
        <v>25</v>
      </c>
      <c r="F6" s="42"/>
      <c r="G6" s="42"/>
    </row>
    <row r="7" spans="1:7" ht="18" customHeight="1">
      <c r="A7" s="41" t="s">
        <v>26</v>
      </c>
      <c r="B7" s="40" t="s">
        <v>27</v>
      </c>
      <c r="C7" s="42"/>
      <c r="D7" s="42"/>
      <c r="E7" s="41" t="s">
        <v>28</v>
      </c>
      <c r="F7" s="42" t="s">
        <v>27</v>
      </c>
      <c r="G7" s="42"/>
    </row>
    <row r="8" spans="1:7" ht="18" customHeight="1">
      <c r="A8" s="41" t="s">
        <v>29</v>
      </c>
      <c r="B8" s="42"/>
      <c r="C8" s="42"/>
      <c r="D8" s="42"/>
      <c r="E8" s="41" t="s">
        <v>30</v>
      </c>
      <c r="F8" s="42"/>
      <c r="G8" s="42"/>
    </row>
    <row r="9" spans="1:7" ht="18" customHeight="1">
      <c r="A9" s="41" t="s">
        <v>31</v>
      </c>
      <c r="B9" s="42"/>
      <c r="C9" s="42"/>
      <c r="D9" s="42"/>
      <c r="E9" s="41" t="s">
        <v>32</v>
      </c>
      <c r="F9" s="42"/>
      <c r="G9" s="42"/>
    </row>
    <row r="10" spans="1:7" ht="28">
      <c r="A10" s="41" t="s">
        <v>33</v>
      </c>
      <c r="B10" s="41" t="s">
        <v>34</v>
      </c>
      <c r="C10" s="41" t="s">
        <v>21</v>
      </c>
      <c r="D10" s="41" t="s">
        <v>35</v>
      </c>
      <c r="E10" s="41" t="s">
        <v>36</v>
      </c>
      <c r="F10" s="43" t="s">
        <v>37</v>
      </c>
      <c r="G10" s="41" t="s">
        <v>38</v>
      </c>
    </row>
    <row r="11" spans="1:7">
      <c r="A11" s="44" t="s">
        <v>39</v>
      </c>
      <c r="B11" s="42"/>
      <c r="C11" s="42"/>
      <c r="D11" s="42">
        <v>3</v>
      </c>
      <c r="E11" s="45" t="s">
        <v>22</v>
      </c>
      <c r="F11" s="46" t="s">
        <v>40</v>
      </c>
      <c r="G11" s="45"/>
    </row>
    <row r="12" spans="1:7">
      <c r="A12" s="44" t="s">
        <v>41</v>
      </c>
      <c r="B12" s="42"/>
      <c r="C12" s="42"/>
      <c r="D12" s="42">
        <v>4</v>
      </c>
      <c r="E12" s="45" t="s">
        <v>42</v>
      </c>
      <c r="F12" s="46"/>
      <c r="G12" s="45"/>
    </row>
    <row r="13" spans="1:7">
      <c r="A13" s="44" t="s">
        <v>43</v>
      </c>
      <c r="B13" s="42"/>
      <c r="C13" s="42"/>
      <c r="D13" s="42">
        <v>1</v>
      </c>
      <c r="E13" s="45" t="s">
        <v>44</v>
      </c>
      <c r="F13" s="46"/>
      <c r="G13" s="45"/>
    </row>
    <row r="14" spans="1:7">
      <c r="A14" s="44">
        <v>4</v>
      </c>
      <c r="B14" s="42"/>
      <c r="C14" s="42"/>
      <c r="D14" s="42"/>
      <c r="E14" s="45"/>
      <c r="F14" s="46"/>
      <c r="G14" s="45"/>
    </row>
    <row r="15" spans="1:7">
      <c r="A15" s="44">
        <v>5</v>
      </c>
      <c r="B15" s="42"/>
      <c r="C15" s="42"/>
      <c r="D15" s="42"/>
      <c r="E15" s="45"/>
      <c r="F15" s="46"/>
      <c r="G15" s="45"/>
    </row>
    <row r="16" spans="1:7">
      <c r="A16" s="44">
        <v>6</v>
      </c>
      <c r="B16" s="42"/>
      <c r="C16" s="42"/>
      <c r="D16" s="42"/>
      <c r="E16" s="45"/>
      <c r="F16" s="46"/>
      <c r="G16" s="45"/>
    </row>
    <row r="17" spans="1:7">
      <c r="A17" s="44">
        <v>7</v>
      </c>
      <c r="B17" s="42"/>
      <c r="C17" s="42"/>
      <c r="D17" s="42"/>
      <c r="E17" s="45"/>
      <c r="F17" s="46"/>
      <c r="G17" s="45"/>
    </row>
    <row r="18" spans="1:7">
      <c r="A18" s="44">
        <v>8</v>
      </c>
      <c r="B18" s="42"/>
      <c r="C18" s="42"/>
      <c r="D18" s="42"/>
      <c r="E18" s="45"/>
      <c r="F18" s="46"/>
      <c r="G18" s="45"/>
    </row>
    <row r="19" spans="1:7">
      <c r="A19" s="44">
        <v>9</v>
      </c>
      <c r="B19" s="42"/>
      <c r="C19" s="42"/>
      <c r="D19" s="42"/>
      <c r="E19" s="45"/>
      <c r="F19" s="46"/>
      <c r="G19" s="45"/>
    </row>
    <row r="20" spans="1:7">
      <c r="A20" s="44">
        <v>10</v>
      </c>
      <c r="B20" s="42"/>
      <c r="C20" s="42"/>
      <c r="D20" s="42"/>
      <c r="E20" s="45"/>
      <c r="F20" s="46"/>
      <c r="G20" s="45"/>
    </row>
    <row r="21" spans="1:7" ht="18" customHeight="1">
      <c r="A21" s="47" t="s">
        <v>45</v>
      </c>
      <c r="B21" s="121" t="s">
        <v>46</v>
      </c>
      <c r="C21" s="121"/>
      <c r="D21" s="121"/>
      <c r="E21" s="121"/>
      <c r="F21" s="47" t="s">
        <v>47</v>
      </c>
      <c r="G21" s="48">
        <f>SUM(G12:G20)</f>
        <v>0</v>
      </c>
    </row>
    <row r="22" spans="1:7" ht="18" customHeight="1">
      <c r="A22" s="49" t="s">
        <v>48</v>
      </c>
      <c r="B22" s="50" t="s">
        <v>49</v>
      </c>
      <c r="C22" s="121" t="s">
        <v>50</v>
      </c>
      <c r="D22" s="121"/>
      <c r="E22" s="121"/>
      <c r="F22" s="47" t="s">
        <v>51</v>
      </c>
      <c r="G22" s="51"/>
    </row>
    <row r="23" spans="1:7" ht="18" customHeight="1">
      <c r="A23" s="49" t="s">
        <v>52</v>
      </c>
      <c r="B23" s="122"/>
      <c r="C23" s="122"/>
      <c r="D23" s="122"/>
      <c r="E23" s="122"/>
      <c r="F23" s="47" t="s">
        <v>53</v>
      </c>
      <c r="G23" s="52">
        <f>COUNTIF(F11:F20,"1:出席")</f>
        <v>1</v>
      </c>
    </row>
    <row r="24" spans="1:7" ht="18" customHeight="1">
      <c r="A24" s="53" t="s">
        <v>54</v>
      </c>
      <c r="B24" s="123"/>
      <c r="C24" s="124"/>
      <c r="D24" s="124"/>
      <c r="E24" s="124"/>
      <c r="F24" s="124"/>
      <c r="G24" s="125"/>
    </row>
    <row r="25" spans="1:7" ht="18" customHeight="1">
      <c r="A25" s="47" t="s">
        <v>55</v>
      </c>
      <c r="B25" s="54" t="s">
        <v>56</v>
      </c>
      <c r="C25" s="126" t="s">
        <v>57</v>
      </c>
      <c r="D25" s="127"/>
      <c r="E25" s="127"/>
      <c r="F25" s="127"/>
      <c r="G25" s="128"/>
    </row>
    <row r="26" spans="1:7" ht="103.15" customHeight="1">
      <c r="A26" s="55" t="s">
        <v>58</v>
      </c>
      <c r="B26" s="119"/>
      <c r="C26" s="119"/>
      <c r="D26" s="119"/>
      <c r="E26" s="119"/>
      <c r="F26" s="119"/>
      <c r="G26" s="119"/>
    </row>
  </sheetData>
  <mergeCells count="7">
    <mergeCell ref="B26:G26"/>
    <mergeCell ref="A1:G2"/>
    <mergeCell ref="B21:E21"/>
    <mergeCell ref="C22:E22"/>
    <mergeCell ref="B23:E23"/>
    <mergeCell ref="B24:G24"/>
    <mergeCell ref="C25:G25"/>
  </mergeCells>
  <phoneticPr fontId="52" type="noConversion"/>
  <conditionalFormatting sqref="G22">
    <cfRule type="expression" dxfId="22" priority="7">
      <formula>G22=""</formula>
    </cfRule>
  </conditionalFormatting>
  <conditionalFormatting sqref="B25">
    <cfRule type="expression" dxfId="21" priority="4">
      <formula>B25=""</formula>
    </cfRule>
  </conditionalFormatting>
  <conditionalFormatting sqref="B21:B23">
    <cfRule type="expression" dxfId="20" priority="6">
      <formula>B21=""</formula>
    </cfRule>
  </conditionalFormatting>
  <conditionalFormatting sqref="F11:F20">
    <cfRule type="expression" dxfId="19" priority="1">
      <formula>F11=""</formula>
    </cfRule>
  </conditionalFormatting>
  <conditionalFormatting sqref="B21 B22:C22 G22 B23">
    <cfRule type="expression" dxfId="18" priority="5" stopIfTrue="1">
      <formula>$F$7="配布review"</formula>
    </cfRule>
  </conditionalFormatting>
  <dataValidations count="7">
    <dataValidation type="list" allowBlank="1" showInputMessage="1" showErrorMessage="1" sqref="B6">
      <formula1>"项目管理计划,配置管理计划,质量保证计划,问题解决管理计划,变更请求管理计划,系统需求规格说明书,软件需求规格说明书,系统架构设计说明书,软件架构设计说明书,软件详细设计说明书,软件模型,软件代码,软件单元验证计划,软件单元测试用例,软件集成和集成测试计划,软件集成测试用例,软件测试计划,软件测试用例,硬件测试计划,硬件测试用例,系统集成和集成测试计划,系统集成测试用例,系统测试计划,系统测试用例"</formula1>
    </dataValidation>
    <dataValidation type="list" allowBlank="1" showInputMessage="1" showErrorMessage="1" sqref="F6">
      <formula1>"走查,检查"</formula1>
    </dataValidation>
    <dataValidation type="list" allowBlank="1" showInputMessage="1" showErrorMessage="1" sqref="E9">
      <formula1>"评审对象工件数,评审对象页数,评审对象行数,评审对象其它"</formula1>
    </dataValidation>
    <dataValidation type="list" allowBlank="1" showInputMessage="1" showErrorMessage="1" sqref="B24:G24">
      <formula1>"判定OK的记入例1：无遗留事项,判定OK的记入例2：关于遗留事项，登录到问题管理进行follow,判定NG的记入例：明确事项的follow计划，实施再评审"</formula1>
    </dataValidation>
    <dataValidation type="list" allowBlank="1" showInputMessage="1" showErrorMessage="1" sqref="B25">
      <formula1>"不要,必要"</formula1>
    </dataValidation>
    <dataValidation type="list" allowBlank="1" showInputMessage="1" showErrorMessage="1" sqref="E11:E20">
      <formula1>"作者,评审人,记录人,裁决者,QA"</formula1>
    </dataValidation>
    <dataValidation type="list" allowBlank="1" showInputMessage="1" showErrorMessage="1" sqref="F11:F20">
      <formula1>"1:出席,2:缺席"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2"/>
  <sheetViews>
    <sheetView workbookViewId="0">
      <selection activeCell="A2" sqref="A2:XFD4"/>
    </sheetView>
  </sheetViews>
  <sheetFormatPr defaultColWidth="8.83203125" defaultRowHeight="13.5"/>
  <cols>
    <col min="1" max="1" width="5.83203125" style="28" customWidth="1"/>
    <col min="2" max="2" width="11" style="28" customWidth="1"/>
    <col min="3" max="3" width="12.08203125" style="28" customWidth="1"/>
    <col min="4" max="4" width="10.5" style="28" customWidth="1"/>
    <col min="5" max="5" width="8.83203125" style="28"/>
    <col min="6" max="6" width="21.33203125" style="28" customWidth="1"/>
    <col min="7" max="7" width="17.08203125" style="28" customWidth="1"/>
    <col min="8" max="8" width="14.5" style="28" customWidth="1"/>
    <col min="9" max="9" width="12.25" style="28" customWidth="1"/>
    <col min="10" max="10" width="18.33203125" style="28" customWidth="1"/>
    <col min="11" max="11" width="8.83203125" style="28"/>
    <col min="12" max="12" width="12.83203125" style="28" customWidth="1"/>
    <col min="13" max="13" width="8.83203125" style="28"/>
    <col min="14" max="14" width="13.83203125" style="28" customWidth="1"/>
    <col min="15" max="16384" width="8.83203125" style="28"/>
  </cols>
  <sheetData>
    <row r="1" spans="1:14" ht="46.5" customHeight="1">
      <c r="A1" s="129" t="s">
        <v>59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</row>
    <row r="2" spans="1:14" ht="42.5">
      <c r="A2" s="29" t="s">
        <v>60</v>
      </c>
      <c r="B2" s="30" t="s">
        <v>61</v>
      </c>
      <c r="C2" s="30" t="s">
        <v>62</v>
      </c>
      <c r="D2" s="31" t="s">
        <v>63</v>
      </c>
      <c r="E2" s="32" t="s">
        <v>64</v>
      </c>
      <c r="F2" s="30" t="s">
        <v>65</v>
      </c>
      <c r="G2" s="31" t="s">
        <v>66</v>
      </c>
      <c r="H2" s="33" t="s">
        <v>67</v>
      </c>
      <c r="I2" s="34" t="s">
        <v>68</v>
      </c>
      <c r="J2" s="34" t="s">
        <v>69</v>
      </c>
      <c r="K2" s="35" t="s">
        <v>70</v>
      </c>
      <c r="L2" s="36" t="s">
        <v>71</v>
      </c>
      <c r="M2" s="36" t="s">
        <v>72</v>
      </c>
      <c r="N2" s="36" t="s">
        <v>73</v>
      </c>
    </row>
    <row r="3" spans="1:14" ht="19.5" customHeight="1">
      <c r="A3" s="37">
        <v>1</v>
      </c>
      <c r="B3" s="37"/>
      <c r="C3" s="38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4" spans="1:14" ht="19.5" customHeight="1">
      <c r="A4" s="37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19.5" customHeight="1">
      <c r="A5" s="37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</row>
    <row r="6" spans="1:14" ht="19.5" customHeight="1">
      <c r="A6" s="37">
        <v>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4" ht="19.5" customHeight="1">
      <c r="A7" s="37">
        <v>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4" ht="19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4" ht="19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</row>
    <row r="10" spans="1:14" ht="19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</row>
    <row r="11" spans="1:14" ht="19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</row>
    <row r="12" spans="1:14" ht="19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</row>
    <row r="13" spans="1:14" ht="19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</row>
    <row r="14" spans="1:14" ht="19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</row>
    <row r="15" spans="1:14" ht="19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</row>
    <row r="16" spans="1:14" ht="19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</row>
    <row r="17" spans="1:14" ht="19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</row>
    <row r="18" spans="1:14" ht="19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4" ht="19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</row>
    <row r="20" spans="1:14" ht="19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</row>
    <row r="21" spans="1:14" ht="19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ht="19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</sheetData>
  <mergeCells count="1">
    <mergeCell ref="A1:N1"/>
  </mergeCells>
  <phoneticPr fontId="52" type="noConversion"/>
  <dataValidations count="1">
    <dataValidation type="list" allowBlank="1" showInputMessage="1" showErrorMessage="1" sqref="B3:B22">
      <formula1>"新建,分析中,实施中,评审中,确认中,已关闭"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7"/>
  <sheetViews>
    <sheetView view="pageBreakPreview" zoomScaleNormal="115" workbookViewId="0">
      <selection activeCell="B33" sqref="B33"/>
    </sheetView>
  </sheetViews>
  <sheetFormatPr defaultColWidth="9" defaultRowHeight="13"/>
  <cols>
    <col min="1" max="1" width="9" style="2"/>
    <col min="2" max="2" width="75" style="2" customWidth="1"/>
    <col min="3" max="3" width="13.08203125" style="3" customWidth="1"/>
    <col min="4" max="4" width="17.5" style="3" customWidth="1"/>
    <col min="5" max="5" width="13.08203125" style="3" customWidth="1"/>
    <col min="6" max="6" width="17.5" style="3" customWidth="1"/>
    <col min="7" max="16384" width="9" style="4"/>
  </cols>
  <sheetData>
    <row r="1" spans="1:6" ht="45" customHeight="1">
      <c r="A1" s="130" t="s">
        <v>74</v>
      </c>
      <c r="B1" s="131"/>
      <c r="C1" s="132"/>
      <c r="D1" s="132"/>
      <c r="E1" s="133"/>
      <c r="F1" s="134"/>
    </row>
    <row r="2" spans="1:6" ht="25.4" customHeight="1">
      <c r="A2" s="137" t="s">
        <v>75</v>
      </c>
      <c r="B2" s="139" t="s">
        <v>76</v>
      </c>
      <c r="C2" s="135" t="s">
        <v>77</v>
      </c>
      <c r="D2" s="135"/>
      <c r="E2" s="135" t="s">
        <v>78</v>
      </c>
      <c r="F2" s="136"/>
    </row>
    <row r="3" spans="1:6" ht="25.4" customHeight="1">
      <c r="A3" s="138"/>
      <c r="B3" s="140"/>
      <c r="C3" s="7" t="s">
        <v>79</v>
      </c>
      <c r="D3" s="5" t="s">
        <v>80</v>
      </c>
      <c r="E3" s="7" t="s">
        <v>79</v>
      </c>
      <c r="F3" s="6" t="s">
        <v>80</v>
      </c>
    </row>
    <row r="4" spans="1:6" ht="25.4" customHeight="1">
      <c r="A4" s="8">
        <v>1</v>
      </c>
      <c r="B4" s="9" t="s">
        <v>81</v>
      </c>
      <c r="C4" s="10"/>
      <c r="D4" s="11"/>
      <c r="E4" s="10"/>
      <c r="F4" s="12"/>
    </row>
    <row r="5" spans="1:6" ht="26">
      <c r="A5" s="13">
        <v>1.1000000000000001</v>
      </c>
      <c r="B5" s="14" t="s">
        <v>82</v>
      </c>
      <c r="C5" s="15"/>
      <c r="D5" s="16"/>
      <c r="E5" s="15"/>
      <c r="F5" s="17"/>
    </row>
    <row r="6" spans="1:6" ht="39.5">
      <c r="A6" s="13">
        <v>1.2</v>
      </c>
      <c r="B6" s="14" t="s">
        <v>83</v>
      </c>
      <c r="C6" s="15"/>
      <c r="D6" s="16"/>
      <c r="E6" s="15"/>
      <c r="F6" s="18"/>
    </row>
    <row r="7" spans="1:6" ht="30" customHeight="1">
      <c r="A7" s="13">
        <v>1.3</v>
      </c>
      <c r="B7" s="14" t="s">
        <v>84</v>
      </c>
      <c r="C7" s="15"/>
      <c r="D7" s="16"/>
      <c r="E7" s="15"/>
      <c r="F7" s="17"/>
    </row>
    <row r="8" spans="1:6" ht="46.5" customHeight="1">
      <c r="A8" s="13">
        <v>1.4</v>
      </c>
      <c r="B8" s="14" t="s">
        <v>85</v>
      </c>
      <c r="C8" s="15"/>
      <c r="D8" s="16"/>
      <c r="E8" s="15"/>
      <c r="F8" s="17"/>
    </row>
    <row r="9" spans="1:6" s="1" customFormat="1" ht="25.4" customHeight="1">
      <c r="A9" s="8">
        <v>2</v>
      </c>
      <c r="B9" s="9" t="s">
        <v>86</v>
      </c>
      <c r="C9" s="10"/>
      <c r="D9" s="11"/>
      <c r="E9" s="10"/>
      <c r="F9" s="12"/>
    </row>
    <row r="10" spans="1:6" s="1" customFormat="1" ht="26.5">
      <c r="A10" s="13">
        <v>2.1</v>
      </c>
      <c r="B10" s="19" t="s">
        <v>87</v>
      </c>
      <c r="C10" s="15"/>
      <c r="D10" s="16"/>
      <c r="E10" s="15"/>
      <c r="F10" s="17"/>
    </row>
    <row r="11" spans="1:6" s="1" customFormat="1" ht="26">
      <c r="A11" s="13">
        <v>2.2000000000000002</v>
      </c>
      <c r="B11" s="19" t="s">
        <v>88</v>
      </c>
      <c r="C11" s="15"/>
      <c r="D11" s="16"/>
      <c r="E11" s="15"/>
      <c r="F11" s="17"/>
    </row>
    <row r="12" spans="1:6" ht="39.5">
      <c r="A12" s="13">
        <v>2.2999999999999998</v>
      </c>
      <c r="B12" s="14" t="s">
        <v>89</v>
      </c>
      <c r="C12" s="15"/>
      <c r="D12" s="16"/>
      <c r="E12" s="15"/>
      <c r="F12" s="17"/>
    </row>
    <row r="13" spans="1:6" ht="26.5">
      <c r="A13" s="13">
        <v>2.4</v>
      </c>
      <c r="B13" s="14" t="s">
        <v>90</v>
      </c>
      <c r="C13" s="15"/>
      <c r="D13" s="16"/>
      <c r="E13" s="15"/>
      <c r="F13" s="17"/>
    </row>
    <row r="14" spans="1:6" ht="25.4" customHeight="1">
      <c r="A14" s="8" t="s">
        <v>91</v>
      </c>
      <c r="B14" s="9" t="s">
        <v>92</v>
      </c>
      <c r="C14" s="10"/>
      <c r="D14" s="20"/>
      <c r="E14" s="10"/>
      <c r="F14" s="21"/>
    </row>
    <row r="15" spans="1:6" ht="30" customHeight="1">
      <c r="A15" s="13">
        <v>3.1</v>
      </c>
      <c r="B15" s="22" t="s">
        <v>93</v>
      </c>
      <c r="C15" s="15"/>
      <c r="D15" s="16"/>
      <c r="E15" s="15"/>
      <c r="F15" s="17"/>
    </row>
    <row r="16" spans="1:6" ht="30" customHeight="1">
      <c r="A16" s="13">
        <v>3.2</v>
      </c>
      <c r="B16" s="22" t="s">
        <v>94</v>
      </c>
      <c r="C16" s="15"/>
      <c r="D16" s="16"/>
      <c r="E16" s="15"/>
      <c r="F16" s="17"/>
    </row>
    <row r="17" spans="1:6" ht="30" customHeight="1">
      <c r="A17" s="13">
        <v>3.3</v>
      </c>
      <c r="B17" s="22" t="s">
        <v>95</v>
      </c>
      <c r="C17" s="15"/>
      <c r="D17" s="16"/>
      <c r="E17" s="15"/>
      <c r="F17" s="17"/>
    </row>
    <row r="18" spans="1:6" ht="39">
      <c r="A18" s="13">
        <v>3.4</v>
      </c>
      <c r="B18" s="22" t="s">
        <v>96</v>
      </c>
      <c r="C18" s="15"/>
      <c r="D18" s="23"/>
      <c r="E18" s="15"/>
      <c r="F18" s="17"/>
    </row>
    <row r="19" spans="1:6" ht="25.4" customHeight="1">
      <c r="A19" s="8" t="s">
        <v>97</v>
      </c>
      <c r="B19" s="9" t="s">
        <v>98</v>
      </c>
      <c r="C19" s="10"/>
      <c r="D19" s="20"/>
      <c r="E19" s="10"/>
      <c r="F19" s="21"/>
    </row>
    <row r="20" spans="1:6" ht="46.5" customHeight="1">
      <c r="A20" s="13">
        <v>4.0999999999999996</v>
      </c>
      <c r="B20" s="24" t="s">
        <v>99</v>
      </c>
      <c r="C20" s="15"/>
      <c r="D20" s="16"/>
      <c r="E20" s="15"/>
      <c r="F20" s="17"/>
    </row>
    <row r="21" spans="1:6" ht="39">
      <c r="A21" s="13">
        <v>4.2</v>
      </c>
      <c r="B21" s="22" t="s">
        <v>100</v>
      </c>
      <c r="C21" s="15"/>
      <c r="D21" s="16"/>
      <c r="E21" s="15"/>
      <c r="F21" s="17"/>
    </row>
    <row r="22" spans="1:6" ht="46.5" customHeight="1">
      <c r="A22" s="13">
        <v>4.3</v>
      </c>
      <c r="B22" s="22" t="s">
        <v>101</v>
      </c>
      <c r="C22" s="15"/>
      <c r="D22" s="16"/>
      <c r="E22" s="15"/>
      <c r="F22" s="17"/>
    </row>
    <row r="23" spans="1:6" s="1" customFormat="1" ht="39">
      <c r="A23" s="13">
        <v>4.4000000000000004</v>
      </c>
      <c r="B23" s="25" t="s">
        <v>102</v>
      </c>
      <c r="C23" s="15"/>
      <c r="D23" s="26"/>
      <c r="E23" s="15"/>
      <c r="F23" s="17"/>
    </row>
    <row r="24" spans="1:6" ht="25.4" customHeight="1">
      <c r="A24" s="8" t="s">
        <v>103</v>
      </c>
      <c r="B24" s="9" t="s">
        <v>104</v>
      </c>
      <c r="C24" s="10"/>
      <c r="D24" s="20"/>
      <c r="E24" s="10"/>
      <c r="F24" s="21"/>
    </row>
    <row r="25" spans="1:6" ht="53">
      <c r="A25" s="13">
        <v>5.0999999999999996</v>
      </c>
      <c r="B25" s="22" t="s">
        <v>105</v>
      </c>
      <c r="C25" s="15"/>
      <c r="D25" s="16"/>
      <c r="E25" s="15"/>
      <c r="F25" s="17"/>
    </row>
    <row r="26" spans="1:6" ht="26">
      <c r="A26" s="13">
        <v>5.2</v>
      </c>
      <c r="B26" s="22" t="s">
        <v>106</v>
      </c>
      <c r="C26" s="15"/>
      <c r="D26" s="16"/>
      <c r="E26" s="15"/>
      <c r="F26" s="27"/>
    </row>
    <row r="27" spans="1:6" ht="30" customHeight="1">
      <c r="A27" s="13">
        <v>5.3</v>
      </c>
      <c r="B27" s="22" t="s">
        <v>107</v>
      </c>
      <c r="C27" s="15"/>
      <c r="D27" s="16"/>
      <c r="E27" s="15"/>
      <c r="F27" s="27"/>
    </row>
  </sheetData>
  <mergeCells count="5">
    <mergeCell ref="A1:F1"/>
    <mergeCell ref="C2:D2"/>
    <mergeCell ref="E2:F2"/>
    <mergeCell ref="A2:A3"/>
    <mergeCell ref="B2:B3"/>
  </mergeCells>
  <phoneticPr fontId="52" type="noConversion"/>
  <conditionalFormatting sqref="C6">
    <cfRule type="colorScale" priority="360">
      <colorScale>
        <cfvo type="min"/>
        <cfvo type="max"/>
        <color rgb="FFFF7128"/>
        <color rgb="FFFFEF9C"/>
      </colorScale>
    </cfRule>
  </conditionalFormatting>
  <conditionalFormatting sqref="E6">
    <cfRule type="colorScale" priority="90">
      <colorScale>
        <cfvo type="min"/>
        <cfvo type="max"/>
        <color rgb="FFFF7128"/>
        <color rgb="FFFFEF9C"/>
      </colorScale>
    </cfRule>
  </conditionalFormatting>
  <conditionalFormatting sqref="F6">
    <cfRule type="cellIs" dxfId="17" priority="362" operator="equal">
      <formula>"NC"</formula>
    </cfRule>
    <cfRule type="cellIs" dxfId="16" priority="363" operator="equal">
      <formula>"NC"</formula>
    </cfRule>
    <cfRule type="cellIs" dxfId="15" priority="364" operator="equal">
      <formula>"NC"</formula>
    </cfRule>
    <cfRule type="cellIs" dxfId="14" priority="365" operator="equal">
      <formula>"OK"</formula>
    </cfRule>
    <cfRule type="colorScale" priority="366">
      <colorScale>
        <cfvo type="min"/>
        <cfvo type="max"/>
        <color rgb="FFFF7128"/>
        <color rgb="FFFFEF9C"/>
      </colorScale>
    </cfRule>
  </conditionalFormatting>
  <conditionalFormatting sqref="C7">
    <cfRule type="colorScale" priority="359">
      <colorScale>
        <cfvo type="min"/>
        <cfvo type="max"/>
        <color rgb="FFFF7128"/>
        <color rgb="FFFFEF9C"/>
      </colorScale>
    </cfRule>
  </conditionalFormatting>
  <conditionalFormatting sqref="E7">
    <cfRule type="colorScale" priority="89">
      <colorScale>
        <cfvo type="min"/>
        <cfvo type="max"/>
        <color rgb="FFFF7128"/>
        <color rgb="FFFFEF9C"/>
      </colorScale>
    </cfRule>
  </conditionalFormatting>
  <conditionalFormatting sqref="C8">
    <cfRule type="colorScale" priority="358">
      <colorScale>
        <cfvo type="min"/>
        <cfvo type="max"/>
        <color rgb="FFFF7128"/>
        <color rgb="FFFFEF9C"/>
      </colorScale>
    </cfRule>
  </conditionalFormatting>
  <conditionalFormatting sqref="E8">
    <cfRule type="colorScale" priority="88">
      <colorScale>
        <cfvo type="min"/>
        <cfvo type="max"/>
        <color rgb="FFFF7128"/>
        <color rgb="FFFFEF9C"/>
      </colorScale>
    </cfRule>
  </conditionalFormatting>
  <conditionalFormatting sqref="C12">
    <cfRule type="colorScale" priority="357">
      <colorScale>
        <cfvo type="min"/>
        <cfvo type="max"/>
        <color rgb="FFFF7128"/>
        <color rgb="FFFFEF9C"/>
      </colorScale>
    </cfRule>
  </conditionalFormatting>
  <conditionalFormatting sqref="E12">
    <cfRule type="colorScale" priority="87">
      <colorScale>
        <cfvo type="min"/>
        <cfvo type="max"/>
        <color rgb="FFFF7128"/>
        <color rgb="FFFFEF9C"/>
      </colorScale>
    </cfRule>
  </conditionalFormatting>
  <conditionalFormatting sqref="C13">
    <cfRule type="colorScale" priority="376">
      <colorScale>
        <cfvo type="min"/>
        <cfvo type="max"/>
        <color rgb="FFFF7128"/>
        <color rgb="FFFFEF9C"/>
      </colorScale>
    </cfRule>
  </conditionalFormatting>
  <conditionalFormatting sqref="E13">
    <cfRule type="colorScale" priority="92">
      <colorScale>
        <cfvo type="min"/>
        <cfvo type="max"/>
        <color rgb="FFFF7128"/>
        <color rgb="FFFFEF9C"/>
      </colorScale>
    </cfRule>
  </conditionalFormatting>
  <conditionalFormatting sqref="C15:C18">
    <cfRule type="cellIs" dxfId="13" priority="77" operator="equal">
      <formula>"NC"</formula>
    </cfRule>
    <cfRule type="cellIs" dxfId="12" priority="78" operator="equal">
      <formula>"OK"</formula>
    </cfRule>
    <cfRule type="colorScale" priority="384">
      <colorScale>
        <cfvo type="min"/>
        <cfvo type="max"/>
        <color rgb="FFFF7128"/>
        <color rgb="FFFFEF9C"/>
      </colorScale>
    </cfRule>
  </conditionalFormatting>
  <conditionalFormatting sqref="C25:C27">
    <cfRule type="cellIs" dxfId="11" priority="65" operator="equal">
      <formula>"NC"</formula>
    </cfRule>
    <cfRule type="cellIs" dxfId="10" priority="66" operator="equal">
      <formula>"OK"</formula>
    </cfRule>
    <cfRule type="colorScale" priority="387">
      <colorScale>
        <cfvo type="min"/>
        <cfvo type="max"/>
        <color rgb="FFFF7128"/>
        <color rgb="FFFFEF9C"/>
      </colorScale>
    </cfRule>
  </conditionalFormatting>
  <conditionalFormatting sqref="E10:E11">
    <cfRule type="colorScale" priority="84">
      <colorScale>
        <cfvo type="min"/>
        <cfvo type="max"/>
        <color rgb="FFFF7128"/>
        <color rgb="FFFFEF9C"/>
      </colorScale>
    </cfRule>
  </conditionalFormatting>
  <conditionalFormatting sqref="E15:E18">
    <cfRule type="cellIs" dxfId="9" priority="73" operator="equal">
      <formula>"NC"</formula>
    </cfRule>
    <cfRule type="cellIs" dxfId="8" priority="74" operator="equal">
      <formula>"OK"</formula>
    </cfRule>
    <cfRule type="colorScale" priority="386">
      <colorScale>
        <cfvo type="min"/>
        <cfvo type="max"/>
        <color rgb="FFFF7128"/>
        <color rgb="FFFFEF9C"/>
      </colorScale>
    </cfRule>
  </conditionalFormatting>
  <conditionalFormatting sqref="E20:E23">
    <cfRule type="colorScale" priority="72">
      <colorScale>
        <cfvo type="min"/>
        <cfvo type="max"/>
        <color rgb="FFFF7128"/>
        <color rgb="FFFFEF9C"/>
      </colorScale>
    </cfRule>
  </conditionalFormatting>
  <conditionalFormatting sqref="E25:E27">
    <cfRule type="cellIs" dxfId="7" priority="61" operator="equal">
      <formula>"NC"</formula>
    </cfRule>
    <cfRule type="cellIs" dxfId="6" priority="62" operator="equal">
      <formula>"OK"</formula>
    </cfRule>
    <cfRule type="colorScale" priority="389">
      <colorScale>
        <cfvo type="min"/>
        <cfvo type="max"/>
        <color rgb="FFFF7128"/>
        <color rgb="FFFFEF9C"/>
      </colorScale>
    </cfRule>
  </conditionalFormatting>
  <conditionalFormatting sqref="C5:C8 C12:C13 E5:E8 E12:E13">
    <cfRule type="cellIs" dxfId="5" priority="355" operator="equal">
      <formula>"NC"</formula>
    </cfRule>
    <cfRule type="cellIs" dxfId="4" priority="356" operator="equal">
      <formula>"OK"</formula>
    </cfRule>
  </conditionalFormatting>
  <conditionalFormatting sqref="C12:C13 C5:C8">
    <cfRule type="colorScale" priority="377">
      <colorScale>
        <cfvo type="min"/>
        <cfvo type="max"/>
        <color rgb="FFFF7128"/>
        <color rgb="FFFFEF9C"/>
      </colorScale>
    </cfRule>
  </conditionalFormatting>
  <conditionalFormatting sqref="E12:E13 E5:E8">
    <cfRule type="colorScale" priority="383">
      <colorScale>
        <cfvo type="min"/>
        <cfvo type="max"/>
        <color rgb="FFFF7128"/>
        <color rgb="FFFFEF9C"/>
      </colorScale>
    </cfRule>
  </conditionalFormatting>
  <conditionalFormatting sqref="E10:E11 C10:C11">
    <cfRule type="colorScale" priority="83">
      <colorScale>
        <cfvo type="min"/>
        <cfvo type="max"/>
        <color rgb="FFFF7128"/>
        <color rgb="FFFFEF9C"/>
      </colorScale>
    </cfRule>
    <cfRule type="cellIs" dxfId="3" priority="81" operator="equal">
      <formula>"NC"</formula>
    </cfRule>
    <cfRule type="cellIs" dxfId="2" priority="82" operator="equal">
      <formula>"OK"</formula>
    </cfRule>
  </conditionalFormatting>
  <conditionalFormatting sqref="E20:E23 C20:C23">
    <cfRule type="colorScale" priority="71">
      <colorScale>
        <cfvo type="min"/>
        <cfvo type="max"/>
        <color rgb="FFFF7128"/>
        <color rgb="FFFFEF9C"/>
      </colorScale>
    </cfRule>
    <cfRule type="cellIs" dxfId="1" priority="69" operator="equal">
      <formula>"NC"</formula>
    </cfRule>
    <cfRule type="cellIs" dxfId="0" priority="70" operator="equal">
      <formula>"OK"</formula>
    </cfRule>
  </conditionalFormatting>
  <dataValidations count="1">
    <dataValidation type="list" allowBlank="1" showInputMessage="1" showErrorMessage="1" sqref="C5:C8 C10:C13 C15:C18 C20:C23 C25:C27 E5:E8 E10:E13 E15:E18 E20:E23 E25:E27">
      <formula1>"OK,NOK,NA"</formula1>
    </dataValidation>
  </dataValidations>
  <pageMargins left="0.7" right="0.7" top="0.75" bottom="0.75" header="0.3" footer="0.3"/>
  <pageSetup paperSize="9" scale="68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变更记录</vt:lpstr>
      <vt:lpstr>评审记录表</vt:lpstr>
      <vt:lpstr>Finding List</vt:lpstr>
      <vt:lpstr>SWE.6 软件测试计划评审检查单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6039514</dc:creator>
  <cp:lastModifiedBy>孟祥丽 (WFSS/TEC)</cp:lastModifiedBy>
  <cp:lastPrinted>2023-11-20T01:46:00Z</cp:lastPrinted>
  <dcterms:created xsi:type="dcterms:W3CDTF">2023-05-04T17:07:00Z</dcterms:created>
  <dcterms:modified xsi:type="dcterms:W3CDTF">2026-06-03T09:16:45Z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2023-05-04T09:07:22Z</vt:filetime>
  </property>
  <property fmtid="{D5CDD505-2E9C-101B-9397-08002B2CF9AE}" pid="4" name="ICV">
    <vt:lpwstr>F049695DB2FF4E6D86AEAE8287BFC5C2_12</vt:lpwstr>
  </property>
  <property fmtid="{D5CDD505-2E9C-101B-9397-08002B2CF9AE}" pid="5" name="KSOProductBuildVer">
    <vt:lpwstr>2052-12.1.0.25225</vt:lpwstr>
  </property>
  <property fmtid="{D5CDD505-2E9C-101B-9397-08002B2CF9AE}" pid="6" name="KSOReadingLayout">
    <vt:bool>true</vt:bool>
  </property>
  <property fmtid="{D5CDD505-2E9C-101B-9397-08002B2CF9AE}" pid="7" name="CalculationRule">
    <vt:i4>0</vt:i4>
  </property>
</Properties>
</file>