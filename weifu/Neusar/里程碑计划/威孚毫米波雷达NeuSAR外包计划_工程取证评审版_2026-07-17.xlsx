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tables/table10.xml" ContentType="application/vnd.openxmlformats-officedocument.spreadsheetml.table+xml"/>
  <Override PartName="/xl/worksheets/sheet17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f34885c04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清单List" sheetId="2" r:id="R3b33f707eef24c7f"/>
    <x:sheet xmlns:r="http://schemas.openxmlformats.org/officeDocument/2006/relationships" name="项目信息" sheetId="3" r:id="R5e68335478444703"/>
    <x:sheet xmlns:r="http://schemas.openxmlformats.org/officeDocument/2006/relationships" name="开发依赖物计划" sheetId="4" r:id="R05447175a3ef442b"/>
    <x:sheet xmlns:r="http://schemas.openxmlformats.org/officeDocument/2006/relationships" name="里程碑计划" sheetId="5" r:id="Rcdcb85a873404552"/>
    <x:sheet xmlns:r="http://schemas.openxmlformats.org/officeDocument/2006/relationships" name="NvM_BlockList" sheetId="6" r:id="R3174cb41a7f24b8c"/>
    <x:sheet xmlns:r="http://schemas.openxmlformats.org/officeDocument/2006/relationships" name="中断" sheetId="7" r:id="R97e89e4077b9453f"/>
    <x:sheet xmlns:r="http://schemas.openxmlformats.org/officeDocument/2006/relationships" name="开发计划" sheetId="8" r:id="R3a761a5b26b549b7"/>
    <x:sheet xmlns:r="http://schemas.openxmlformats.org/officeDocument/2006/relationships" name="00_评审结论" sheetId="9" r:id="R81fe58389ab54393"/>
    <x:sheet xmlns:r="http://schemas.openxmlformats.org/officeDocument/2006/relationships" name="01_调整后里程碑" sheetId="10" r:id="R650a0f2fb387447a"/>
    <x:sheet xmlns:r="http://schemas.openxmlformats.org/officeDocument/2006/relationships" name="02_细化开发计划" sheetId="11" r:id="Rcad0056a239c427c"/>
    <x:sheet xmlns:r="http://schemas.openxmlformats.org/officeDocument/2006/relationships" name="03_验收矩阵" sheetId="12" r:id="R0b809ee7b4f54e1d"/>
    <x:sheet xmlns:r="http://schemas.openxmlformats.org/officeDocument/2006/relationships" name="04_输入输出边界" sheetId="13" r:id="R738dbfaf91664630"/>
    <x:sheet xmlns:r="http://schemas.openxmlformats.org/officeDocument/2006/relationships" name="05_NvM配置详表" sheetId="14" r:id="Ra98cdd814643402d"/>
    <x:sheet xmlns:r="http://schemas.openxmlformats.org/officeDocument/2006/relationships" name="06_诊断配置基线" sheetId="15" r:id="R31436237807e447e"/>
    <x:sheet xmlns:r="http://schemas.openxmlformats.org/officeDocument/2006/relationships" name="07_平台通信调度基线" sheetId="16" r:id="R7a11e14dee474970"/>
    <x:sheet xmlns:r="http://schemas.openxmlformats.org/officeDocument/2006/relationships" name="08_待确认与风险" sheetId="17" r:id="R07fa51372f9342b1"/>
    <x:sheet xmlns:r="http://schemas.openxmlformats.org/officeDocument/2006/relationships" name="09_证据索引" sheetId="18" r:id="R0989457136944b02"/>
  </x:sheets>
</x:workbook>
</file>

<file path=xl/sharedStrings.xml><?xml version="1.0" encoding="utf-8"?>
<x:sst xmlns:x="http://schemas.openxmlformats.org/spreadsheetml/2006/main">
  <x:si>
    <x:t xml:space="preserve">编号</x:t>
  </x:si>
  <x:si>
    <x:t xml:space="preserve">问题描述</x:t>
  </x:si>
  <x:si>
    <x:t xml:space="preserve">影响模块</x:t>
  </x:si>
  <x:si>
    <x:t xml:space="preserve">严重程度</x:t>
  </x:si>
  <x:si>
    <x:t xml:space="preserve">提出方</x:t>
  </x:si>
  <x:si>
    <x:t xml:space="preserve">提出人</x:t>
  </x:si>
  <x:si>
    <x:t xml:space="preserve">提出时间</x:t>
  </x:si>
  <x:si>
    <x:t xml:space="preserve">问题回复</x:t>
  </x:si>
  <x:si>
    <x:t xml:space="preserve">回复时间</x:t>
  </x:si>
  <x:si>
    <x:t xml:space="preserve">回复人</x:t>
  </x:si>
  <x:si>
    <x:t xml:space="preserve">问题状态</x:t>
  </x:si>
  <x:si>
    <x:t xml:space="preserve">虽然已经提供了DBC文件，但希望也提供下excel的矩阵文档</x:t>
  </x:si>
  <x:si>
    <x:t xml:space="preserve">CAN</x:t>
  </x:si>
  <x:si>
    <x:t xml:space="preserve">阻塞</x:t>
  </x:si>
  <x:si>
    <x:t xml:space="preserve">睿驰</x:t>
  </x:si>
  <x:si>
    <x:t xml:space="preserve">耿家铭</x:t>
  </x:si>
  <x:si>
    <x:t xml:space="preserve">根据DBC来，文档如果要可自行cantools转</x:t>
  </x:si>
  <x:si>
    <x:t xml:space="preserve">WF</x:t>
  </x:si>
  <x:si>
    <x:t xml:space="preserve">已关闭</x:t>
  </x:si>
  <x:si>
    <x:t xml:space="preserve">DBC导入时对应的是哪个Network Node</x:t>
  </x:si>
  <x:si>
    <x:t xml:space="preserve">1.RadarRearLeft
2.CR_RL</x:t>
  </x:si>
  <x:si>
    <x:t xml:space="preserve">如有路由需求，请提供路由表</x:t>
  </x:si>
  <x:si>
    <x:t xml:space="preserve">先按无网关路由配置PduR；保留Com/DCM/XCP到CanIf的正常路由；按DBC/CanIf/PduR配置Tx/Rx PDU</x:t>
  </x:si>
  <x:si>
    <x:t xml:space="preserve">缺少标定相关需求</x:t>
  </x:si>
  <x:si>
    <x:t xml:space="preserve">XCP</x:t>
  </x:si>
  <x:si>
    <x:t xml:space="preserve">
首版不启用XCP，建议可建立XCP on CAN配置、PDU映射、10ms MainFunction和A2L生成链路，后续提供详细需求</x:t>
  </x:si>
  <x:si>
    <x:t xml:space="preserve">处理中</x:t>
  </x:si>
  <x:si>
    <x:t xml:space="preserve">OS配置依赖中断列表，需提供需要配置的中断信息及对应中断的栈大小</x:t>
  </x:si>
  <x:si>
    <x:t xml:space="preserve">OS</x:t>
  </x:si>
  <x:si>
    <x:t xml:space="preserve">周健</x:t>
  </x:si>
  <x:si>
    <x:t xml:space="preserve">见中断配置</x:t>
  </x:si>
  <x:si>
    <x:t xml:space="preserve">OS task部署中缺少：
1.TaskStackSize信息
2.Task类型是基础Task还是拓展Task信息
3.OsTask_ECU_Startup是作为初始化Task吗？</x:t>
  </x:si>
  <x:si>
    <x:t xml:space="preserve">初步10个Task，均为Basic Task/BCC2，无Extended Task、无Event，Activation=10。
任务优先级建议配置：ASW_100ms=5，Trigger66ms=6，ASW_10ms=10，BSW_SwcRequest=15，ASW_20ms=20，BSW_10ms=30，MmWaveCtrl=50，DPM=55，ECU_Startup=60，TriggerWave=70。
TaskStackSize如要配置可依据实际配置，先给默认值，后续调整（注：WF这边走的统一栈）
ECU_Startup作为启动初始化任务
</x:t>
  </x:si>
  <x:si>
    <x:r>
      <x:rPr>
        <x:b/>
        <x:i/>
        <x:sz val="1200"/>
        <x:color rgb="FF000000"/>
        <x:rFont val="宋体"/>
      </x:rPr>
      <x:t xml:space="preserve">开发依赖物中ASW(应用层软件)ARXML备注"无ARXML，RTE支持ASW手写接入即可"，但在里程碑计划中： "RTE：生成RTE骨架、SchM接口、ASW Stub，支持我方ASW先行移植"
无Arxml无法进行BSW（Com、Dcm、Dem等）与ASW之间接口Map，无法生成RTE，与里程牌计划中功能描述冲突，需确认是否无Arxml提供
</x:t>
    </x:r>
    <x:r>
      <x:rPr>
        <x:b/>
        <x:i/>
        <x:sz val="1200"/>
        <x:color rgb="FF000000"/>
        <x:rFont val="宋体"/>
      </x:rPr>
      <x:t xml:space="preserve">2026/7/11：如无ARXML，需提供完整接口列表（接口名，接口用途），用于各模块配置func与ASW进行连接，另外MapCom依赖Arxml，否则无法生成ComXf,E2EXf等内容，需提供MapCom使用的Arxml</x:t>
    </x:r>
  </x:si>
  <x:si>
    <x:t xml:space="preserve">RTE</x:t>
  </x:si>
  <x:si>
    <x:t xml:space="preserve">无ARXML提供，首版本生成RTE/SchM/BSW/osNeeds;ASW可手写Stub或者手写函数接入</x:t>
  </x:si>
  <x:si>
    <x:t xml:space="preserve">待确认</x:t>
  </x:si>
  <x:si>
    <x:r>
      <x:rPr>
        <x:b/>
        <x:i/>
        <x:sz val="1200"/>
        <x:color rgb="FF000000"/>
        <x:rFont val="宋体"/>
      </x:rPr>
      <x:t xml:space="preserve">Mcal配置需求缺少详细输入，如HSI文档或其他可指导配置的文档，如时钟主频；每路CAN类型、波特率；SPI主从模式、通信速率；DIO对应端口及名称等内容，当前输入内容无法指导配置
</x:t>
    </x:r>
    <x:r>
      <x:rPr>
        <x:b/>
        <x:i/>
        <x:sz val="1200"/>
        <x:color rgb="FF000000"/>
        <x:rFont val="宋体"/>
      </x:rPr>
      <x:t xml:space="preserve">2026/7/10：依据SCH-RCU63HA09.pdf文档中无法确定各模块详细配置信息，会有其它文档提供吗？需提供更完整的需求输入或详细的配置需求</x:t>
    </x:r>
  </x:si>
  <x:si>
    <x:t xml:space="preserve">Mcal</x:t>
  </x:si>
  <x:si>
    <x:t xml:space="preserve">Mcal：Adc,DMA,Ipc,Dio,Fls,Gpt,Mcu,Port,Spi
CAN：2路Mcan，CANFD配置500K/2M. SPI用于PMIC/外部看门狗
QSPI/Fls/Fee按外部Flash用途配置
具体可见原理图</x:t>
  </x:si>
  <x:si>
    <x:t xml:space="preserve">ES11项目-ECU级诊断需求-CR_RR_V1.0.xlsx中"System DID"和"ECU DID"两个sheet是否只对应0x22和0x2E服务；其中读写状态列表示支持哪类服务【R：只支持0x22，W；支持0x2E，R/W：0x22/0x2E都支持】</x:t>
  </x:si>
  <x:si>
    <x:t xml:space="preserve">DCM</x:t>
  </x:si>
  <x:si>
    <x:t xml:space="preserve">陈新龙</x:t>
  </x:si>
  <x:si>
    <x:r>
      <x:rPr>
        <x:b/>
        <x:i/>
        <x:sz val="1200"/>
        <x:color rgb="FF000000"/>
        <x:rFont val="宋体"/>
      </x:rPr>
      <x:t xml:space="preserve">ES11项目-ECU级诊断需求-CR_RR_V1.0.xlsx中"System DID"和"ECU DID"两个sheet是否只对应0x22和0x2E服务；</x:t>
    </x:r>
    <x:r>
      <x:rPr>
        <x:b/>
        <x:i/>
        <x:sz val="1200"/>
        <x:color rgb="FF000000"/>
        <x:rFont val="宋体"/>
      </x:rPr>
      <x:t xml:space="preserve">是的
</x:t>
    </x:r>
    <x:r>
      <x:rPr>
        <x:b/>
        <x:i/>
        <x:sz val="1200"/>
        <x:color rgb="FF000000"/>
        <x:rFont val="宋体"/>
      </x:rPr>
      <x:t xml:space="preserve">其中读写状态列表示支持哪类服务【R：只支持0x22，W；支持0x2E，R/W：0x22/0x2E都支持】</x:t>
    </x:r>
    <x:r>
      <x:rPr>
        <x:b/>
        <x:i/>
        <x:sz val="1200"/>
        <x:color rgb="FF000000"/>
        <x:rFont val="宋体"/>
      </x:rPr>
      <x:t xml:space="preserve">对的，R就是22，W是2E，RW是都支持</x:t>
    </x:r>
  </x:si>
  <x:si>
    <x:t xml:space="preserve">各诊断服务ID支持的会话和安全解锁等级都参考，ES11项目-ECU级诊断需求-CR_RR_V1.0.xlsx中"Service"sheet,不会存在某个服务ID，如0x2F下的各个DID需要支持不同会话和安全解锁等级</x:t>
  </x:si>
  <x:si>
    <x:t xml:space="preserve">见依赖物诊断需求service sheet</x:t>
  </x:si>
  <x:si>
    <x:r>
      <x:rPr>
        <x:b/>
        <x:i/>
        <x:sz val="1200"/>
        <x:color rgb="FF000000"/>
        <x:rFont val="宋体"/>
      </x:rPr>
      <x:t xml:space="preserve">需要提供诊断企标和诊断通信企标文档
</x:t>
    </x:r>
    <x:r>
      <x:rPr>
        <x:b/>
        <x:i/>
        <x:sz val="1200"/>
        <x:color rgb="FF000000"/>
        <x:rFont val="宋体"/>
      </x:rPr>
      <x:t xml:space="preserve">2026/07/11 能否有其他诊断相关的文档指导配置，当前的Excel主要包含UDS服务定义、DTC列表及部分底层通信参数。还缺少其他配置信息，如GeneralInfo中STmin等参数的具体取值，DTC列表里缺少去抖（Debouncing）和老化（Aging）策略</x:t>
    </x:r>
  </x:si>
  <x:si>
    <x:r>
      <x:rPr>
        <x:b/>
        <x:i/>
        <x:sz val="1200"/>
        <x:color rgb="FF000000"/>
        <x:rFont val="等线"/>
      </x:rPr>
      <x:t xml:space="preserve">CANID见DBC；别的先按默认配置，配完需给配置表，后续wf确认
</x:t>
    </x:r>
    <x:r>
      <x:rPr>
        <x:b/>
        <x:i/>
        <x:sz val="1200"/>
        <x:color rgb="FF000000"/>
        <x:rFont val="等线"/>
      </x:rPr>
      <x:t xml:space="preserve">2026/07/13 会议澄清，按reach默认及项目经验配置，额外细节配置再单独QA提出</x:t>
    </x:r>
  </x:si>
  <x:si>
    <x:r>
      <x:rPr>
        <x:b/>
        <x:i/>
        <x:sz val="1200"/>
        <x:color rgb="FF000000"/>
        <x:rFont val="宋体"/>
      </x:rPr>
      <x:t xml:space="preserve">缺少完整的Nvm BlockList信息表，当前只有一个block list.jpg的截图，无法支持配置。当前根据截图理解上是不是需要使用104个Nvm Block？
</x:t>
    </x:r>
    <x:r>
      <x:rPr>
        <x:b/>
        <x:i/>
        <x:sz val="1200"/>
        <x:color rgb="FF000000"/>
        <x:rFont val="宋体"/>
      </x:rPr>
      <x:t xml:space="preserve">2026/07/11 新追加的NvM_BlockList不够支持配置，缺少信息，能否提供如下图的配置信息列表
</x:t>
    </x:r>
  </x:si>
  <x:si>
    <x:t xml:space="preserve">NVM</x:t>
  </x:si>
  <x:si>
    <x:r>
      <x:rPr>
        <x:b/>
        <x:i/>
        <x:sz val="1200"/>
        <x:color rgb="FF000000"/>
        <x:rFont val="等线"/>
      </x:rPr>
      <x:t xml:space="preserve">见NvM_BlockList Sheet
</x:t>
    </x:r>
    <x:r>
      <x:rPr>
        <x:b/>
        <x:i/>
        <x:sz val="1200"/>
        <x:color rgb="FF000000"/>
        <x:rFont val="等线"/>
      </x:rPr>
      <x:t xml:space="preserve">2026/07/13 会议澄清，按reach默认及项目经验配置，额外细节配置再单独QA提出</x:t>
    </x:r>
  </x:si>
  <x:si>
    <x:t xml:space="preserve">缺少WdgM的具体应用监视需求</x:t>
  </x:si>
  <x:si>
    <x:t xml:space="preserve">WdgM</x:t>
  </x:si>
  <x:si>
    <x:t xml:space="preserve">后续提供</x:t>
  </x:si>
  <x:si>
    <x:t xml:space="preserve">在不需要STBM模块且作为cantsyn从节点前提下，时间同步链路方案是？cantsyn报文具体参数需求请提供</x:t>
  </x:si>
  <x:si>
    <x:t xml:space="preserve">CanTSyn</x:t>
  </x:si>
  <x:si>
    <x:t xml:space="preserve">尹骏斐</x:t>
  </x:si>
  <x:si>
    <x:t xml:space="preserve">保留StbM，CanTSyn同步到StbM timeBase，具体方案后续讨论</x:t>
  </x:si>
  <x:si>
    <x:r>
      <x:rPr>
        <x:b/>
        <x:i/>
        <x:sz val="1200"/>
        <x:color rgb="FF000000"/>
        <x:rFont val="宋体"/>
      </x:rPr>
      <x:t xml:space="preserve">缺少Fee 扇区相关的配置要求。
</x:t>
    </x:r>
    <x:r>
      <x:rPr>
        <x:b/>
        <x:i/>
        <x:sz val="1200"/>
        <x:color rgb="FF000000"/>
        <x:rFont val="宋体"/>
      </x:rPr>
      <x:t xml:space="preserve">2026/07/11 扇区的地址和大小等信息缺失，是否其他文档能提供相应配置信息</x:t>
    </x:r>
  </x:si>
  <x:si>
    <x:t xml:space="preserve">Fee</x:t>
  </x:si>
  <x:si>
    <x:t xml:space="preserve">邹佳言</x:t>
  </x:si>
  <x:si>
    <x:r>
      <x:rPr>
        <x:b/>
        <x:i/>
        <x:sz val="1200"/>
        <x:color rgb="FF000000"/>
        <x:rFont val="等线"/>
      </x:rPr>
      <x:t xml:space="preserve">先两扇区Fee配置Fee/Fls/NVM映射，保留冗余块策略
</x:t>
    </x:r>
    <x:r>
      <x:rPr>
        <x:b/>
        <x:i/>
        <x:sz val="1200"/>
        <x:color rgb="FF000000"/>
        <x:rFont val="等线"/>
      </x:rPr>
      <x:t xml:space="preserve">2026/07/13 会议澄清，WF会后提供相关配置信息，reach再做确认</x:t>
    </x:r>
  </x:si>
  <x:si>
    <x:t xml:space="preserve">诊断需求文档中，“System DID”页有多个DID的“是否支持”列没有写明是Y还是N，请确认是否是需要配置的DID。</x:t>
  </x:si>
  <x:si>
    <x:t xml:space="preserve">暂时全都支持</x:t>
  </x:si>
  <x:si>
    <x:t xml:space="preserve">诊断需求文档中，根据“Service”页的描述，不支持2F服务，认为可以忽略“IOControl”页，这种理解是否正确？</x:t>
  </x:si>
  <x:si>
    <x:t xml:space="preserve">先按支持2F来</x:t>
  </x:si>
  <x:si>
    <x:r>
      <x:rPr>
        <x:b/>
        <x:i/>
        <x:sz val="1200"/>
        <x:color rgb="FF000000"/>
        <x:rFont val="宋体"/>
      </x:rPr>
      <x:t xml:space="preserve">诊断需求文档中，“DTC-List”页“是否有报警提示”列为Y的故障是否表示需要配置点灯相关内容？如果是的话，需要提供灯的种类，亮/灭分别需要的操作循环种类及次数等内容。
</x:t>
    </x:r>
    <x:r>
      <x:rPr>
        <x:b/>
        <x:i/>
        <x:sz val="1200"/>
        <x:color rgb="FF000000"/>
        <x:rFont val="宋体"/>
      </x:rPr>
      <x:t xml:space="preserve">2026/07/11 DTC不需要有报警灯的配置？是否是没有此类需求了</x:t>
    </x:r>
  </x:si>
  <x:si>
    <x:t xml:space="preserve">DEM</x:t>
  </x:si>
  <x:si>
    <x:r>
      <x:rPr>
        <x:b/>
        <x:i/>
        <x:sz val="1200"/>
        <x:color rgb="FF000000"/>
        <x:rFont val="宋体"/>
      </x:rPr>
      <x:t xml:space="preserve">忽略此列
</x:t>
    </x:r>
    <x:r>
      <x:rPr>
        <x:b/>
        <x:i/>
        <x:sz val="1200"/>
        <x:color rgb="FF000000"/>
        <x:rFont val="宋体"/>
      </x:rPr>
      <x:t xml:space="preserve">2026/07/13 会议澄清，不需要有报警灯的配置</x:t>
    </x:r>
  </x:si>
  <x:si>
    <x:t xml:space="preserve">诊断需求文档中缺少FiM相关的需求，请提供。</x:t>
  </x:si>
  <x:si>
    <x:t xml:space="preserve">FiM</x:t>
  </x:si>
  <x:si>
    <x:t xml:space="preserve">首版不需要，后续提供</x:t>
  </x:si>
  <x:si>
    <x:t xml:space="preserve">TI芯片的Mcal应与SDK搭配使用，当前Mcal指定的SDK版本是哪个版本？</x:t>
  </x:si>
  <x:si>
    <x:t xml:space="preserve">请确认RadarRearLeft的报文是否仅有这几个</x:t>
  </x:si>
  <x:si>
    <x:t xml:space="preserve">一般</x:t>
  </x:si>
  <x:si>
    <x:r>
      <x:rPr>
        <x:sz val="1200"/>
        <x:color rgb="FF000000"/>
      </x:rPr>
      <x:t xml:space="preserve">已更新DBC</x:t>
    </x:r>
    <x:r>
      <x:rPr>
        <x:sz val="1200"/>
        <x:color rgb="FF000000"/>
      </x:rPr>
      <x:t xml:space="preserve">
</x:t>
    </x:r>
    <x:r>
      <x:rPr>
        <x:u val="single"/>
        <x:sz val="1200"/>
        <x:color rgb="FF000000"/>
      </x:rPr>
      <x:t xml:space="preserve">PCAN.dbc</x:t>
    </x:r>
    <x:r>
      <x:rPr>
        <x:sz val="1200"/>
        <x:color rgb="FF000000"/>
      </x:rPr>
      <x:t xml:space="preserve"> </x:t>
    </x:r>
  </x:si>
  <x:si>
    <x:t xml:space="preserve">E2E使用哪种算法</x:t>
  </x:si>
  <x:si>
    <x:t xml:space="preserve">首版先使用Profile01算法</x:t>
  </x:si>
  <x:si>
    <x:t xml:space="preserve">mcal-config_02_02_07_00的plugins中无配置说明、集成说明及Demo工程示例，配置说明、集成说明及Demo工程示例是否由Ti单独提供？如TI已提供上述内容请提供。</x:t>
  </x:si>
  <x:si>
    <x:t xml:space="preserve">是否可提供基础编译工程、Debug夹具的开关说明和硬件刷写说明？</x:t>
  </x:si>
  <x:si>
    <x:t xml:space="preserve">环境</x:t>
  </x:si>
  <x:si>
    <x:t xml:space="preserve">ES11项目-ECU级诊断需求-CR_RR_V1.0.xlsx的"Service"sheet中，0x35服务设定为不支持，实际是否确实不要上传服务</x:t>
  </x:si>
  <x:si>
    <x:t xml:space="preserve">当前Dcm 服务访问内存的读写功能的地址范围是多少？0x34服务等需要有关联的配置依赖</x:t>
  </x:si>
  <x:si>
    <x:t xml:space="preserve">0x27服务的2个安全等级(Level1, Level35)的Seed/Key长度未提供</x:t>
  </x:si>
  <x:si>
    <x:t xml:space="preserve">需要提供x27服务的算法，对应使用的接口是什么</x:t>
  </x:si>
  <x:si>
    <x:t xml:space="preserve">"System DID"sheet中0xF1BB, 0xF1BC, 0xF1BD, 0xF1B7, 0xF1AB等DID的数据长度有缺失，没有定义</x:t>
  </x:si>
  <x:si>
    <x:t xml:space="preserve">"GeneralInfo"sheet中有两组P2，P2*，S3（一组带ECU后缀，一组没有），哪组是我们的配置需求</x:t>
  </x:si>
  <x:si>
    <x:t xml:space="preserve">0x28服务禁止通信的CANID有哪些，具体的范围是什么</x:t>
  </x:si>
  <x:si>
    <x:t xml:space="preserve">"DTC-List"sheet中对应DTC的去抖算法未定义（如基于Timer或基于Counter），对应的参数未提供</x:t>
  </x:si>
  <x:si>
    <x:t xml:space="preserve">"DTC-List"sheet中对应DTC的故障确认循环次数未提供，各个DTC是否需要配置不同值</x:t>
  </x:si>
  <x:si>
    <x:t xml:space="preserve">"DTC-List"sheet中对应DTC的老化参数有缺失，当前只有老化阈值，其他如老化的操作周期，不同DTC是否启用老化等配置是否有需求提供</x:t>
  </x:si>
  <x:si>
    <x:t xml:space="preserve">"Service.sheet"中需要支持的NRC 0x22（条件不满足），0x92（电压过高），0x93（电压过低）需要有外部接口提供</x:t>
  </x:si>
  <x:si>
    <x:t xml:space="preserve">NRC78的最大响应次数是多少，是否有要求？</x:t>
  </x:si>
  <x:si>
    <x:t xml:space="preserve">27服务超时后，失败次数是否需要减一？</x:t>
  </x:si>
  <x:si>
    <x:t xml:space="preserve">"DTC-List"sheet中的故障码等级是表示优先级的？是数字越小优先越高？表格中加删除线的DTC是否不需要配置？</x:t>
  </x:si>
  <x:si>
    <x:t xml:space="preserve">故障状态掩码是否设为FF？</x:t>
  </x:si>
  <x:si>
    <x:t xml:space="preserve">要求故障代码能存储多少条？DTC的存入策略是立即存还是下电存？</x:t>
  </x:si>
  <x:si>
    <x:t xml:space="preserve">快照数据获取的接口，是通过SWC还是RTE的形式？</x:t>
  </x:si>
  <x:si>
    <x:t xml:space="preserve">诊断报文是否有路由的需求？</x:t>
  </x:si>
  <x:si>
    <x:t xml:space="preserve">一个故障的老化循环和操作循环使用相同类型的循环吗？</x:t>
  </x:si>
  <x:si>
    <x:t xml:space="preserve">Dcm和Dem都分配task周期是否有要求?</x:t>
  </x:si>
  <x:si>
    <x:t xml:space="preserve">Neusar工具配置的Dem相关的故障的存储项有以下类型，BlockList中的描述不太相符，请确认。</x:t>
  </x:si>
  <x:si>
    <x:t xml:space="preserve">NvM</x:t>
  </x:si>
  <x:si>
    <x:t xml:space="preserve">这边认为"诊断DID/车辆配置数据"指的是通过Dcm-NvM存储DID的数据（不是通过应用/中间件-NvM存储的数据），这种理解是否正确？</x:t>
  </x:si>
  <x:si>
    <x:t xml:space="preserve">"诊断DID/车辆配置数据"请明确写出对应的是哪个DID，防止关联出错。</x:t>
  </x:si>
  <x:si>
    <x:t xml:space="preserve">Neusar工具提供的诊断安全访问相关的存储项只有一个Block，长度为安全等级个数+1，存储内容为AttemptCounter。BlockList中三个“诊断安全访问/安全数据”分别代表什么含义？是使用Neusar工具走Dcm-NvM的存储还是通过应用/中间件-NvM存储数据?</x:t>
  </x:si>
  <x:si>
    <x:t xml:space="preserve">这边认为除了"NvM系统保留"、"诊断DID/车辆配置数据"、"诊断安全访问/安全数据"、"诊断/故障事件存储"之外的Block都是通过应用/中间件进行存储的Block，这种理解是否正确？
如果是的话，请提供对应的Ram/Rom地址及对应的头文件。</x:t>
  </x:si>
  <x:si>
    <x:t xml:space="preserve">存储还有部分内容需要提供：
1.Fee和NvM主函数的调度周期
2.Fee每个Sector的地址和大小
3.各Block是否有优先级的要求？</x:t>
  </x:si>
  <x:si>
    <x:t xml:space="preserve">当前dbc中所有的信号都是以单个信号存在的，没有信号组。
(所有需要配置E2E的报文，其关联信号必须配置成信号组，否则配不了E2E)</x:t>
  </x:si>
  <x:si>
    <x:t xml:space="preserve">项目背景</x:t>
  </x:si>
  <x:si>
    <x:t xml:space="preserve">控制器类型</x:t>
  </x:si>
  <x:si>
    <x:t xml:space="preserve">毫米波雷达</x:t>
  </x:si>
  <x:si>
    <x:t xml:space="preserve">主芯片MCU</x:t>
  </x:si>
  <x:si>
    <x:t xml:space="preserve">TI 2E44LC(复用TI AWR294x)</x:t>
  </x:si>
  <x:si>
    <x:t xml:space="preserve">AUTOSAR 版本</x:t>
  </x:si>
  <x:si>
    <x:t xml:space="preserve">NeuSAR cCore 4.0_AUTOSAR R21-11</x:t>
  </x:si>
  <x:si>
    <x:t xml:space="preserve">编译器及版本</x:t>
  </x:si>
  <x:si>
    <x:t xml:space="preserve">ti-cgt-armllvm_3.2.2.LTS（ccs1281）</x:t>
  </x:si>
  <x:si>
    <x:t xml:space="preserve">目标OEM企业标准</x:t>
  </x:si>
  <x:si>
    <x:t xml:space="preserve">九识无人车</x:t>
  </x:si>
  <x:si>
    <x:t xml:space="preserve">总线通讯方式：</x:t>
  </x:si>
  <x:si>
    <x:t xml:space="preserve">2路</x:t>
  </x:si>
  <x:si>
    <x:t xml:space="preserve">收发器：</x:t>
  </x:si>
  <x:si>
    <x:t xml:space="preserve">TCAN1043ADYYR-Q1</x:t>
  </x:si>
  <x:si>
    <x:t xml:space="preserve">CDD驱动由用户自主开发</x:t>
  </x:si>
  <x:si>
    <x:t xml:space="preserve">CANFD</x:t>
  </x:si>
  <x:si>
    <x:t xml:space="preserve">控制器外设：</x:t>
  </x:si>
  <x:si>
    <x:t xml:space="preserve">外部SBC</x:t>
  </x:si>
  <x:si>
    <x:t xml:space="preserve">芯片型号：</x:t>
  </x:si>
  <x:si>
    <x:t xml:space="preserve">LP87745-Q1</x:t>
  </x:si>
  <x:si>
    <x:t xml:space="preserve">外部ETH Switch</x:t>
  </x:si>
  <x:si>
    <x:t xml:space="preserve">无</x:t>
  </x:si>
  <x:si>
    <x:t xml:space="preserve">TBD</x:t>
  </x:si>
  <x:si>
    <x:t xml:space="preserve">外部FLASH</x:t>
  </x:si>
  <x:si>
    <x:t xml:space="preserve">W25Q32JVSSSQT</x:t>
  </x:si>
  <x:si>
    <x:t xml:space="preserve">外部EEPROM</x:t>
  </x:si>
  <x:si>
    <x:t xml:space="preserve">其他外设</x:t>
  </x:si>
  <x:si>
    <x:t xml:space="preserve">应用层（功能）软件开发方式：</x:t>
  </x:si>
  <x:si>
    <x:t xml:space="preserve">采用手写代码或其他方式生成的非AUTOSAR标准架构的应用层软件</x:t>
  </x:si>
  <x:si>
    <x:t xml:space="preserve">芯片底层驱动软件的提供方式：</x:t>
  </x:si>
  <x:si>
    <x:t xml:space="preserve">提供芯片原厂商的MCAL软件</x:t>
  </x:si>
  <x:si>
    <x:t xml:space="preserve">开发依赖物</x:t>
  </x:si>
  <x:si>
    <x:t xml:space="preserve">资源描述</x:t>
  </x:si>
  <x:si>
    <x:t xml:space="preserve">数量</x:t>
  </x:si>
  <x:si>
    <x:t xml:space="preserve">提供时间</x:t>
  </x:si>
  <x:si>
    <x:t xml:space="preserve">控制器硬件板+线束（验证硬件接口正常）</x:t>
  </x:si>
  <x:si>
    <x:t xml:space="preserve">至少4</x:t>
  </x:si>
  <x:si>
    <x:t xml:space="preserve">T0</x:t>
  </x:si>
  <x:si>
    <x:t xml:space="preserve">编译器（协商）</x:t>
  </x:si>
  <x:si>
    <x:t xml:space="preserve">IDE版本：CCS1281 编译器版本号：ti-cgt-armllvm_3.2.2.LTS</x:t>
  </x:si>
  <x:si>
    <x:t xml:space="preserve">调试器（协商）</x:t>
  </x:si>
  <x:si>
    <x:t xml:space="preserve">XDS110</x:t>
  </x:si>
  <x:si>
    <x:t xml:space="preserve">主板硬件接线图，硬件IO MAP和硬件原理图及测试点位图</x:t>
  </x:si>
  <x:si>
    <x:t xml:space="preserve">见附件文件夹“硬件相关”</x:t>
  </x:si>
  <x:si>
    <x:t xml:space="preserve">MCAL软件及配置工具（如MCAL配置服务睿驰提供）</x:t>
  </x:si>
  <x:si>
    <x:t xml:space="preserve">见附件文件夹“MCAL软件及配置工具”，EB版本无限制</x:t>
  </x:si>
  <x:si>
    <x:t xml:space="preserve">在板运行正常的MCAL驱动软件工程（如MCAL配置由客户主责）</x:t>
  </x:si>
  <x:si>
    <x:t xml:space="preserve">-</x:t>
  </x:si>
  <x:si>
    <x:t xml:space="preserve">ASW(应用层软件) ARXML</x:t>
  </x:si>
  <x:si>
    <x:t xml:space="preserve">无ARXML，RTE支持ASW手写接入即可</x:t>
  </x:si>
  <x:si>
    <x:t xml:space="preserve">CAN通讯矩阵（DBC或ARXML）</x:t>
  </x:si>
  <x:si>
    <x:t xml:space="preserve">见附件文件夹“CAN通讯矩阵”</x:t>
  </x:si>
  <x:si>
    <x:t xml:space="preserve">通讯相关规范</x:t>
  </x:si>
  <x:si>
    <x:t xml:space="preserve">见附件文件夹“通讯及NM规范”</x:t>
  </x:si>
  <x:si>
    <x:r>
      <x:rPr>
        <x:b/>
        <x:i/>
        <x:sz val="1100"/>
        <x:color rgb="FF3F3F3F"/>
        <x:rFont val="宋体"/>
      </x:rPr>
      <x:t xml:space="preserve">诊断需求调查表或ODX文件</x:t>
    </x:r>
    <x:r>
      <x:rPr>
        <x:b/>
        <x:i/>
        <x:sz val="1100"/>
        <x:color rgb="FFFF0000"/>
        <x:rFont val="宋体"/>
      </x:rPr>
      <x:t xml:space="preserve">（客户可提供EXCEL诊断需求调查表） </x:t>
    </x:r>
  </x:si>
  <x:si>
    <x:t xml:space="preserve">见附件文件夹“诊断需求调查表”</x:t>
  </x:si>
  <x:si>
    <x:t xml:space="preserve">UDS诊断规范</x:t>
  </x:si>
  <x:si>
    <x:t xml:space="preserve">以ISO 14229-1完成即可，需要包含所有UDS服务</x:t>
  </x:si>
  <x:si>
    <x:t xml:space="preserve">网络管理NM企标规范</x:t>
  </x:si>
  <x:si>
    <x:t xml:space="preserve">Memory Map</x:t>
  </x:si>
  <x:si>
    <x:t xml:space="preserve">见附件文件夹“Memory Map”</x:t>
  </x:si>
  <x:si>
    <x:t xml:space="preserve">HSM固件及符合AUTOSAR规范的CryptoDriver及配置工具（如HSM配置由睿驰提供）</x:t>
  </x:si>
  <x:si>
    <x:t xml:space="preserve">HSM固件及在板正常运行的CRYPTO驱动软件工程（如HSM配置由客户主责）</x:t>
  </x:si>
  <x:si>
    <x:t xml:space="preserve">CDD外设芯片手册</x:t>
  </x:si>
  <x:si>
    <x:t xml:space="preserve">在板运行正常的CDD外设驱动软件及使用说明</x:t>
  </x:si>
  <x:si>
    <x:t xml:space="preserve">程序刷写流程规范（Bootloader由睿驰开发，刷写流程规范由睿驰定义）</x:t>
  </x:si>
  <x:si>
    <x:t xml:space="preserve">OS task部署</x:t>
  </x:si>
  <x:si>
    <x:t xml:space="preserve">见附件文件夹“OS task部署”</x:t>
  </x:si>
  <x:si>
    <x:t xml:space="preserve">存储策略及block list</x:t>
  </x:si>
  <x:si>
    <x:t xml:space="preserve">见附件文件夹“block list”</x:t>
  </x:si>
  <x:si>
    <x:t xml:space="preserve">XCP标定需求</x:t>
  </x:si>
  <x:si>
    <x:t xml:space="preserve">首版暂不用做，后续再补充</x:t>
  </x:si>
  <x:si>
    <x:t xml:space="preserve">看门狗监视列表</x:t>
  </x:si>
  <x:si>
    <x:t xml:space="preserve">Mcal配置需求</x:t>
  </x:si>
  <x:si>
    <x:t xml:space="preserve">CAN路数：2 , SPI路数：1 ,UART路数：2, ADC路数：12, DIO路数：32, WDG, Fls, Gpt, Ipc, Mcu,Port,edma</x:t>
  </x:si>
  <x:si>
    <x:t xml:space="preserve">里程碑名称</x:t>
  </x:si>
  <x:si>
    <x:t xml:space="preserve">内容功能描述</x:t>
  </x:si>
  <x:si>
    <x:t xml:space="preserve">交付物</x:t>
  </x:si>
  <x:si>
    <x:t xml:space="preserve">计划</x:t>
  </x:si>
  <x:si>
    <x:t xml:space="preserve">备注</x:t>
  </x:si>
  <x:si>
    <x:t xml:space="preserve">定点/合同签署</x:t>
  </x:si>
  <x:si>
    <x:t xml:space="preserve">AutoSAR BSW软件</x:t>
  </x:si>
  <x:si>
    <x:t xml:space="preserve">1，NeuSAR cCore工具
2，工具授权key
3，技术手册
4，工具测试报告
5，ReleaseNote</x:t>
  </x:si>
  <x:si>
    <x:t xml:space="preserve">项目立项</x:t>
  </x:si>
  <x:si>
    <x:t xml:space="preserve">T1：快速跑通主链路</x:t>
  </x:si>
  <x:si>
    <x:t xml:space="preserve">【工程服务交付功能】
目标：快速跑通毫米波雷达主链路，让我方ASW/RF开发可以并行展开。
1. NeuSAR配置
- OS：OS SC1，启动任务、BSW 10ms、ASW 10/20/100ms、MmWaveCtrl、DPM、Trigger66ms等任务正确调度
- 系统服务(EcuM/BswM)：实现上电启动、最小初始化顺序、BSW进入主循环
- RTE：生成RTE骨架、SchM接口、ASW Stub，支持我方ASW先行移植
- CAN通信：Can/CanIf/PduR最小Tx/Rx，CAN/CANFD调试输出可用
2. MCAL配置
- MCU/Port/Dio：基础时钟、PinMux、启动依赖配置
- Can：CAN/CANFD最小通信驱动集成
- Ipc/eDMA：Mailbox/IPC、eDMA和共享内存基础能力
- Fls：仅满足最小APP刷写/启动闭环需要
3. CDD/毫米波链路集成
- mmWave/RF初始化、mmWaveLink控制链路打通
- Mailbox/IPC与协处理核交互打通
- eDMA/共享内存数据链路可用，处理cache、对齐、内存段问题
4. 系统集成
- NeuSAR、MCAL、CDD、RTE、ASW Stub集成编译
- APP可刷写、可启动，形成最小刷写闭环</x:t>
  </x:si>
  <x:si>
    <x:t xml:space="preserve">1. NeuSAR最小配置工程
2. MCAL最小配置工程
3. RTE骨架和ASW Stub
4. mmWaveLink+Mailbox/IPC适配代码/配置
5. eDMA/共享内存示例和说明
6. CAN/CANFD最小通信工程
7. 最小Boot/APP刷写手顺
8. 集成编译工程
9. 阶段1自测报告和KnownIssues</x:t>
  </x:si>
  <x:si>
    <x:t xml:space="preserve">T0+6周</x:t>
  </x:si>
  <x:si>
    <x:t xml:space="preserve">阶段1不追求完整UDS/NvM/NM/XCP量产功能；验收核心是我方能基于该平台开始RF移植、信号处理、数据处理和任务调优。</x:t>
  </x:si>
  <x:si>
    <x:t xml:space="preserve">T2：完成OEM强相关功能</x:t>
  </x:si>
  <x:si>
    <x:t xml:space="preserve">【工程服务交付功能】
目标：补齐面向OEM集成测试的AUTOSAR功能，量产交付。
1. NeuSAR配置
- 诊断协议栈(Dcm/CanTp)：DID、Routine、会话、安全访问、通信控制等
- 故障管理(Dem/FiM/Det)：DTC、事件状态、老化、抑制、故障快照/扩展数据
- 存储协议栈(NvM/MemIf/Fee)：按BYD策略启动ReadAll，运行期显式WriteBlock，配置Block List和默认值
- 网络管理(Nm/CanNm/ComM/CanSM/BswM)：实现CAN/CANFD休眠唤醒、FullCom/NoCom、诊断保持通信
- 系统服务(WdgM/WdgIf)：明确WdgM Alive/Deadline边界，并与外部看门狗策略区分
- 标定(XCP/A2L)：XCP on CAN/CANFD、动态CAN ID、DAQ、Seed&amp;Key、A2L一致性
2. MCAL配置
- Fls：与Fee/NvM集成，实现Flash存取
- Spi/Dio/Gpt：按BYD实际LP87745 PMIC/外部watchdog链路集成
- Can：支持诊断、网络管理、XCP和OEM通信
3. CDD/外设集成
- LP87745 PMIC、外部Watchdog、TCAN1043、错误日志等CDD按硬件实际补齐
4. 系统集成
- 支持我方ASW调用诊断、存储、网络管理、Wdg、XCP等BSW服务接口
- 完成OEM强相关功能集成和自测</x:t>
  </x:si>
  <x:si>
    <x:t xml:space="preserve">1. NeuSAR完整功能配置工程
2. MCAL配置工程
3. 集成编译工程
4. DID/DTC/Routine矩阵
5. NvM Block List、默认值、Fee/Fls布局和寿命评估
6. NM/ComM/CanSM/BswM配置和休眠唤醒测试报告
7. Wdg/PMIC外部看门狗测试报告
8. XCP配置、A2L、测量/标定变量清单、INCA/CANape测试报告
9. BSW功能自测报告和KnownIssues</x:t>
  </x:si>
  <x:si>
    <x:t xml:space="preserve">T1+5周</x:t>
  </x:si>
  <x:si>
    <x:r>
      <x:rPr>
        <x:b/>
        <x:i/>
        <x:sz val="1100"/>
        <x:color rgb="FF000000"/>
        <x:rFont val="宋体"/>
      </x:rPr>
      <x:t xml:space="preserve">该阶段与我方ASW集成同步推进，实现量产交付。
</x:t>
    </x:r>
    <x:r>
      <x:rPr>
        <x:b/>
        <x:i/>
        <x:sz val="1100"/>
        <x:color rgb="FF000000"/>
        <x:rFont val="宋体"/>
      </x:rPr>
      <x:t xml:space="preserve">信息安全与功能安全需求待讨论。</x:t>
    </x:r>
  </x:si>
  <x:si>
    <x:t xml:space="preserve">BT1</x:t>
  </x:si>
  <x:si>
    <x:t xml:space="preserve">1，Bootloaser基本烧录开发
2，Bootloader基本功能自测</x:t>
  </x:si>
  <x:si>
    <x:t xml:space="preserve">1，Bootloader源码工程
2，Bootloader自测报告（烧录及调试手顺）
</x:t>
  </x:si>
  <x:si>
    <x:t xml:space="preserve">BT0+9周</x:t>
  </x:si>
  <x:si>
    <x:t xml:space="preserve">BT需求待讨论。</x:t>
  </x:si>
  <x:si>
    <x:t xml:space="preserve">验收</x:t>
  </x:si>
  <x:si>
    <x:t xml:space="preserve">1，交付验收
2，功能验收
3，功能测试</x:t>
  </x:si>
  <x:si>
    <x:t xml:space="preserve">1，DeliverNote
2，验收单</x:t>
  </x:si>
  <x:si>
    <x:t xml:space="preserve">T1+8周</x:t>
  </x:si>
  <x:si>
    <x:t xml:space="preserve">培训</x:t>
  </x:si>
  <x:si>
    <x:t xml:space="preserve">NeuSAR cCore工具使用</x:t>
  </x:si>
  <x:si>
    <x:t xml:space="preserve">技术手册</x:t>
  </x:si>
  <x:si>
    <x:t xml:space="preserve">现场或线上，培训次数不少于2次，每次培训不少于4小时</x:t>
  </x:si>
  <x:si>
    <x:t xml:space="preserve">技术支持</x:t>
  </x:si>
  <x:si>
    <x:t xml:space="preserve">1，质保期内，提供升级版本的交付物、远程技术支持（电话或电子邮件）；
2，如发现问题流出，睿驰先行提供解决方案，后续双方协商是否升级软件Patch版本。</x:t>
  </x:si>
  <x:si>
    <x:t xml:space="preserve">QAList</x:t>
  </x:si>
  <x:si>
    <x:t xml:space="preserve">验收后12个月</x:t>
  </x:si>
  <x:si>
    <x:t xml:space="preserve">1,远程技术支持时间为工作日8小时</x:t>
  </x:si>
  <x:si>
    <x:t xml:space="preserve">Block ID</x:t>
  </x:si>
  <x:si>
    <x:t xml:space="preserve">Block 名称</x:t>
  </x:si>
  <x:si>
    <x:t xml:space="preserve">长度(Byte)</x:t>
  </x:si>
  <x:si>
    <x:t xml:space="preserve">分类/用途</x:t>
  </x:si>
  <x:si>
    <x:t xml:space="preserve">0</x:t>
  </x:si>
  <x:si>
    <x:t xml:space="preserve">NvM_MultiBlock</x:t>
  </x:si>
  <x:si>
    <x:t xml:space="preserve">1</x:t>
  </x:si>
  <x:si>
    <x:t xml:space="preserve">NvM系统保留</x:t>
  </x:si>
  <x:si>
    <x:t xml:space="preserve">NvM_ConfigId</x:t>
  </x:si>
  <x:si>
    <x:t xml:space="preserve">2</x:t>
  </x:si>
  <x:si>
    <x:t xml:space="preserve">NvMBlock_LogisticData</x:t>
  </x:si>
  <x:si>
    <x:t xml:space="preserve">128</x:t>
  </x:si>
  <x:si>
    <x:t xml:space="preserve">应用/系统持久化数据</x:t>
  </x:si>
  <x:si>
    <x:t xml:space="preserve">3</x:t>
  </x:si>
  <x:si>
    <x:t xml:space="preserve">NVM_OS_ErrorlogOsErrorHook</x:t>
  </x:si>
  <x:si>
    <x:t xml:space="preserve">370</x:t>
  </x:si>
  <x:si>
    <x:t xml:space="preserve">复位/PMIC/OS错误日志</x:t>
  </x:si>
  <x:si>
    <x:t xml:space="preserve">4</x:t>
  </x:si>
  <x:si>
    <x:t xml:space="preserve">NVM_OS_ErrorlogOsShutdown</x:t>
  </x:si>
  <x:si>
    <x:t xml:space="preserve">44</x:t>
  </x:si>
  <x:si>
    <x:t xml:space="preserve">5</x:t>
  </x:si>
  <x:si>
    <x:t xml:space="preserve">NVM_OS_ErrorlogOsWdgReset</x:t>
  </x:si>
  <x:si>
    <x:t xml:space="preserve">6</x:t>
  </x:si>
  <x:si>
    <x:t xml:space="preserve">NVM_OS_ErrorlogActiveReset</x:t>
  </x:si>
  <x:si>
    <x:t xml:space="preserve">7</x:t>
  </x:si>
  <x:si>
    <x:t xml:space="preserve">NVM_PMIC_DTC_ERROR</x:t>
  </x:si>
  <x:si>
    <x:t xml:space="preserve">40</x:t>
  </x:si>
  <x:si>
    <x:t xml:space="preserve">8</x:t>
  </x:si>
  <x:si>
    <x:t xml:space="preserve">CustDID_APPVersion</x:t>
  </x:si>
  <x:si>
    <x:t xml:space="preserve">诊断DID/车辆配置数据</x:t>
  </x:si>
  <x:si>
    <x:t xml:space="preserve">9</x:t>
  </x:si>
  <x:si>
    <x:t xml:space="preserve">CustDID_DisBetFrontandRear</x:t>
  </x:si>
  <x:si>
    <x:t xml:space="preserve">10</x:t>
  </x:si>
  <x:si>
    <x:t xml:space="preserve">CustDID_DisBetLeftandRight_0x126A</x:t>
  </x:si>
  <x:si>
    <x:t xml:space="preserve">11</x:t>
  </x:si>
  <x:si>
    <x:t xml:space="preserve">CustDID_ECUHWVersionNumber</x:t>
  </x:si>
  <x:si>
    <x:t xml:space="preserve">12</x:t>
  </x:si>
  <x:si>
    <x:t xml:space="preserve">CustDID_ECUSoftwareCode</x:t>
  </x:si>
  <x:si>
    <x:t xml:space="preserve">13</x:t>
  </x:si>
  <x:si>
    <x:t xml:space="preserve">CustDID_FBLVersion</x:t>
  </x:si>
  <x:si>
    <x:t xml:space="preserve">14</x:t>
  </x:si>
  <x:si>
    <x:t xml:space="preserve">CustDID_ProductionMode</x:t>
  </x:si>
  <x:si>
    <x:t xml:space="preserve">15</x:t>
  </x:si>
  <x:si>
    <x:t xml:space="preserve">NvMBlockDescriptor_ECUConfiguration</x:t>
  </x:si>
  <x:si>
    <x:t xml:space="preserve">16</x:t>
  </x:si>
  <x:si>
    <x:t xml:space="preserve">CustDID_TargetPosition_0x1266</x:t>
  </x:si>
  <x:si>
    <x:t xml:space="preserve">17</x:t>
  </x:si>
  <x:si>
    <x:t xml:space="preserve">CustDID_VIN</x:t>
  </x:si>
  <x:si>
    <x:t xml:space="preserve">18</x:t>
  </x:si>
  <x:si>
    <x:t xml:space="preserve">CustDID_VariantCoding</x:t>
  </x:si>
  <x:si>
    <x:t xml:space="preserve">19</x:t>
  </x:si>
  <x:si>
    <x:t xml:space="preserve">CustDID_WheelBase</x:t>
  </x:si>
  <x:si>
    <x:t xml:space="preserve">20</x:t>
  </x:si>
  <x:si>
    <x:t xml:space="preserve">NvM_PowerOn_Counter</x:t>
  </x:si>
  <x:si>
    <x:t xml:space="preserve">21</x:t>
  </x:si>
  <x:si>
    <x:t xml:space="preserve">NvM_RadarPosition_ETHOnly</x:t>
  </x:si>
  <x:si>
    <x:t xml:space="preserve">标定/雷达安装参数</x:t>
  </x:si>
  <x:si>
    <x:t xml:space="preserve">22</x:t>
  </x:si>
  <x:si>
    <x:t xml:space="preserve">Cust_SecurityAccesscounter</x:t>
  </x:si>
  <x:si>
    <x:t xml:space="preserve">诊断安全访问/安全数据</x:t>
  </x:si>
  <x:si>
    <x:t xml:space="preserve">23</x:t>
  </x:si>
  <x:si>
    <x:t xml:space="preserve">Dia_SecurityAccesscounter</x:t>
  </x:si>
  <x:si>
    <x:t xml:space="preserve">24</x:t>
  </x:si>
  <x:si>
    <x:t xml:space="preserve">ECUM_CFG_NVM_BLOCK</x:t>
  </x:si>
  <x:si>
    <x:t xml:space="preserve">启动/刷写状态</x:t>
  </x:si>
  <x:si>
    <x:t xml:space="preserve">25</x:t>
  </x:si>
  <x:si>
    <x:t xml:space="preserve">NVM_ADAS_HMISwitch</x:t>
  </x:si>
  <x:si>
    <x:t xml:space="preserve">26</x:t>
  </x:si>
  <x:si>
    <x:t xml:space="preserve">NVM_Calibration_EffStatus</x:t>
  </x:si>
  <x:si>
    <x:t xml:space="preserve">27</x:t>
  </x:si>
  <x:si>
    <x:t xml:space="preserve">NVM_Calibration_OnlineStatus</x:t>
  </x:si>
  <x:si>
    <x:t xml:space="preserve">30</x:t>
  </x:si>
  <x:si>
    <x:t xml:space="preserve">28</x:t>
  </x:si>
  <x:si>
    <x:t xml:space="preserve">NVM_Calibration_TriggerStatus</x:t>
  </x:si>
  <x:si>
    <x:t xml:space="preserve">29</x:t>
  </x:si>
  <x:si>
    <x:t xml:space="preserve">NVM_ID_DEM_EXTRA_INFO_0</x:t>
  </x:si>
  <x:si>
    <x:t xml:space="preserve">32</x:t>
  </x:si>
  <x:si>
    <x:t xml:space="preserve">诊断/故障事件存储</x:t>
  </x:si>
  <x:si>
    <x:t xml:space="preserve">NVM_ID_DEM_EXTRA_INFO_1</x:t>
  </x:si>
  <x:si>
    <x:t xml:space="preserve">31</x:t>
  </x:si>
  <x:si>
    <x:t xml:space="preserve">NVM_ID_DEM_EXTRA_INFO_10</x:t>
  </x:si>
  <x:si>
    <x:t xml:space="preserve">NVM_ID_DEM_EXTRA_INFO_11</x:t>
  </x:si>
  <x:si>
    <x:t xml:space="preserve">33</x:t>
  </x:si>
  <x:si>
    <x:t xml:space="preserve">NVM_ID_DEM_EXTRA_INFO_12</x:t>
  </x:si>
  <x:si>
    <x:t xml:space="preserve">34</x:t>
  </x:si>
  <x:si>
    <x:t xml:space="preserve">NVM_ID_DEM_EXTRA_INFO_13</x:t>
  </x:si>
  <x:si>
    <x:t xml:space="preserve">35</x:t>
  </x:si>
  <x:si>
    <x:t xml:space="preserve">NVM_ID_DEM_EXTRA_INFO_14</x:t>
  </x:si>
  <x:si>
    <x:t xml:space="preserve">36</x:t>
  </x:si>
  <x:si>
    <x:t xml:space="preserve">NVM_ID_DEM_EXTRA_INFO_15</x:t>
  </x:si>
  <x:si>
    <x:t xml:space="preserve">37</x:t>
  </x:si>
  <x:si>
    <x:t xml:space="preserve">NVM_ID_DEM_EXTRA_INFO_16</x:t>
  </x:si>
  <x:si>
    <x:t xml:space="preserve">38</x:t>
  </x:si>
  <x:si>
    <x:t xml:space="preserve">NVM_ID_DEM_EXTRA_INFO_17</x:t>
  </x:si>
  <x:si>
    <x:t xml:space="preserve">39</x:t>
  </x:si>
  <x:si>
    <x:t xml:space="preserve">NVM_ID_DEM_EXTRA_INFO_18</x:t>
  </x:si>
  <x:si>
    <x:t xml:space="preserve">NVM_ID_DEM_EXTRA_INFO_19</x:t>
  </x:si>
  <x:si>
    <x:t xml:space="preserve">41</x:t>
  </x:si>
  <x:si>
    <x:t xml:space="preserve">NVM_ID_DEM_EXTRA_INFO_2</x:t>
  </x:si>
  <x:si>
    <x:t xml:space="preserve">42</x:t>
  </x:si>
  <x:si>
    <x:t xml:space="preserve">NVM_ID_DEM_EXTRA_INFO_3</x:t>
  </x:si>
  <x:si>
    <x:t xml:space="preserve">43</x:t>
  </x:si>
  <x:si>
    <x:t xml:space="preserve">NVM_ID_DEM_EXTRA_INFO_4</x:t>
  </x:si>
  <x:si>
    <x:t xml:space="preserve">NVM_ID_DEM_EXTRA_INFO_5</x:t>
  </x:si>
  <x:si>
    <x:t xml:space="preserve">45</x:t>
  </x:si>
  <x:si>
    <x:t xml:space="preserve">NVM_ID_DEM_EXTRA_INFO_6</x:t>
  </x:si>
  <x:si>
    <x:t xml:space="preserve">46</x:t>
  </x:si>
  <x:si>
    <x:t xml:space="preserve">NVM_ID_DEM_EXTRA_INFO_7</x:t>
  </x:si>
  <x:si>
    <x:t xml:space="preserve">47</x:t>
  </x:si>
  <x:si>
    <x:t xml:space="preserve">NVM_ID_DEM_EXTRA_INFO_8</x:t>
  </x:si>
  <x:si>
    <x:t xml:space="preserve">48</x:t>
  </x:si>
  <x:si>
    <x:t xml:space="preserve">NVM_ID_DEM_EXTRA_INFO_9</x:t>
  </x:si>
  <x:si>
    <x:t xml:space="preserve">49</x:t>
  </x:si>
  <x:si>
    <x:t xml:space="preserve">NVM_ID_DEM_GENERIC_NV_DATA</x:t>
  </x:si>
  <x:si>
    <x:t xml:space="preserve">50</x:t>
  </x:si>
  <x:si>
    <x:t xml:space="preserve">NVM_ID_EVMEM_LOC_0</x:t>
  </x:si>
  <x:si>
    <x:t xml:space="preserve">51</x:t>
  </x:si>
  <x:si>
    <x:t xml:space="preserve">NVM_ID_EVMEM_LOC_1</x:t>
  </x:si>
  <x:si>
    <x:t xml:space="preserve">52</x:t>
  </x:si>
  <x:si>
    <x:t xml:space="preserve">NVM_ID_EVMEM_LOC_10</x:t>
  </x:si>
  <x:si>
    <x:t xml:space="preserve">53</x:t>
  </x:si>
  <x:si>
    <x:t xml:space="preserve">NVM_ID_EVMEM_LOC_11</x:t>
  </x:si>
  <x:si>
    <x:t xml:space="preserve">54</x:t>
  </x:si>
  <x:si>
    <x:t xml:space="preserve">NVM_ID_EVMEM_LOC_12</x:t>
  </x:si>
  <x:si>
    <x:t xml:space="preserve">55</x:t>
  </x:si>
  <x:si>
    <x:t xml:space="preserve">NVM_ID_EVMEM_LOC_13</x:t>
  </x:si>
  <x:si>
    <x:t xml:space="preserve">56</x:t>
  </x:si>
  <x:si>
    <x:t xml:space="preserve">NVM_ID_EVMEM_LOC_14</x:t>
  </x:si>
  <x:si>
    <x:t xml:space="preserve">57</x:t>
  </x:si>
  <x:si>
    <x:t xml:space="preserve">NVM_ID_EVMEM_LOC_15</x:t>
  </x:si>
  <x:si>
    <x:t xml:space="preserve">58</x:t>
  </x:si>
  <x:si>
    <x:t xml:space="preserve">NVM_ID_EVMEM_LOC_16</x:t>
  </x:si>
  <x:si>
    <x:t xml:space="preserve">59</x:t>
  </x:si>
  <x:si>
    <x:t xml:space="preserve">NVM_ID_EVMEM_LOC_17</x:t>
  </x:si>
  <x:si>
    <x:t xml:space="preserve">60</x:t>
  </x:si>
  <x:si>
    <x:t xml:space="preserve">NVM_ID_EVMEM_LOC_18</x:t>
  </x:si>
  <x:si>
    <x:t xml:space="preserve">61</x:t>
  </x:si>
  <x:si>
    <x:t xml:space="preserve">NVM_ID_EVMEM_LOC_19</x:t>
  </x:si>
  <x:si>
    <x:t xml:space="preserve">62</x:t>
  </x:si>
  <x:si>
    <x:t xml:space="preserve">NVM_ID_EVMEM_LOC_2</x:t>
  </x:si>
  <x:si>
    <x:t xml:space="preserve">63</x:t>
  </x:si>
  <x:si>
    <x:t xml:space="preserve">NVM_ID_EVMEM_LOC_20</x:t>
  </x:si>
  <x:si>
    <x:t xml:space="preserve">64</x:t>
  </x:si>
  <x:si>
    <x:t xml:space="preserve">NVM_ID_EVMEM_LOC_21</x:t>
  </x:si>
  <x:si>
    <x:t xml:space="preserve">65</x:t>
  </x:si>
  <x:si>
    <x:t xml:space="preserve">NVM_ID_EVMEM_LOC_22</x:t>
  </x:si>
  <x:si>
    <x:t xml:space="preserve">66</x:t>
  </x:si>
  <x:si>
    <x:t xml:space="preserve">NVM_ID_EVMEM_LOC_23</x:t>
  </x:si>
  <x:si>
    <x:t xml:space="preserve">67</x:t>
  </x:si>
  <x:si>
    <x:t xml:space="preserve">NVM_ID_EVMEM_LOC_24</x:t>
  </x:si>
  <x:si>
    <x:t xml:space="preserve">68</x:t>
  </x:si>
  <x:si>
    <x:t xml:space="preserve">NVM_ID_EVMEM_LOC_25</x:t>
  </x:si>
  <x:si>
    <x:t xml:space="preserve">69</x:t>
  </x:si>
  <x:si>
    <x:t xml:space="preserve">NVM_ID_EVMEM_LOC_26</x:t>
  </x:si>
  <x:si>
    <x:t xml:space="preserve">70</x:t>
  </x:si>
  <x:si>
    <x:t xml:space="preserve">NVM_ID_EVMEM_LOC_27</x:t>
  </x:si>
  <x:si>
    <x:t xml:space="preserve">71</x:t>
  </x:si>
  <x:si>
    <x:t xml:space="preserve">NVM_ID_EVMEM_LOC_28</x:t>
  </x:si>
  <x:si>
    <x:t xml:space="preserve">72</x:t>
  </x:si>
  <x:si>
    <x:t xml:space="preserve">NVM_ID_EVMEM_LOC_29</x:t>
  </x:si>
  <x:si>
    <x:t xml:space="preserve">73</x:t>
  </x:si>
  <x:si>
    <x:t xml:space="preserve">NVM_ID_EVMEM_LOC_3</x:t>
  </x:si>
  <x:si>
    <x:t xml:space="preserve">74</x:t>
  </x:si>
  <x:si>
    <x:t xml:space="preserve">NVM_ID_EVMEM_LOC_30</x:t>
  </x:si>
  <x:si>
    <x:t xml:space="preserve">75</x:t>
  </x:si>
  <x:si>
    <x:t xml:space="preserve">NVM_ID_EVMEM_LOC_31</x:t>
  </x:si>
  <x:si>
    <x:t xml:space="preserve">76</x:t>
  </x:si>
  <x:si>
    <x:t xml:space="preserve">NVM_ID_EVMEM_LOC_32</x:t>
  </x:si>
  <x:si>
    <x:t xml:space="preserve">77</x:t>
  </x:si>
  <x:si>
    <x:t xml:space="preserve">NVM_ID_EVMEM_LOC_33</x:t>
  </x:si>
  <x:si>
    <x:t xml:space="preserve">78</x:t>
  </x:si>
  <x:si>
    <x:t xml:space="preserve">NVM_ID_EVMEM_LOC_34</x:t>
  </x:si>
  <x:si>
    <x:t xml:space="preserve">79</x:t>
  </x:si>
  <x:si>
    <x:t xml:space="preserve">NVM_ID_EVMEM_LOC_35</x:t>
  </x:si>
  <x:si>
    <x:t xml:space="preserve">80</x:t>
  </x:si>
  <x:si>
    <x:t xml:space="preserve">NVM_ID_EVMEM_LOC_36</x:t>
  </x:si>
  <x:si>
    <x:t xml:space="preserve">81</x:t>
  </x:si>
  <x:si>
    <x:t xml:space="preserve">NVM_ID_EVMEM_LOC_37</x:t>
  </x:si>
  <x:si>
    <x:t xml:space="preserve">82</x:t>
  </x:si>
  <x:si>
    <x:t xml:space="preserve">NVM_ID_EVMEM_LOC_38</x:t>
  </x:si>
  <x:si>
    <x:t xml:space="preserve">83</x:t>
  </x:si>
  <x:si>
    <x:t xml:space="preserve">NVM_ID_EVMEM_LOC_39</x:t>
  </x:si>
  <x:si>
    <x:t xml:space="preserve">84</x:t>
  </x:si>
  <x:si>
    <x:t xml:space="preserve">NVM_ID_EVMEM_LOC_4</x:t>
  </x:si>
  <x:si>
    <x:t xml:space="preserve">85</x:t>
  </x:si>
  <x:si>
    <x:t xml:space="preserve">NVM_ID_EVMEM_LOC_5</x:t>
  </x:si>
  <x:si>
    <x:t xml:space="preserve">86</x:t>
  </x:si>
  <x:si>
    <x:t xml:space="preserve">NVM_ID_EVMEM_LOC_6</x:t>
  </x:si>
  <x:si>
    <x:t xml:space="preserve">87</x:t>
  </x:si>
  <x:si>
    <x:t xml:space="preserve">NVM_ID_EVMEM_LOC_7</x:t>
  </x:si>
  <x:si>
    <x:t xml:space="preserve">88</x:t>
  </x:si>
  <x:si>
    <x:t xml:space="preserve">NVM_ID_EVMEM_LOC_8</x:t>
  </x:si>
  <x:si>
    <x:t xml:space="preserve">89</x:t>
  </x:si>
  <x:si>
    <x:t xml:space="preserve">NVM_ID_EVMEM_LOC_9</x:t>
  </x:si>
  <x:si>
    <x:t xml:space="preserve">90</x:t>
  </x:si>
  <x:si>
    <x:t xml:space="preserve">NVM_ID_EVT_STATUSBYTE</x:t>
  </x:si>
  <x:si>
    <x:t xml:space="preserve">218</x:t>
  </x:si>
  <x:si>
    <x:t xml:space="preserve">91</x:t>
  </x:si>
  <x:si>
    <x:t xml:space="preserve">NVM_NM_ForceHibernationLatestSts</x:t>
  </x:si>
  <x:si>
    <x:t xml:space="preserve">92</x:t>
  </x:si>
  <x:si>
    <x:t xml:space="preserve">NvMBlockDescriptor_Application_Valid_Flag</x:t>
  </x:si>
  <x:si>
    <x:t xml:space="preserve">93</x:t>
  </x:si>
  <x:si>
    <x:t xml:space="preserve">NvMBlockDescriptor_Did_for_test_0x6666</x:t>
  </x:si>
  <x:si>
    <x:t xml:space="preserve">94</x:t>
  </x:si>
  <x:si>
    <x:t xml:space="preserve">NvMBlockDescriptor_Fingerprint_Data</x:t>
  </x:si>
  <x:si>
    <x:t xml:space="preserve">95</x:t>
  </x:si>
  <x:si>
    <x:t xml:space="preserve">NvMBlockDescriptor_Reprogramming_Request_Flag</x:t>
  </x:si>
  <x:si>
    <x:t xml:space="preserve">96</x:t>
  </x:si>
  <x:si>
    <x:t xml:space="preserve">NvMBlockDescriptor_ResetReason_Type</x:t>
  </x:si>
  <x:si>
    <x:t xml:space="preserve">97</x:t>
  </x:si>
  <x:si>
    <x:t xml:space="preserve">NvM_BLDDetStatus</x:t>
  </x:si>
  <x:si>
    <x:t xml:space="preserve">98</x:t>
  </x:si>
  <x:si>
    <x:t xml:space="preserve">NvM_Calibration_TargetPosition</x:t>
  </x:si>
  <x:si>
    <x:t xml:space="preserve">99</x:t>
  </x:si>
  <x:si>
    <x:t xml:space="preserve">NvM_EDR_Data1</x:t>
  </x:si>
  <x:si>
    <x:t xml:space="preserve">4900</x:t>
  </x:si>
  <x:si>
    <x:t xml:space="preserve">EDR数据</x:t>
  </x:si>
  <x:si>
    <x:t xml:space="preserve">100</x:t>
  </x:si>
  <x:si>
    <x:t xml:space="preserve">NvM_EDR_Data2</x:t>
  </x:si>
  <x:si>
    <x:t xml:space="preserve">101</x:t>
  </x:si>
  <x:si>
    <x:t xml:space="preserve">NvM_EDR_WRITE_FLAG</x:t>
  </x:si>
  <x:si>
    <x:t xml:space="preserve">102</x:t>
  </x:si>
  <x:si>
    <x:t xml:space="preserve">NvM_FaultMask_Info</x:t>
  </x:si>
  <x:si>
    <x:t xml:space="preserve">103</x:t>
  </x:si>
  <x:si>
    <x:t xml:space="preserve">NvM_PFDem_ErrorInfo</x:t>
  </x:si>
  <x:si>
    <x:t xml:space="preserve">512</x:t>
  </x:si>
  <x:si>
    <x:t xml:space="preserve">104</x:t>
  </x:si>
  <x:si>
    <x:t xml:space="preserve">NvM_Security_Key</x:t>
  </x:si>
  <x:si>
    <x:t xml:space="preserve">类型</x:t>
  </x:si>
  <x:si>
    <x:t xml:space="preserve">名称</x:t>
  </x:si>
  <x:si>
    <x:t xml:space="preserve">建议优先级</x:t>
  </x:si>
  <x:si>
    <x:t xml:space="preserve">Vector</x:t>
  </x:si>
  <x:si>
    <x:t xml:space="preserve">用途/备注</x:t>
  </x:si>
  <x:si>
    <x:t xml:space="preserve">Cat1</x:t>
  </x:si>
  <x:si>
    <x:t xml:space="preserve">OsTrap_DataAbort</x:t>
  </x:si>
  <x:si>
    <x:t xml:space="preserve">CPU Data abort</x:t>
  </x:si>
  <x:si>
    <x:t xml:space="preserve">异常Trap</x:t>
  </x:si>
  <x:si>
    <x:t xml:space="preserve">OsTrap_PrefetchAbort</x:t>
  </x:si>
  <x:si>
    <x:t xml:space="preserve">CPU Prefetch abort</x:t>
  </x:si>
  <x:si>
    <x:t xml:space="preserve">OsTrap_UndefInstruction</x:t>
  </x:si>
  <x:si>
    <x:t xml:space="preserve">CPU Undefined instruction</x:t>
  </x:si>
  <x:si>
    <x:t xml:space="preserve">Cat2</x:t>
  </x:si>
  <x:si>
    <x:t xml:space="preserve">Spi_IrqUnit0TxRx</x:t>
  </x:si>
  <x:si>
    <x:t xml:space="preserve">CPU0 MSS_SPIA_INT0</x:t>
  </x:si>
  <x:si>
    <x:t xml:space="preserve">SPI Unit0 Tx/Rx，用于LP87745 PMIC/SBC链路</x:t>
  </x:si>
  <x:si>
    <x:t xml:space="preserve">Gpt_Ch1Isr</x:t>
  </x:si>
  <x:si>
    <x:t xml:space="preserve">CPU0 MSS_RTIA_INT1</x:t>
  </x:si>
  <x:si>
    <x:t xml:space="preserve">GPT Ch1</x:t>
  </x:si>
  <x:si>
    <x:t xml:space="preserve">Can_0_Int0ISR</x:t>
  </x:si>
  <x:si>
    <x:t xml:space="preserve">CPU0 MSS_MCANA_INT0</x:t>
  </x:si>
  <x:si>
    <x:t xml:space="preserve">CAN0中断</x:t>
  </x:si>
  <x:si>
    <x:t xml:space="preserve">Can_1_Int0ISR</x:t>
  </x:si>
  <x:si>
    <x:t xml:space="preserve">CPU0 MSS_MCANB_INT0</x:t>
  </x:si>
  <x:si>
    <x:t xml:space="preserve">CAN1中断</x:t>
  </x:si>
  <x:si>
    <x:t xml:space="preserve">Cdd_MailBox2FullIsr</x:t>
  </x:si>
  <x:si>
    <x:t xml:space="preserve">CPU0 MSS_CR5A_MBOX_READ_REQ</x:t>
  </x:si>
  <x:si>
    <x:t xml:space="preserve">Mailbox/IPC，与协处理核交互</x:t>
  </x:si>
  <x:si>
    <x:t xml:space="preserve">DSS_TPCC_B_func</x:t>
  </x:si>
  <x:si>
    <x:t xml:space="preserve">CPU0 DSS_TPCC_B_INTAGG</x:t>
  </x:si>
  <x:si>
    <x:t xml:space="preserve">DSS eDMA/TPCC中断</x:t>
  </x:si>
  <x:si>
    <x:t xml:space="preserve">MSS_TPCC_A_func</x:t>
  </x:si>
  <x:si>
    <x:t xml:space="preserve">CPU0 MSS_TPCC_A_INTAGG</x:t>
  </x:si>
  <x:si>
    <x:t xml:space="preserve">MSS eDMA/TPCC中断</x:t>
  </x:si>
  <x:si>
    <x:t xml:space="preserve">OsIsr_CR5A_FPU</x:t>
  </x:si>
  <x:si>
    <x:t xml:space="preserve">CPU0 MSS_CR5A_FPU_INT</x:t>
  </x:si>
  <x:si>
    <x:t xml:space="preserve">FPU中断</x:t>
  </x:si>
  <x:si>
    <x:t xml:space="preserve">RSS_TPCC_A_func</x:t>
  </x:si>
  <x:si>
    <x:t xml:space="preserve">CPU0 RCSS_TPCC_A_INTAGG</x:t>
  </x:si>
  <x:si>
    <x:t xml:space="preserve">RSS eDMA/TPCC中断</x:t>
  </x:si>
  <x:si>
    <x:t xml:space="preserve">Gpt_Ch0Isr</x:t>
  </x:si>
  <x:si>
    <x:t xml:space="preserve">CPU0 MSS_RTIA_INT0</x:t>
  </x:si>
  <x:si>
    <x:t xml:space="preserve">GPT Ch0，系统Tick相关</x:t>
  </x:si>
  <x:si>
    <x:t xml:space="preserve">序号</x:t>
  </x:si>
  <x:si>
    <x:t xml:space="preserve">任务名称</x:t>
  </x:si>
  <x:si>
    <x:t xml:space="preserve">子任务</x:t>
  </x:si>
  <x:si>
    <x:t xml:space="preserve">负责人</x:t>
  </x:si>
  <x:si>
    <x:t xml:space="preserve">依赖物</x:t>
  </x:si>
  <x:si>
    <x:t xml:space="preserve">deadline</x:t>
  </x:si>
  <x:si>
    <x:t xml:space="preserve">开始日期</x:t>
  </x:si>
  <x:si>
    <x:t xml:space="preserve">结束日期</x:t>
  </x:si>
  <x:si>
    <x:t xml:space="preserve">状态</x:t>
  </x:si>
  <x:si>
    <x:t xml:space="preserve">完成%</x:t>
  </x:si>
  <x:si>
    <x:t xml:space="preserve">T1:快速跑通主链路</x:t>
  </x:si>
  <x:si>
    <x:t xml:space="preserve">满慎燕</x:t>
  </x:si>
  <x:si>
    <x:t xml:space="preserve">依赖</x:t>
  </x:si>
  <x:si>
    <x:t xml:space="preserve">依赖提供deadline</x:t>
  </x:si>
  <x:si>
    <x:t xml:space="preserve">需求解析</x:t>
  </x:si>
  <x:si>
    <x:t xml:space="preserve">首版对应需求：Can矩阵/Task表/MCAL需求/存储blocklist/诊断Dpt</x:t>
  </x:si>
  <x:si>
    <x:t xml:space="preserve">MCAL配置</x:t>
  </x:si>
  <x:si>
    <x:t xml:space="preserve">MCU/DIO/PORT/CAN/eDMA/IPC/FLS/Gpt</x:t>
  </x:si>
  <x:si>
    <x:t xml:space="preserve">环境搭建，系统BringUp</x:t>
  </x:si>
  <x:si>
    <x:t xml:space="preserve">客户提供CDD：SBC/TCAN 1043</x:t>
  </x:si>
  <x:si>
    <x:t xml:space="preserve">未开始</x:t>
  </x:si>
  <x:si>
    <x:t xml:space="preserve">NeuSAR CP配置</x:t>
  </x:si>
  <x:si>
    <x:t xml:space="preserve">OS配置：OS SC1</x:t>
  </x:si>
  <x:si>
    <x:t xml:space="preserve">Can通信配置：Com/PduR/CanIf/CanSM//ComM/CanTP/E2EXF/ComXF</x:t>
  </x:si>
  <x:si>
    <x:t xml:space="preserve">系统服务配置：EcuM/BswM</x:t>
  </x:si>
  <x:si>
    <x:t xml:space="preserve">目前暂无其他需求，配合SBC能正常启动即可</x:t>
  </x:si>
  <x:si>
    <x:t xml:space="preserve">存储基本功能配置:NvM/MemIf/Fee </x:t>
  </x:si>
  <x:si>
    <x:t xml:space="preserve">存储需求：block列表</x:t>
  </x:si>
  <x:si>
    <x:t xml:space="preserve">诊断基础服务配置:DCM/DEM/FiM</x:t>
  </x:si>
  <x:si>
    <x:t xml:space="preserve">诊断Dpt需求</x:t>
  </x:si>
  <x:si>
    <x:t xml:space="preserve">Bsw集成</x:t>
  </x:si>
  <x:si>
    <x:t xml:space="preserve">CP+MCAL+CDD集成版本，供功能调试</x:t>
  </x:si>
  <x:si>
    <x:t xml:space="preserve">功能联调</x:t>
  </x:si>
  <x:si>
    <x:t xml:space="preserve">Task/中断正确调度</x:t>
  </x:si>
  <x:si>
    <x:t xml:space="preserve">与MCAL及CAN驱动集成，CAN通信正常。</x:t>
  </x:si>
  <x:si>
    <x:t xml:space="preserve">存储基本读写功能正常</x:t>
  </x:si>
  <x:si>
    <x:t xml:space="preserve">诊断基本服务通信正常</x:t>
  </x:si>
  <x:si>
    <x:t xml:space="preserve">Can通信正常</x:t>
  </x:si>
  <x:si>
    <x:t xml:space="preserve">与SBC联调，实现系统上下电、状态机、通信状态管理等功能</x:t>
  </x:si>
  <x:si>
    <x:t xml:space="preserve">客户提供SBC</x:t>
  </x:si>
  <x:si>
    <x:t xml:space="preserve">版本交付</x:t>
  </x:si>
  <x:si>
    <x:t xml:space="preserve">NeuSAR配置工程/MCAL配置工程/集成编译工程</x:t>
  </x:si>
  <x:si>
    <x:t xml:space="preserve">FLS/DIO/PORT/SPI/UART/ADC</x:t>
  </x:si>
  <x:si>
    <x:t xml:space="preserve">OS配置：OS SC2</x:t>
  </x:si>
  <x:si>
    <x:t xml:space="preserve">存储协议栈完整配置:NvM/MemIf/Fee </x:t>
  </x:si>
  <x:si>
    <x:t xml:space="preserve">诊断协议栈完整配置:DCM/DEM/FiM</x:t>
  </x:si>
  <x:si>
    <x:t xml:space="preserve">RTE配置</x:t>
  </x:si>
  <x:si>
    <x:t xml:space="preserve">客户接口信息（QA No.7）</x:t>
  </x:si>
  <x:si>
    <x:t xml:space="preserve">时钟同步配置：StbM/CanTsync</x:t>
  </x:si>
  <x:si>
    <x:t xml:space="preserve">时钟同步系统方案（QA No.14）</x:t>
  </x:si>
  <x:si>
    <x:t xml:space="preserve">看门狗配置：WdgM/WdgIf</x:t>
  </x:si>
  <x:si>
    <x:t xml:space="preserve">标定配置：XCP On Can</x:t>
  </x:si>
  <x:si>
    <x:t xml:space="preserve">时间保护功能生效</x:t>
  </x:si>
  <x:si>
    <x:t xml:space="preserve">存储读写功能正常</x:t>
  </x:si>
  <x:si>
    <x:t xml:space="preserve">诊断服务收发正常，故障上报正常</x:t>
  </x:si>
  <x:si>
    <x:t xml:space="preserve">与ASW联调接口对应功能</x:t>
  </x:si>
  <x:si>
    <x:t xml:space="preserve">时钟同步功能正常</x:t>
  </x:si>
  <x:si>
    <x:t xml:space="preserve">看门狗监视功能正常</x:t>
  </x:si>
  <x:si>
    <x:t xml:space="preserve">可实施XCP Ram变量标定</x:t>
  </x:si>
  <x:si>
    <x:t xml:space="preserve">全功能自测+自测报告</x:t>
  </x:si>
  <x:si>
    <x:t xml:space="preserve">全功能自测用例编写+自测实施</x:t>
  </x:si>
  <x:si>
    <x:t xml:space="preserve">NeuSAR配置工程/MCAL配置工程/集成编译工程/全功能自测报告</x:t>
  </x:si>
  <x:si>
    <x:t xml:space="preserve">Bootloader开发</x:t>
  </x:si>
  <x:si>
    <x:t xml:space="preserve">贺寅</x:t>
  </x:si>
</x:sst>
</file>

<file path=xl/styles.xml><?xml version="1.0" encoding="utf-8"?>
<x:styleSheet xmlns:x="http://schemas.openxmlformats.org/spreadsheetml/2006/main">
  <x:numFmts count="7">
    <x:numFmt numFmtId="164" formatCode="yyyy/m/d;@"/>
    <x:numFmt numFmtId="165" formatCode="yyyy/m/d"/>
    <x:numFmt numFmtId="166" formatCode="General"/>
    <x:numFmt numFmtId="167" formatCode="General"/>
    <x:numFmt numFmtId="168" formatCode="yyyy/m/d"/>
    <x:numFmt numFmtId="169" formatCode="0%"/>
    <x:numFmt numFmtId="200" formatCode="0"/>
  </x:numFmts>
  <x:fonts count="39">
    <x:font>
      <x:sz val="12"/>
      <x:color theme="1"/>
      <x:name val="Calibri"/>
    </x:font>
    <x:font>
      <x:sz val="10"/>
      <x:color rgb="FF000000"/>
      <x:name val="Calibri"/>
    </x:font>
    <x:font>
      <x:b/>
      <x:sz val="12"/>
      <x:color rgb="FF000000"/>
      <x:name val="等线"/>
    </x:font>
    <x:font>
      <x:sz val="12"/>
      <x:color rgb="FF000000"/>
      <x:name val="宋体"/>
    </x:font>
    <x:font>
      <x:sz val="12"/>
      <x:color rgb="FF000000"/>
      <x:name val="等线"/>
    </x:font>
    <x:font>
      <x:sz val="12"/>
      <x:color rgb="FF000000"/>
      <x:name val="宋体"/>
    </x:font>
    <x:font>
      <x:b/>
      <x:sz val="12"/>
      <x:color rgb="FFF54A45"/>
      <x:name val="宋体"/>
    </x:font>
    <x:font>
      <x:sz val="12"/>
      <x:color rgb="FFF54A45"/>
      <x:name val="宋体"/>
    </x:font>
    <x:font>
      <x:b/>
      <x:sz val="12"/>
      <x:color rgb="FF000000"/>
      <x:name val="等线"/>
    </x:font>
    <x:font>
      <x:b/>
      <x:sz val="12"/>
      <x:color rgb="FF000000"/>
      <x:name val="宋体"/>
    </x:font>
    <x:font>
      <x:sz val="10"/>
      <x:color rgb="FF000000"/>
      <x:name val="Calibri"/>
    </x:font>
    <x:font>
      <x:b/>
      <x:sz val="20"/>
      <x:color rgb="FFFFFFFF"/>
      <x:name val="宋体"/>
    </x:font>
    <x:font>
      <x:sz val="11"/>
      <x:color rgb="FF000000"/>
      <x:name val="宋体"/>
    </x:font>
    <x:font>
      <x:b/>
      <x:sz val="6"/>
      <x:color rgb="FFFFFFFF"/>
      <x:name val="宋体"/>
    </x:font>
    <x:font>
      <x:sz val="6"/>
      <x:color rgb="FFFFFFFF"/>
      <x:name val="宋体"/>
    </x:font>
    <x:font>
      <x:b/>
      <x:sz val="14"/>
      <x:color rgb="FFFFFFFF"/>
      <x:name val="宋体"/>
    </x:font>
    <x:font>
      <x:sz val="14"/>
      <x:color rgb="FF000000"/>
      <x:name val="宋体"/>
    </x:font>
    <x:font>
      <x:b/>
      <x:sz val="14"/>
      <x:color rgb="FFFF0000"/>
      <x:name val="宋体"/>
    </x:font>
    <x:font>
      <x:sz val="16"/>
      <x:color rgb="FFFFFFFF"/>
      <x:name val="宋体"/>
    </x:font>
    <x:font>
      <x:b/>
      <x:sz val="11"/>
      <x:color rgb="FF3F3F3F"/>
      <x:name val="宋体"/>
    </x:font>
    <x:font>
      <x:b/>
      <x:sz val="11"/>
      <x:color rgb="FFFF0000"/>
      <x:name val="宋体"/>
    </x:font>
    <x:font>
      <x:b/>
      <x:sz val="11"/>
      <x:color rgb="FFBFBFBF"/>
      <x:name val="宋体"/>
    </x:font>
    <x:font>
      <x:sz val="11"/>
      <x:color rgb="FF000000"/>
      <x:name val="宋体"/>
    </x:font>
    <x:font>
      <x:b/>
      <x:sz val="12"/>
      <x:color rgb="FF000000"/>
      <x:name val="Calibri"/>
    </x:font>
    <x:font>
      <x:sz val="10"/>
      <x:color rgb="FF000000"/>
      <x:name val="Calibri"/>
    </x:font>
    <x:font>
      <x:sz val="10"/>
      <x:color rgb="FF000000"/>
      <x:name val="等线"/>
    </x:font>
    <x:font>
      <x:b/>
      <x:sz val="12"/>
      <x:color rgb="FF000000"/>
      <x:name val="微软雅黑"/>
    </x:font>
    <x:font>
      <x:b/>
      <x:sz val="11"/>
      <x:color rgb="FFFFFFFF"/>
      <x:name val="宋体"/>
    </x:font>
    <x:font>
      <x:b/>
      <x:sz val="11"/>
      <x:color rgb="FF373C43"/>
      <x:name val="宋体"/>
    </x:font>
    <x:font>
      <x:sz val="11"/>
      <x:color rgb="FF373C43"/>
      <x:name val="宋体"/>
    </x:font>
    <x:font>
      <x:sz val="11"/>
      <x:color rgb="FFFF0000"/>
      <x:name val="宋体"/>
    </x:font>
    <x:font>
      <x:b/>
      <x:sz val="16"/>
      <x:color rgb="FFFFFFFF"/>
      <x:name val="Calibri"/>
    </x:font>
    <x:font>
      <x:i/>
      <x:sz val="10"/>
      <x:color rgb="FF1F2937"/>
      <x:name val="Calibri"/>
    </x:font>
    <x:font>
      <x:sz val="9"/>
      <x:color rgb="FF1F2937"/>
      <x:name val="Calibri"/>
    </x:font>
    <x:font>
      <x:b/>
      <x:sz val="10"/>
      <x:color rgb="FFFFFFFF"/>
      <x:name val="Calibri"/>
    </x:font>
    <x:font>
      <x:b/>
      <x:sz val="12"/>
      <x:color rgb="FF1F2937"/>
      <x:name val="Calibri"/>
    </x:font>
    <x:font>
      <x:b/>
      <x:sz val="11"/>
      <x:color rgb="FF1F2937"/>
      <x:name val="Calibri"/>
    </x:font>
    <x:font>
      <x:b/>
      <x:sz val="12"/>
      <x:color rgb="FFFFFFFF"/>
      <x:name val="Calibri"/>
    </x:font>
    <x:font>
      <x:sz val="12"/>
      <x:color rgb="FF1F2937"/>
      <x:name val="Calibri"/>
    </x:font>
  </x:fonts>
  <x:fills count="24">
    <x:fill>
      <x:patternFill patternType="solid"/>
    </x:fill>
    <x:fill>
      <x:patternFill patternType="gray125"/>
    </x:fill>
    <x:fill>
      <x:patternFill patternType="solid">
        <x:fgColor rgb="FF8F959E"/>
      </x:patternFill>
    </x:fill>
    <x:fill>
      <x:patternFill patternType="solid">
        <x:fgColor rgb="FFB5C7EA"/>
      </x:patternFill>
    </x:fill>
    <x:fill>
      <x:patternFill patternType="solid">
        <x:fgColor rgb="FF002060"/>
      </x:patternFill>
    </x:fill>
    <x:fill>
      <x:patternFill patternType="solid">
        <x:fgColor rgb="FF006699"/>
      </x:patternFill>
    </x:fill>
    <x:fill>
      <x:patternFill patternType="solid">
        <x:fgColor rgb="FFFFFF00"/>
      </x:patternFill>
    </x:fill>
    <x:fill>
      <x:patternFill patternType="solid">
        <x:fgColor rgb="FF002060"/>
      </x:patternFill>
    </x:fill>
    <x:fill>
      <x:patternFill patternType="solid">
        <x:fgColor rgb="FFF2F2F2"/>
      </x:patternFill>
    </x:fill>
    <x:fill>
      <x:patternFill patternType="solid">
        <x:fgColor rgb="FFFFFF00"/>
      </x:patternFill>
    </x:fill>
    <x:fill>
      <x:patternFill patternType="solid">
        <x:fgColor rgb="FF002060"/>
      </x:patternFill>
    </x:fill>
    <x:fill>
      <x:patternFill patternType="solid">
        <x:fgColor rgb="FFFFFF00"/>
      </x:patternFill>
    </x:fill>
    <x:fill>
      <x:patternFill patternType="solid">
        <x:fgColor rgb="FF373C43"/>
      </x:patternFill>
    </x:fill>
    <x:fill>
      <x:patternFill patternType="solid">
        <x:fgColor rgb="FFDEE0E3"/>
      </x:patternFill>
    </x:fill>
    <x:fill>
      <x:patternFill patternType="solid">
        <x:fgColor rgb="FFF9F9F9"/>
      </x:patternFill>
    </x:fill>
    <x:fill>
      <x:patternFill patternType="solid">
        <x:fgColor rgb="FFD9F5D6"/>
      </x:patternFill>
    </x:fill>
    <x:fill>
      <x:patternFill patternType="solid">
        <x:fgColor rgb="FFD9F5D6"/>
      </x:patternFill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EAF4E3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</x:fills>
  <x:borders count="2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000000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2">
    <x:xf numFmtId="0" fontId="0" fillId="0" borderId="0" applyNumberFormat="0" applyFont="0" applyFill="0" applyBorder="0" applyAlignment="1" applyProtection="0"/>
    <x:xf numFmtId="0" fontId="19" fillId="8" borderId="11" applyNumberFormat="1" applyFont="1" applyFill="1" applyBorder="1" applyAlignment="1" applyProtection="1">
      <x:alignment vertical="center"/>
    </x:xf>
  </x:cellStyleXfs>
  <x:cellXfs count="191">
    <x:xf numFmtId="0" fontId="0" fillId="0" borderId="0" xfId="0" applyNumberFormat="0" applyFont="0" applyFill="0" applyBorder="0" applyAlignment="0">
      <x:alignment vertical="center"/>
    </x:xf>
    <x:xf numFmtId="0" fontId="2" fillId="2" borderId="1" xfId="0" applyNumberFormat="0" applyFont="1" applyFill="1" applyBorder="0" applyAlignment="1">
      <x:alignment horizontal="center" vertical="center"/>
    </x:xf>
    <x:xf numFmtId="0" fontId="2" fillId="2" borderId="1" xfId="0" applyNumberFormat="0" applyFont="1" applyFill="1" applyBorder="0" applyAlignment="1">
      <x:alignment horizontal="center" vertical="center" wrapText="1"/>
    </x:xf>
    <x:xf numFmtId="164" fontId="2" fillId="2" borderId="1" xfId="0" applyNumberFormat="1" applyFont="1" applyFill="1" applyBorder="0" applyAlignment="1">
      <x:alignment horizontal="center" vertical="center"/>
    </x:xf>
    <x:xf numFmtId="0" fontId="2" fillId="3" borderId="1" xfId="0" applyNumberFormat="0" applyFont="1" applyFill="1" applyBorder="0" applyAlignment="1">
      <x:alignment horizontal="center" vertical="center" wrapText="1"/>
    </x:xf>
    <x:xf numFmtId="165" fontId="2" fillId="3" borderId="1" xfId="0" applyNumberFormat="1" applyFont="1" applyFill="1" applyBorder="0" applyAlignment="1">
      <x:alignment horizontal="center" vertical="center"/>
    </x:xf>
    <x:xf numFmtId="0" fontId="2" fillId="3" borderId="1" xfId="0" applyNumberFormat="0" applyFont="1" applyFill="1" applyBorder="0" applyAlignment="1">
      <x:alignment horizontal="center" vertical="center"/>
    </x:xf>
    <x:xf numFmtId="0" fontId="3" fillId="0" borderId="2" xfId="0" applyNumberFormat="0" applyFont="1" applyFill="0" applyBorder="0" applyAlignment="1">
      <x:alignment horizontal="center" vertical="center"/>
    </x:xf>
    <x:xf numFmtId="0" fontId="3" fillId="0" borderId="2" xfId="0" applyNumberFormat="0" applyFont="1" applyFill="0" applyBorder="0" applyAlignment="1">
      <x:alignment vertical="center" wrapText="1"/>
    </x:xf>
    <x:xf numFmtId="0" fontId="3" fillId="0" borderId="2" xfId="0" applyNumberFormat="0" applyFont="1" applyFill="0" applyBorder="0" applyAlignment="1">
      <x:alignment vertical="center"/>
    </x:xf>
    <x:xf numFmtId="165" fontId="3" fillId="0" borderId="2" xfId="0" applyNumberFormat="1" applyFont="1" applyFill="0" applyBorder="0" applyAlignment="1">
      <x:alignment horizontal="center" vertical="center"/>
    </x:xf>
    <x:xf numFmtId="164" fontId="4" fillId="0" borderId="2" xfId="0" applyNumberFormat="1" applyFont="1" applyFill="0" applyBorder="0" applyAlignment="1">
      <x:alignment horizontal="left" vertical="center" wrapText="1"/>
    </x:xf>
    <x:xf numFmtId="165" fontId="5" fillId="0" borderId="1" xfId="0" applyNumberFormat="1" applyFont="1" applyFill="0" applyBorder="0" applyAlignment="1">
      <x:alignment vertical="center"/>
    </x:xf>
    <x:xf numFmtId="0" fontId="5" fillId="0" borderId="1" xfId="0" applyNumberFormat="0" applyFont="1" applyFill="0" applyBorder="0" applyAlignment="1">
      <x:alignment vertical="center"/>
    </x:xf>
    <x:xf numFmtId="0" fontId="3" fillId="0" borderId="2" xfId="0" applyNumberFormat="0" applyFont="1" applyFill="0" applyBorder="0" applyAlignment="1">
      <x:alignment vertical="top" wrapText="1"/>
    </x:xf>
    <x:xf numFmtId="0" fontId="5" fillId="0" borderId="1" xfId="0" applyNumberFormat="0" applyFont="1" applyFill="0" applyBorder="0" applyAlignment="1">
      <x:alignment vertical="center" wrapText="1"/>
    </x:xf>
    <x:xf numFmtId="0" fontId="4" fillId="0" borderId="2" xfId="0" applyNumberFormat="0" applyFont="1" applyFill="0" applyBorder="0" applyAlignment="1">
      <x:alignment horizontal="left" vertical="center" wrapText="1"/>
    </x:xf>
    <x:xf numFmtId="0" fontId="3" fillId="0" borderId="2" xfId="0" applyNumberFormat="0" applyFont="1" applyFill="0" applyBorder="0" applyAlignment="1">
      <x:alignment horizontal="center" vertical="center"/>
    </x:xf>
    <x:xf numFmtId="0" fontId="3" fillId="0" borderId="2" xfId="0" applyNumberFormat="0" applyFont="1" applyFill="0" applyBorder="0" applyAlignment="1">
      <x:alignment vertical="center" wrapText="1"/>
    </x:xf>
    <x:xf numFmtId="0" fontId="3" fillId="0" borderId="2" xfId="0" applyNumberFormat="0" applyFont="1" applyFill="0" applyBorder="0" applyAlignment="1">
      <x:alignment vertical="center"/>
    </x:xf>
    <x:xf numFmtId="0" fontId="4" fillId="0" borderId="2" xfId="0" applyNumberFormat="0" applyFont="1" applyFill="0" applyBorder="0" applyAlignment="1">
      <x:alignment horizontal="left" vertical="center" wrapText="1"/>
    </x:xf>
    <x:xf numFmtId="0" fontId="5" fillId="0" borderId="1" xfId="0" applyNumberFormat="0" applyFont="1" applyFill="0" applyBorder="0" applyAlignment="1">
      <x:alignment vertical="top" wrapText="1"/>
    </x:xf>
    <x:xf numFmtId="0" fontId="5" fillId="0" borderId="1" xfId="0" applyNumberFormat="0" applyFont="1" applyFill="0" applyBorder="0" applyAlignment="1">
      <x:alignment horizontal="center" vertical="center"/>
    </x:xf>
    <x:xf numFmtId="165" fontId="5" fillId="0" borderId="1" xfId="0" applyNumberFormat="1" applyFont="1" applyFill="0" applyBorder="0" applyAlignment="1">
      <x:alignment horizontal="center" vertical="center"/>
    </x:xf>
    <x:xf numFmtId="165" fontId="3" fillId="0" borderId="2" xfId="0" applyNumberFormat="1" applyFont="1" applyFill="0" applyBorder="0" applyAlignment="1">
      <x:alignment horizontal="center" vertical="center"/>
    </x:xf>
    <x:xf numFmtId="0" fontId="5" fillId="0" borderId="1" xfId="0" applyNumberFormat="0" applyFont="1" applyFill="0" applyBorder="0" applyAlignment="1">
      <x:alignment vertical="center" wrapText="1"/>
    </x:xf>
    <x:xf numFmtId="0" fontId="5" fillId="0" borderId="1" xfId="0" applyNumberFormat="0" applyFont="1" applyFill="0" applyBorder="0" applyAlignment="1">
      <x:alignment vertical="center"/>
    </x:xf>
    <x:xf numFmtId="165" fontId="5" fillId="0" borderId="1" xfId="0" applyNumberFormat="1" applyFont="1" applyFill="0" applyBorder="0" applyAlignment="1">
      <x:alignment horizontal="center" vertical="center"/>
    </x:xf>
    <x:xf numFmtId="0" fontId="5" fillId="0" borderId="1" xfId="0" applyNumberFormat="0" applyFont="1" applyFill="0" applyBorder="0" applyAlignment="1">
      <x:alignment horizontal="center" vertical="center"/>
    </x:xf>
    <x:xf numFmtId="0" fontId="5" fillId="0" borderId="1" xfId="0" applyNumberFormat="0" applyFont="1" applyFill="0" applyBorder="0" applyAlignment="1">
      <x:alignment vertical="center" wrapText="1"/>
    </x:xf>
    <x:xf numFmtId="0" fontId="5" fillId="0" borderId="1" xfId="0" applyNumberFormat="0" applyFont="1" applyFill="0" applyBorder="0" applyAlignment="1">
      <x:alignment vertical="center"/>
    </x:xf>
    <x:xf numFmtId="0" fontId="10" fillId="0" borderId="0" xfId="0" applyNumberFormat="0" applyFont="1" applyFill="0" applyBorder="0" applyAlignment="1">
      <x:alignment horizontal="center" vertical="center"/>
    </x:xf>
    <x:xf numFmtId="0" fontId="10" fillId="0" borderId="0" xfId="0" applyNumberFormat="0" applyFont="1" applyFill="0" applyBorder="0" applyAlignment="1">
      <x:alignment vertical="center" wrapText="1"/>
    </x:xf>
    <x:xf numFmtId="165" fontId="10" fillId="0" borderId="0" xfId="0" applyNumberFormat="1" applyFont="1" applyFill="0" applyBorder="0" applyAlignment="1">
      <x:alignment vertical="center"/>
    </x:xf>
    <x:xf numFmtId="0" fontId="11" fillId="4" borderId="0" xfId="0" applyNumberFormat="0" applyFont="1" applyFill="1" applyBorder="0" applyAlignment="1">
      <x:alignment horizontal="left" vertical="center"/>
    </x:xf>
    <x:xf numFmtId="0" fontId="12" fillId="0" borderId="0" xfId="0" applyNumberFormat="0" applyFont="1" applyFill="0" applyBorder="0" applyAlignment="1">
      <x:alignment horizontal="left" vertical="center"/>
    </x:xf>
    <x:xf numFmtId="0" fontId="13" fillId="0" borderId="0" xfId="0" applyNumberFormat="0" applyFont="1" applyFill="0" applyBorder="0" applyAlignment="1">
      <x:alignment vertical="center"/>
    </x:xf>
    <x:xf numFmtId="0" fontId="14" fillId="0" borderId="0" xfId="0" applyNumberFormat="0" applyFont="1" applyFill="0" applyBorder="0" applyAlignment="1">
      <x:alignment vertical="center"/>
    </x:xf>
    <x:xf numFmtId="0" fontId="15" fillId="5" borderId="3" xfId="0" applyNumberFormat="0" applyFont="1" applyFill="1" applyBorder="0" applyAlignment="1">
      <x:alignment horizontal="left" vertical="center" wrapText="1"/>
    </x:xf>
    <x:xf numFmtId="0" fontId="16" fillId="0" borderId="4" xfId="0" applyNumberFormat="0" applyFont="1" applyFill="0" applyBorder="0" applyAlignment="1">
      <x:alignment vertical="center" wrapText="1"/>
    </x:xf>
    <x:xf numFmtId="0" fontId="16" fillId="0" borderId="5" xfId="0" applyNumberFormat="0" applyFont="1" applyFill="0" applyBorder="0" applyAlignment="1">
      <x:alignment vertical="center" wrapText="1"/>
    </x:xf>
    <x:xf numFmtId="0" fontId="16" fillId="0" borderId="4" xfId="0" applyNumberFormat="0" applyFont="1" applyFill="0" applyBorder="0" applyAlignment="1">
      <x:alignment vertical="center" wrapText="1"/>
    </x:xf>
    <x:xf numFmtId="0" fontId="16" fillId="6" borderId="4" xfId="0" applyNumberFormat="0" applyFont="1" applyFill="1" applyBorder="0" applyAlignment="1">
      <x:alignment vertical="center" wrapText="1"/>
    </x:xf>
    <x:xf numFmtId="0" fontId="16" fillId="6" borderId="5" xfId="0" applyNumberFormat="0" applyFont="1" applyFill="1" applyBorder="0" applyAlignment="1">
      <x:alignment vertical="center" wrapText="1"/>
    </x:xf>
    <x:xf numFmtId="0" fontId="16" fillId="0" borderId="6" xfId="0" applyNumberFormat="0" applyFont="1" applyFill="0" applyBorder="0" applyAlignment="1">
      <x:alignment vertical="center"/>
    </x:xf>
    <x:xf numFmtId="0" fontId="16" fillId="0" borderId="6" xfId="0" applyNumberFormat="0" applyFont="1" applyFill="0" applyBorder="0" applyAlignment="1">
      <x:alignment horizontal="left" vertical="center"/>
    </x:xf>
    <x:xf numFmtId="0" fontId="16" fillId="0" borderId="6" xfId="0" applyNumberFormat="0" applyFont="1" applyFill="0" applyBorder="0" applyAlignment="1">
      <x:alignment horizontal="right" vertical="center"/>
    </x:xf>
    <x:xf numFmtId="0" fontId="17" fillId="6" borderId="6" xfId="0" applyNumberFormat="0" applyFont="1" applyFill="1" applyBorder="0" applyAlignment="1">
      <x:alignment vertical="center"/>
    </x:xf>
    <x:xf numFmtId="0" fontId="16" fillId="0" borderId="4" xfId="0" applyNumberFormat="0" applyFont="1" applyFill="0" applyBorder="0" applyAlignment="1">
      <x:alignment vertical="center"/>
    </x:xf>
    <x:xf numFmtId="0" fontId="15" fillId="5" borderId="7" xfId="0" applyNumberFormat="0" applyFont="1" applyFill="1" applyBorder="0" applyAlignment="1">
      <x:alignment horizontal="left" vertical="center" wrapText="1"/>
    </x:xf>
    <x:xf numFmtId="0" fontId="12" fillId="0" borderId="8" xfId="0" applyNumberFormat="0" applyFont="1" applyFill="0" applyBorder="0" applyAlignment="1">
      <x:alignment horizontal="left" vertical="center" wrapText="1"/>
    </x:xf>
    <x:xf numFmtId="0" fontId="12" fillId="0" borderId="9" xfId="0" applyNumberFormat="0" applyFont="1" applyFill="0" applyBorder="0" applyAlignment="1">
      <x:alignment horizontal="left" vertical="center" wrapText="1"/>
    </x:xf>
    <x:xf numFmtId="0" fontId="16" fillId="0" borderId="6" xfId="0" applyNumberFormat="0" applyFont="1" applyFill="0" applyBorder="0" applyAlignment="1">
      <x:alignment vertical="center" wrapText="1"/>
    </x:xf>
    <x:xf numFmtId="0" fontId="15" fillId="5" borderId="10" xfId="0" applyNumberFormat="0" applyFont="1" applyFill="1" applyBorder="0" applyAlignment="1">
      <x:alignment horizontal="left" vertical="center" wrapText="1"/>
    </x:xf>
    <x:xf numFmtId="0" fontId="11" fillId="7" borderId="0" xfId="0" applyNumberFormat="0" applyFont="1" applyFill="1" applyBorder="0" applyAlignment="1">
      <x:alignment horizontal="left" vertical="center"/>
    </x:xf>
    <x:xf numFmtId="0" fontId="18" fillId="7" borderId="0" xfId="0" applyNumberFormat="0" applyFont="1" applyFill="1" applyBorder="0" applyAlignment="1">
      <x:alignment vertical="center"/>
    </x:xf>
    <x:xf numFmtId="0" fontId="12" fillId="0" borderId="0" xfId="0" applyNumberFormat="0" applyFont="1" applyFill="0" applyBorder="0" applyAlignment="1">
      <x:alignment vertical="center"/>
    </x:xf>
    <x:xf numFmtId="0" fontId="15" fillId="7" borderId="0" xfId="0" applyNumberFormat="0" applyFont="1" applyFill="1" applyBorder="0" applyAlignment="1">
      <x:alignment horizontal="center" vertical="center"/>
    </x:xf>
    <x:xf numFmtId="0" fontId="19" fillId="8" borderId="11" xfId="1" applyNumberFormat="0" applyFont="0" applyFill="0" applyBorder="0" applyAlignment="0">
      <x:alignment horizontal="left" vertical="center" wrapText="1"/>
    </x:xf>
    <x:xf numFmtId="0" fontId="19" fillId="8" borderId="11" xfId="1" applyNumberFormat="0" applyFont="0" applyFill="0" applyBorder="0" applyAlignment="0">
      <x:alignment horizontal="center" vertical="center" wrapText="1"/>
    </x:xf>
    <x:xf numFmtId="0" fontId="19" fillId="9" borderId="11" xfId="1" applyNumberFormat="0" applyFont="0" applyFill="0" applyBorder="0" applyAlignment="0">
      <x:alignment horizontal="center" vertical="center" wrapText="1"/>
    </x:xf>
    <x:xf numFmtId="0" fontId="12" fillId="0" borderId="0" xfId="0" applyNumberFormat="0" applyFont="1" applyFill="0" applyBorder="0" applyAlignment="1">
      <x:alignment vertical="center"/>
    </x:xf>
    <x:xf numFmtId="0" fontId="19" fillId="9" borderId="11" xfId="1" applyNumberFormat="0" applyFont="0" applyFill="0" applyBorder="0" applyAlignment="0">
      <x:alignment horizontal="left" vertical="center" wrapText="1"/>
    </x:xf>
    <x:xf numFmtId="0" fontId="21" fillId="8" borderId="11" xfId="1" applyNumberFormat="0" applyFont="0" applyFill="0" applyBorder="0" applyAlignment="0">
      <x:alignment horizontal="left" vertical="center" wrapText="1"/>
    </x:xf>
    <x:xf numFmtId="0" fontId="21" fillId="8" borderId="11" xfId="1" applyNumberFormat="0" applyFont="0" applyFill="0" applyBorder="0" applyAlignment="0">
      <x:alignment horizontal="center" vertical="center" wrapText="1"/>
    </x:xf>
    <x:xf numFmtId="0" fontId="21" fillId="9" borderId="11" xfId="1" applyNumberFormat="0" applyFont="0" applyFill="0" applyBorder="0" applyAlignment="0">
      <x:alignment horizontal="center" vertical="center" wrapText="1"/>
    </x:xf>
    <x:xf numFmtId="0" fontId="20" fillId="8" borderId="11" xfId="1" applyNumberFormat="0" applyFont="0" applyFill="0" applyBorder="0" applyAlignment="0">
      <x:alignment horizontal="left" vertical="center" wrapText="1"/>
    </x:xf>
    <x:xf numFmtId="0" fontId="19" fillId="8" borderId="11" xfId="1" applyNumberFormat="0" applyFont="0" applyFill="0" applyBorder="0" applyAlignment="0">
      <x:alignment horizontal="left" vertical="center" wrapText="1"/>
    </x:xf>
    <x:xf numFmtId="0" fontId="12" fillId="0" borderId="0" xfId="0" applyNumberFormat="0" applyFont="1" applyFill="0" applyBorder="0" applyAlignment="1">
      <x:alignment vertical="center"/>
    </x:xf>
    <x:xf numFmtId="0" fontId="15" fillId="10" borderId="12" xfId="0" applyNumberFormat="0" applyFont="1" applyFill="1" applyBorder="0" applyAlignment="1">
      <x:alignment horizontal="left" vertical="center"/>
    </x:xf>
    <x:xf numFmtId="0" fontId="12" fillId="0" borderId="12" xfId="0" applyNumberFormat="0" applyFont="1" applyFill="0" applyBorder="0" applyAlignment="1">
      <x:alignment vertical="center"/>
    </x:xf>
    <x:xf numFmtId="0" fontId="12" fillId="0" borderId="12" xfId="0" applyNumberFormat="0" applyFont="1" applyFill="0" applyBorder="0" applyAlignment="1">
      <x:alignment vertical="center" wrapText="1"/>
    </x:xf>
    <x:xf numFmtId="0" fontId="12" fillId="0" borderId="12" xfId="0" applyNumberFormat="0" applyFont="1" applyFill="0" applyBorder="0" applyAlignment="1">
      <x:alignment horizontal="center" vertical="center"/>
    </x:xf>
    <x:xf numFmtId="0" fontId="12" fillId="0" borderId="12" xfId="0" applyNumberFormat="0" applyFont="1" applyFill="0" applyBorder="0" applyAlignment="1">
      <x:alignment horizontal="center" vertical="center" wrapText="1"/>
    </x:xf>
    <x:xf numFmtId="0" fontId="12" fillId="11" borderId="12" xfId="0" applyNumberFormat="0" applyFont="1" applyFill="1" applyBorder="0" applyAlignment="1">
      <x:alignment vertical="center"/>
    </x:xf>
    <x:xf numFmtId="0" fontId="12" fillId="11" borderId="12" xfId="0" applyNumberFormat="0" applyFont="1" applyFill="1" applyBorder="0" applyAlignment="1">
      <x:alignment vertical="center" wrapText="1"/>
    </x:xf>
    <x:xf numFmtId="0" fontId="12" fillId="11" borderId="12" xfId="0" applyNumberFormat="0" applyFont="1" applyFill="1" applyBorder="0" applyAlignment="1">
      <x:alignment vertical="center" wrapText="1"/>
    </x:xf>
    <x:xf numFmtId="0" fontId="20" fillId="11" borderId="12" xfId="0" applyNumberFormat="0" applyFont="1" applyFill="1" applyBorder="0" applyAlignment="1">
      <x:alignment vertical="center" wrapText="1"/>
    </x:xf>
    <x:xf numFmtId="0" fontId="12" fillId="0" borderId="0" xfId="0" applyNumberFormat="0" applyFont="1" applyFill="0" applyBorder="0" applyAlignment="1">
      <x:alignment horizontal="center" vertical="center"/>
    </x:xf>
    <x:xf numFmtId="0" fontId="12" fillId="0" borderId="0" xfId="0" applyNumberFormat="0" applyFont="1" applyFill="0" applyBorder="0" applyAlignment="1">
      <x:alignment vertical="center" wrapText="1"/>
    </x:xf>
    <x:xf numFmtId="0" fontId="23" fillId="0" borderId="0" xfId="0" applyNumberFormat="0" applyFont="1" applyFill="0" applyBorder="0" applyAlignment="1">
      <x:alignment vertical="center" wrapText="1"/>
    </x:xf>
    <x:xf numFmtId="0" fontId="24" fillId="0" borderId="0" xfId="0" applyNumberFormat="0" applyFont="1" applyFill="0" applyBorder="0" applyAlignment="1">
      <x:alignment vertical="center"/>
    </x:xf>
    <x:xf numFmtId="166" fontId="25" fillId="0" borderId="0" xfId="0" applyNumberFormat="1" applyFont="1" applyFill="0" applyBorder="0" applyAlignment="1">
      <x:alignment vertical="top" wrapText="1"/>
    </x:xf>
    <x:xf numFmtId="0" fontId="25" fillId="0" borderId="0" xfId="0" applyNumberFormat="0" applyFont="1" applyFill="0" applyBorder="0" applyAlignment="1">
      <x:alignment vertical="top" wrapText="1"/>
    </x:xf>
    <x:xf numFmtId="0" fontId="23" fillId="0" borderId="0" xfId="0" applyNumberFormat="0" applyFont="1" applyFill="0" applyBorder="0" applyAlignment="1">
      <x:alignment vertical="center" wrapText="1"/>
    </x:xf>
    <x:xf numFmtId="0" fontId="26" fillId="0" borderId="0" xfId="0" applyNumberFormat="0" applyFont="1" applyFill="0" applyBorder="0" applyAlignment="1">
      <x:alignment vertical="center" wrapText="1"/>
    </x:xf>
    <x:xf numFmtId="0" fontId="24" fillId="0" borderId="0" xfId="0" applyNumberFormat="0" applyFont="1" applyFill="0" applyBorder="0" applyAlignment="1">
      <x:alignment vertical="center"/>
    </x:xf>
    <x:xf numFmtId="0" fontId="25" fillId="0" borderId="0" xfId="0" applyNumberFormat="0" applyFont="1" applyFill="0" applyBorder="0" applyAlignment="1">
      <x:alignment vertical="top" wrapText="1"/>
    </x:xf>
    <x:xf numFmtId="167" fontId="25" fillId="0" borderId="0" xfId="0" applyNumberFormat="1" applyFont="1" applyFill="0" applyBorder="0" applyAlignment="1">
      <x:alignment vertical="top" wrapText="1"/>
    </x:xf>
    <x:xf numFmtId="0" fontId="27" fillId="12" borderId="0" xfId="0" applyNumberFormat="0" applyFont="1" applyFill="1" applyBorder="0" applyAlignment="1">
      <x:alignment horizontal="center" vertical="center"/>
    </x:xf>
    <x:xf numFmtId="0" fontId="27" fillId="12" borderId="0" xfId="0" applyNumberFormat="0" applyFont="1" applyFill="1" applyBorder="0" applyAlignment="1">
      <x:alignment horizontal="center" vertical="center"/>
    </x:xf>
    <x:xf numFmtId="168" fontId="27" fillId="12" borderId="0" xfId="0" applyNumberFormat="1" applyFont="1" applyFill="1" applyBorder="0" applyAlignment="1">
      <x:alignment horizontal="center" vertical="center"/>
    </x:xf>
    <x:xf numFmtId="168" fontId="27" fillId="12" borderId="0" xfId="0" applyNumberFormat="1" applyFont="1" applyFill="1" applyBorder="0" applyAlignment="1">
      <x:alignment horizontal="center" vertical="center"/>
    </x:xf>
    <x:xf numFmtId="169" fontId="27" fillId="12" borderId="0" xfId="0" applyNumberFormat="1" applyFont="1" applyFill="1" applyBorder="0" applyAlignment="1">
      <x:alignment horizontal="center" vertical="center"/>
    </x:xf>
    <x:xf numFmtId="0" fontId="12" fillId="0" borderId="0" xfId="0" applyNumberFormat="0" applyFont="1" applyFill="0" applyBorder="0" applyAlignment="1">
      <x:alignment vertical="center"/>
    </x:xf>
    <x:xf numFmtId="0" fontId="22" fillId="13" borderId="0" xfId="0" applyNumberFormat="0" applyFont="1" applyFill="1" applyBorder="0" applyAlignment="1">
      <x:alignment horizontal="center" vertical="center"/>
    </x:xf>
    <x:xf numFmtId="0" fontId="22" fillId="13" borderId="0" xfId="0" applyNumberFormat="0" applyFont="1" applyFill="1" applyBorder="0" applyAlignment="1">
      <x:alignment vertical="center"/>
    </x:xf>
    <x:xf numFmtId="168" fontId="22" fillId="13" borderId="0" xfId="0" applyNumberFormat="1" applyFont="1" applyFill="1" applyBorder="0" applyAlignment="1">
      <x:alignment vertical="center"/>
    </x:xf>
    <x:xf numFmtId="168" fontId="22" fillId="13" borderId="0" xfId="0" applyNumberFormat="1" applyFont="1" applyFill="1" applyBorder="0" applyAlignment="1">
      <x:alignment vertical="center"/>
    </x:xf>
    <x:xf numFmtId="0" fontId="28" fillId="13" borderId="0" xfId="0" applyNumberFormat="0" applyFont="1" applyFill="1" applyBorder="0" applyAlignment="1">
      <x:alignment vertical="center"/>
    </x:xf>
    <x:xf numFmtId="169" fontId="22" fillId="13" borderId="0" xfId="0" applyNumberFormat="1" applyFont="1" applyFill="1" applyBorder="0" applyAlignment="1">
      <x:alignment vertical="center"/>
    </x:xf>
    <x:xf numFmtId="0" fontId="22" fillId="14" borderId="0" xfId="0" applyNumberFormat="0" applyFont="1" applyFill="1" applyBorder="0" applyAlignment="1">
      <x:alignment horizontal="center" vertical="center"/>
    </x:xf>
    <x:xf numFmtId="0" fontId="22" fillId="15" borderId="0" xfId="0" applyNumberFormat="0" applyFont="1" applyFill="1" applyBorder="0" applyAlignment="1">
      <x:alignment vertical="center"/>
    </x:xf>
    <x:xf numFmtId="168" fontId="22" fillId="15" borderId="0" xfId="0" applyNumberFormat="1" applyFont="1" applyFill="1" applyBorder="0" applyAlignment="1">
      <x:alignment vertical="center" wrapText="1"/>
    </x:xf>
    <x:xf numFmtId="168" fontId="22" fillId="15" borderId="0" xfId="0" applyNumberFormat="1" applyFont="1" applyFill="1" applyBorder="0" applyAlignment="1">
      <x:alignment vertical="center"/>
    </x:xf>
    <x:xf numFmtId="168" fontId="22" fillId="15" borderId="0" xfId="0" applyNumberFormat="1" applyFont="1" applyFill="1" applyBorder="0" applyAlignment="1">
      <x:alignment vertical="center"/>
    </x:xf>
    <x:xf numFmtId="0" fontId="29" fillId="16" borderId="0" xfId="0" applyNumberFormat="0" applyFont="1" applyFill="1" applyBorder="0" applyAlignment="1">
      <x:alignment vertical="center"/>
    </x:xf>
    <x:xf numFmtId="169" fontId="22" fillId="16" borderId="0" xfId="0" applyNumberFormat="1" applyFont="1" applyFill="1" applyBorder="0" applyAlignment="1">
      <x:alignment vertical="center"/>
    </x:xf>
    <x:xf numFmtId="169" fontId="22" fillId="16" borderId="0" xfId="0" applyNumberFormat="1" applyFont="1" applyFill="1" applyBorder="0" applyAlignment="1">
      <x:alignment vertical="center"/>
    </x:xf>
    <x:xf numFmtId="0" fontId="22" fillId="0" borderId="0" xfId="0" applyNumberFormat="0" applyFont="1" applyFill="0" applyBorder="0" applyAlignment="1">
      <x:alignment horizontal="center" vertical="center"/>
    </x:xf>
    <x:xf numFmtId="168" fontId="22" fillId="15" borderId="0" xfId="0" applyNumberFormat="1" applyFont="1" applyFill="1" applyBorder="0" applyAlignment="1">
      <x:alignment vertical="center" wrapText="1"/>
    </x:xf>
    <x:xf numFmtId="0" fontId="29" fillId="16" borderId="0" xfId="0" applyNumberFormat="0" applyFont="1" applyFill="1" applyBorder="0" applyAlignment="1">
      <x:alignment vertical="center"/>
    </x:xf>
    <x:xf numFmtId="0" fontId="22" fillId="15" borderId="0" xfId="0" applyNumberFormat="0" applyFont="1" applyFill="1" applyBorder="0" applyAlignment="1">
      <x:alignment vertical="center" wrapText="1"/>
    </x:xf>
    <x:xf numFmtId="168" fontId="30" fillId="15" borderId="0" xfId="0" applyNumberFormat="1" applyFont="1" applyFill="1" applyBorder="0" applyAlignment="1">
      <x:alignment vertical="center" wrapText="1"/>
    </x:xf>
    <x:xf numFmtId="0" fontId="12" fillId="13" borderId="0" xfId="0" applyNumberFormat="0" applyFont="1" applyFill="1" applyBorder="0" applyAlignment="1">
      <x:alignment horizontal="center" vertical="center"/>
    </x:xf>
    <x:xf numFmtId="0" fontId="12" fillId="13" borderId="0" xfId="0" applyNumberFormat="0" applyFont="1" applyFill="1" applyBorder="0" applyAlignment="1">
      <x:alignment vertical="center"/>
    </x:xf>
    <x:xf numFmtId="168" fontId="22" fillId="13" borderId="0" xfId="0" applyNumberFormat="1" applyFont="1" applyFill="1" applyBorder="0" applyAlignment="1">
      <x:alignment vertical="center" wrapText="1"/>
    </x:xf>
    <x:xf numFmtId="0" fontId="12" fillId="0" borderId="0" xfId="0" applyNumberFormat="0" applyFont="1" applyFill="0" applyBorder="0" applyAlignment="1">
      <x:alignment horizontal="center" vertical="center"/>
    </x:xf>
    <x:xf numFmtId="0" fontId="22" fillId="16" borderId="0" xfId="0" applyNumberFormat="0" applyFont="1" applyFill="1" applyBorder="0" applyAlignment="1">
      <x:alignment vertical="center"/>
    </x:xf>
    <x:xf numFmtId="0" fontId="12" fillId="16" borderId="0" xfId="0" applyNumberFormat="0" applyFont="1" applyFill="1" applyBorder="0" applyAlignment="1">
      <x:alignment vertical="center" wrapText="1"/>
    </x:xf>
    <x:xf numFmtId="0" fontId="12" fillId="16" borderId="0" xfId="0" applyNumberFormat="0" applyFont="1" applyFill="1" applyBorder="0" applyAlignment="1">
      <x:alignment vertical="center"/>
    </x:xf>
    <x:xf numFmtId="168" fontId="12" fillId="16" borderId="0" xfId="0" applyNumberFormat="1" applyFont="1" applyFill="1" applyBorder="0" applyAlignment="1">
      <x:alignment vertical="center" wrapText="1"/>
    </x:xf>
    <x:xf numFmtId="168" fontId="12" fillId="16" borderId="0" xfId="0" applyNumberFormat="1" applyFont="1" applyFill="1" applyBorder="0" applyAlignment="1">
      <x:alignment vertical="center"/>
    </x:xf>
    <x:xf numFmtId="168" fontId="12" fillId="16" borderId="0" xfId="0" applyNumberFormat="1" applyFont="1" applyFill="1" applyBorder="0" applyAlignment="1">
      <x:alignment vertical="center"/>
    </x:xf>
    <x:xf numFmtId="0" fontId="12" fillId="16" borderId="0" xfId="0" applyNumberFormat="0" applyFont="1" applyFill="1" applyBorder="0" applyAlignment="1">
      <x:alignment vertical="center"/>
    </x:xf>
    <x:xf numFmtId="169" fontId="22" fillId="16" borderId="0" xfId="0" applyNumberFormat="1" applyFont="1" applyFill="1" applyBorder="0" applyAlignment="1">
      <x:alignment vertical="center"/>
    </x:xf>
    <x:xf numFmtId="0" fontId="22" fillId="16" borderId="0" xfId="0" applyNumberFormat="0" applyFont="1" applyFill="1" applyBorder="0" applyAlignment="1">
      <x:alignment vertical="center" wrapText="1"/>
    </x:xf>
    <x:xf numFmtId="168" fontId="12" fillId="16" borderId="0" xfId="0" applyNumberFormat="1" applyFont="1" applyFill="1" applyBorder="0" applyAlignment="1">
      <x:alignment vertical="center" wrapText="1"/>
    </x:xf>
    <x:xf numFmtId="169" fontId="22" fillId="16" borderId="0" xfId="0" applyNumberFormat="1" applyFont="1" applyFill="1" applyBorder="0" applyAlignment="1">
      <x:alignment vertical="center"/>
    </x:xf>
    <x:xf numFmtId="0" fontId="12" fillId="0" borderId="0" xfId="0" applyNumberFormat="0" applyFont="1" applyFill="0" applyBorder="0" applyAlignment="1">
      <x:alignment horizontal="center" vertical="center"/>
    </x:xf>
    <x:xf numFmtId="168" fontId="12" fillId="0" borderId="0" xfId="0" applyNumberFormat="1" applyFont="1" applyFill="0" applyBorder="0" applyAlignment="1">
      <x:alignment vertical="center"/>
    </x:xf>
    <x:xf numFmtId="169" fontId="12" fillId="0" borderId="0" xfId="0" applyNumberFormat="1" applyFont="1" applyFill="0" applyBorder="0" applyAlignment="1">
      <x:alignment vertical="center"/>
    </x:xf>
    <x:xf numFmtId="0" fontId="0" fillId="17" borderId="0" xfId="0" applyNumberFormat="1" applyFont="1" applyFill="1" applyBorder="1" applyAlignment="1">
      <x:alignment vertical="center"/>
    </x:xf>
    <x:xf numFmtId="0" fontId="31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 applyAlignment="1">
      <x:alignment vertical="center"/>
    </x:xf>
    <x:xf numFmtId="0" fontId="32" fillId="18" borderId="0" xfId="0" applyNumberFormat="1" applyFont="1" applyFill="1" applyBorder="1" applyAlignment="1">
      <x:alignment vertical="center"/>
    </x:xf>
    <x:xf numFmtId="0" fontId="32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center"/>
    </x:xf>
    <x:xf numFmtId="0" fontId="33" fillId="19" borderId="0" xfId="0" applyNumberFormat="1" applyFont="1" applyFill="1" applyBorder="1" applyAlignment="1">
      <x:alignment vertical="center"/>
    </x:xf>
    <x:xf numFmtId="0" fontId="33" fillId="19" borderId="13" xfId="0" applyNumberFormat="1" applyFont="1" applyFill="1" applyBorder="1" applyAlignment="1">
      <x:alignment vertical="center"/>
    </x:xf>
    <x:xf numFmtId="0" fontId="33" fillId="19" borderId="14" xfId="0" applyNumberFormat="1" applyFont="1" applyFill="1" applyBorder="1" applyAlignment="1">
      <x:alignment vertical="center"/>
    </x:xf>
    <x:xf numFmtId="0" fontId="33" fillId="19" borderId="13" xfId="0" applyNumberFormat="1" applyFont="1" applyFill="1" applyBorder="1" applyAlignment="1">
      <x:alignment vertical="center" wrapText="1"/>
    </x:xf>
    <x:xf numFmtId="0" fontId="33" fillId="19" borderId="14" xfId="0" applyNumberFormat="1" applyFont="1" applyFill="1" applyBorder="1" applyAlignment="1">
      <x:alignment vertical="center" wrapText="1"/>
    </x:xf>
    <x:xf numFmtId="0" fontId="33" fillId="19" borderId="13" xfId="0" applyNumberFormat="1" applyFont="1" applyFill="1" applyBorder="1" applyAlignment="1">
      <x:alignment vertical="top" wrapText="1"/>
    </x:xf>
    <x:xf numFmtId="0" fontId="33" fillId="19" borderId="14" xfId="0" applyNumberFormat="1" applyFont="1" applyFill="1" applyBorder="1" applyAlignment="1">
      <x:alignment vertical="top" wrapText="1"/>
    </x:xf>
    <x:xf numFmtId="0" fontId="33" fillId="20" borderId="13" xfId="0" applyNumberFormat="1" applyFont="1" applyFill="1" applyBorder="1" applyAlignment="1">
      <x:alignment vertical="top" wrapText="1"/>
    </x:xf>
    <x:xf numFmtId="0" fontId="34" fillId="20" borderId="13" xfId="0" applyNumberFormat="1" applyFont="1" applyFill="1" applyBorder="1" applyAlignment="1">
      <x:alignment vertical="top" wrapText="1"/>
    </x:xf>
    <x:xf numFmtId="0" fontId="34" fillId="20" borderId="15" xfId="0" applyNumberFormat="1" applyFont="1" applyFill="1" applyBorder="1" applyAlignment="1">
      <x:alignment vertical="top" wrapText="1"/>
    </x:xf>
    <x:xf numFmtId="0" fontId="34" fillId="20" borderId="16" xfId="0" applyNumberFormat="1" applyFont="1" applyFill="1" applyBorder="1" applyAlignment="1">
      <x:alignment vertical="top" wrapText="1"/>
    </x:xf>
    <x:xf numFmtId="0" fontId="34" fillId="20" borderId="17" xfId="0" applyNumberFormat="1" applyFont="1" applyFill="1" applyBorder="1" applyAlignment="1">
      <x:alignment vertical="top" wrapText="1"/>
    </x:xf>
    <x:xf numFmtId="0" fontId="34" fillId="20" borderId="15" xfId="0" applyNumberFormat="1" applyFont="1" applyFill="1" applyBorder="1" applyAlignment="1">
      <x:alignment vertical="center" wrapText="1"/>
    </x:xf>
    <x:xf numFmtId="0" fontId="34" fillId="20" borderId="16" xfId="0" applyNumberFormat="1" applyFont="1" applyFill="1" applyBorder="1" applyAlignment="1">
      <x:alignment vertical="center" wrapText="1"/>
    </x:xf>
    <x:xf numFmtId="0" fontId="34" fillId="20" borderId="17" xfId="0" applyNumberFormat="1" applyFont="1" applyFill="1" applyBorder="1" applyAlignment="1">
      <x:alignment vertical="center" wrapText="1"/>
    </x:xf>
    <x:xf numFmtId="200" fontId="33" fillId="19" borderId="14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center"/>
    </x:xf>
    <x:xf numFmtId="0" fontId="35" fillId="21" borderId="0" xfId="0" applyNumberFormat="1" applyFont="1" applyFill="1" applyBorder="1" applyAlignment="1">
      <x:alignment vertical="center"/>
    </x:xf>
    <x:xf numFmtId="0" fontId="35" fillId="21" borderId="18" xfId="0" applyNumberFormat="1" applyFont="1" applyFill="1" applyBorder="1" applyAlignment="1">
      <x:alignment vertical="center"/>
    </x:xf>
    <x:xf numFmtId="0" fontId="35" fillId="21" borderId="14" xfId="0" applyNumberFormat="1" applyFont="1" applyFill="1" applyBorder="1" applyAlignment="1">
      <x:alignment vertical="center"/>
    </x:xf>
    <x:xf numFmtId="0" fontId="35" fillId="21" borderId="19" xfId="0" applyNumberFormat="1" applyFont="1" applyFill="1" applyBorder="1" applyAlignment="1">
      <x:alignment vertical="center"/>
    </x:xf>
    <x:xf numFmtId="0" fontId="36" fillId="21" borderId="0" xfId="0" applyNumberFormat="1" applyFont="1" applyFill="1" applyBorder="1" applyAlignment="1">
      <x:alignment vertical="center"/>
    </x:xf>
    <x:xf numFmtId="0" fontId="36" fillId="21" borderId="18" xfId="0" applyNumberFormat="1" applyFont="1" applyFill="1" applyBorder="1" applyAlignment="1">
      <x:alignment vertical="center"/>
    </x:xf>
    <x:xf numFmtId="0" fontId="36" fillId="21" borderId="14" xfId="0" applyNumberFormat="1" applyFont="1" applyFill="1" applyBorder="1" applyAlignment="1">
      <x:alignment vertical="center"/>
    </x:xf>
    <x:xf numFmtId="0" fontId="36" fillId="21" borderId="19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0" fontId="37" fillId="20" borderId="0" xfId="0" applyNumberFormat="1" applyFont="1" applyFill="1" applyBorder="1" applyAlignment="1">
      <x:alignment vertical="center"/>
    </x:xf>
    <x:xf numFmtId="0" fontId="37" fillId="20" borderId="0" xfId="0" applyNumberFormat="1" applyFont="1" applyFill="1" applyBorder="1" applyAlignment="1">
      <x:alignment vertical="center" wrapText="1"/>
    </x:xf>
    <x:xf numFmtId="0" fontId="38" fillId="19" borderId="0" xfId="0" applyNumberFormat="1" applyFont="1" applyFill="1" applyBorder="1" applyAlignment="1">
      <x:alignment vertical="center"/>
    </x:xf>
    <x:xf numFmtId="0" fontId="38" fillId="19" borderId="13" xfId="0" applyNumberFormat="1" applyFont="1" applyFill="1" applyBorder="1" applyAlignment="1">
      <x:alignment vertical="center"/>
    </x:xf>
    <x:xf numFmtId="0" fontId="38" fillId="19" borderId="14" xfId="0" applyNumberFormat="1" applyFont="1" applyFill="1" applyBorder="1" applyAlignment="1">
      <x:alignment vertical="center"/>
    </x:xf>
    <x:xf numFmtId="0" fontId="38" fillId="19" borderId="13" xfId="0" applyNumberFormat="1" applyFont="1" applyFill="1" applyBorder="1" applyAlignment="1">
      <x:alignment vertical="center" wrapText="1"/>
    </x:xf>
    <x:xf numFmtId="0" fontId="38" fillId="19" borderId="14" xfId="0" applyNumberFormat="1" applyFont="1" applyFill="1" applyBorder="1" applyAlignment="1">
      <x:alignment vertical="center" wrapText="1"/>
    </x:xf>
    <x:xf numFmtId="0" fontId="38" fillId="19" borderId="13" xfId="0" applyNumberFormat="1" applyFont="1" applyFill="1" applyBorder="1" applyAlignment="1">
      <x:alignment vertical="top" wrapText="1"/>
    </x:xf>
    <x:xf numFmtId="0" fontId="38" fillId="19" borderId="14" xfId="0" applyNumberFormat="1" applyFont="1" applyFill="1" applyBorder="1" applyAlignment="1">
      <x:alignment vertical="top" wrapText="1"/>
    </x:xf>
    <x:xf numFmtId="0" fontId="37" fillId="17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 applyAlignment="1">
      <x:alignment vertical="center"/>
    </x:xf>
    <x:xf numFmtId="0" fontId="37" fillId="22" borderId="0" xfId="0" applyNumberFormat="1" applyFont="1" applyFill="1" applyBorder="1" applyAlignment="1">
      <x:alignment vertical="center"/>
    </x:xf>
    <x:xf numFmtId="0" fontId="37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/>
    </x:xf>
    <x:xf numFmtId="0" fontId="35" fillId="23" borderId="0" xfId="0" applyNumberFormat="1" applyFont="1" applyFill="1" applyBorder="1" applyAlignment="1">
      <x:alignment vertical="center"/>
    </x:xf>
    <x:xf numFmtId="0" fontId="35" fillId="23" borderId="20" xfId="0" applyNumberFormat="1" applyFont="1" applyFill="1" applyBorder="1" applyAlignment="1">
      <x:alignment vertical="center"/>
    </x:xf>
    <x:xf numFmtId="0" fontId="35" fillId="23" borderId="21" xfId="0" applyNumberFormat="1" applyFont="1" applyFill="1" applyBorder="1" applyAlignment="1">
      <x:alignment vertical="center"/>
    </x:xf>
    <x:xf numFmtId="0" fontId="35" fillId="23" borderId="22" xfId="0" applyNumberFormat="1" applyFont="1" applyFill="1" applyBorder="1" applyAlignment="1">
      <x:alignment vertical="center"/>
    </x:xf>
    <x:xf numFmtId="0" fontId="35" fillId="23" borderId="23" xfId="0" applyNumberFormat="1" applyFont="1" applyFill="1" applyBorder="1" applyAlignment="1">
      <x:alignment vertical="center"/>
    </x:xf>
    <x:xf numFmtId="0" fontId="35" fillId="23" borderId="24" xfId="0" applyNumberFormat="1" applyFont="1" applyFill="1" applyBorder="1" applyAlignment="1">
      <x:alignment vertical="center"/>
    </x:xf>
    <x:xf numFmtId="0" fontId="35" fillId="23" borderId="25" xfId="0" applyNumberFormat="1" applyFont="1" applyFill="1" applyBorder="1" applyAlignment="1">
      <x:alignment vertical="center"/>
    </x:xf>
    <x:xf numFmtId="0" fontId="35" fillId="23" borderId="20" xfId="0" applyNumberFormat="1" applyFont="1" applyFill="1" applyBorder="1" applyAlignment="1">
      <x:alignment vertical="center" wrapText="1"/>
    </x:xf>
    <x:xf numFmtId="0" fontId="35" fillId="23" borderId="21" xfId="0" applyNumberFormat="1" applyFont="1" applyFill="1" applyBorder="1" applyAlignment="1">
      <x:alignment vertical="center" wrapText="1"/>
    </x:xf>
    <x:xf numFmtId="0" fontId="35" fillId="23" borderId="22" xfId="0" applyNumberFormat="1" applyFont="1" applyFill="1" applyBorder="1" applyAlignment="1">
      <x:alignment vertical="center" wrapText="1"/>
    </x:xf>
    <x:xf numFmtId="0" fontId="35" fillId="23" borderId="23" xfId="0" applyNumberFormat="1" applyFont="1" applyFill="1" applyBorder="1" applyAlignment="1">
      <x:alignment vertical="center" wrapText="1"/>
    </x:xf>
    <x:xf numFmtId="0" fontId="35" fillId="23" borderId="24" xfId="0" applyNumberFormat="1" applyFont="1" applyFill="1" applyBorder="1" applyAlignment="1">
      <x:alignment vertical="center" wrapText="1"/>
    </x:xf>
    <x:xf numFmtId="0" fontId="35" fillId="23" borderId="25" xfId="0" applyNumberFormat="1" applyFont="1" applyFill="1" applyBorder="1" applyAlignment="1">
      <x:alignment vertical="center" wrapText="1"/>
    </x:xf>
  </x:cellXfs>
  <x:cellStyles count="2">
    <x:cellStyle name="Normal" xfId="0"/>
    <x:cellStyle name="输出" xfId="1"/>
  </x:cellStyles>
  <x:dxfs count="6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AF4E3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006100"/>
      </x:font>
      <x:fill>
        <x:patternFill patternType="solid">
          <x:bgColor rgb="FFEAF4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faf2f6a894fe6" /><Relationship Type="http://schemas.openxmlformats.org/officeDocument/2006/relationships/theme" Target="/xl/theme/theme1.xml" Id="Ra6bff18b1b5c4139" /><Relationship Type="http://schemas.openxmlformats.org/officeDocument/2006/relationships/sharedStrings" Target="/xl/sharedStrings.xml" Id="Rf4b12b7117704e7d" /><Relationship Type="http://schemas.openxmlformats.org/officeDocument/2006/relationships/worksheet" Target="/xl/worksheets/sheet1.xml" Id="R3b33f707eef24c7f" /><Relationship Type="http://schemas.openxmlformats.org/officeDocument/2006/relationships/worksheet" Target="/xl/worksheets/sheet2.xml" Id="R5e68335478444703" /><Relationship Type="http://schemas.openxmlformats.org/officeDocument/2006/relationships/worksheet" Target="/xl/worksheets/sheet3.xml" Id="R05447175a3ef442b" /><Relationship Type="http://schemas.openxmlformats.org/officeDocument/2006/relationships/worksheet" Target="/xl/worksheets/sheet4.xml" Id="Rcdcb85a873404552" /><Relationship Type="http://schemas.openxmlformats.org/officeDocument/2006/relationships/worksheet" Target="/xl/worksheets/sheet5.xml" Id="R3174cb41a7f24b8c" /><Relationship Type="http://schemas.openxmlformats.org/officeDocument/2006/relationships/worksheet" Target="/xl/worksheets/sheet6.xml" Id="R97e89e4077b9453f" /><Relationship Type="http://schemas.openxmlformats.org/officeDocument/2006/relationships/worksheet" Target="/xl/worksheets/sheet7.xml" Id="R3a761a5b26b549b7" /><Relationship Type="http://schemas.openxmlformats.org/officeDocument/2006/relationships/worksheet" Target="/xl/worksheets/sheet8.xml" Id="R81fe58389ab54393" /><Relationship Type="http://schemas.openxmlformats.org/officeDocument/2006/relationships/worksheet" Target="/xl/worksheets/sheet9.xml" Id="R650a0f2fb387447a" /><Relationship Type="http://schemas.openxmlformats.org/officeDocument/2006/relationships/worksheet" Target="/xl/worksheets/sheet10.xml" Id="Rcad0056a239c427c" /><Relationship Type="http://schemas.openxmlformats.org/officeDocument/2006/relationships/worksheet" Target="/xl/worksheets/sheet11.xml" Id="R0b809ee7b4f54e1d" /><Relationship Type="http://schemas.openxmlformats.org/officeDocument/2006/relationships/worksheet" Target="/xl/worksheets/sheet12.xml" Id="R738dbfaf91664630" /><Relationship Type="http://schemas.openxmlformats.org/officeDocument/2006/relationships/worksheet" Target="/xl/worksheets/sheet13.xml" Id="Ra98cdd814643402d" /><Relationship Type="http://schemas.openxmlformats.org/officeDocument/2006/relationships/worksheet" Target="/xl/worksheets/sheet14.xml" Id="R31436237807e447e" /><Relationship Type="http://schemas.openxmlformats.org/officeDocument/2006/relationships/worksheet" Target="/xl/worksheets/sheet15.xml" Id="R7a11e14dee474970" /><Relationship Type="http://schemas.openxmlformats.org/officeDocument/2006/relationships/worksheet" Target="/xl/worksheets/sheet16.xml" Id="R07fa51372f9342b1" /><Relationship Type="http://schemas.openxmlformats.org/officeDocument/2006/relationships/worksheet" Target="/xl/worksheets/sheet17.xml" Id="R0989457136944b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c60f443f0a24125" /><Relationship Type="http://schemas.openxmlformats.org/officeDocument/2006/relationships/image" Target="/xl/media/image2.jpg" Id="Rde769a86dd1e4c5b" /><Relationship Type="http://schemas.openxmlformats.org/officeDocument/2006/relationships/image" Target="/xl/media/image3.jpg" Id="Rf4c0ee8a90514d92" /><Relationship Type="http://schemas.openxmlformats.org/officeDocument/2006/relationships/image" Target="/xl/media/image4.jpg" Id="Rd814c6ab5b4f4917" /><Relationship Type="http://schemas.openxmlformats.org/officeDocument/2006/relationships/image" Target="/xl/media/image5.jpg" Id="R7c9ec69c1c824a83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200025</xdr:colOff>
      <xdr:row>21</xdr:row>
      <xdr:rowOff>285750</xdr:rowOff>
    </xdr:from>
    <xdr:to>
      <xdr:col>1</xdr:col>
      <xdr:colOff>1590675</xdr:colOff>
      <xdr:row>21</xdr:row>
      <xdr:rowOff>1143000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60f443f0a241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19050</xdr:colOff>
      <xdr:row>12</xdr:row>
      <xdr:rowOff>1304925</xdr:rowOff>
    </xdr:from>
    <xdr:to>
      <xdr:col>1</xdr:col>
      <xdr:colOff>3962400</xdr:colOff>
      <xdr:row>12</xdr:row>
      <xdr:rowOff>2085975</xdr:rowOff>
    </xdr:to>
    <xdr:pic>
      <xdr:nvPicPr>
        <xdr:cNvPr id="2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769a86dd1e4c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104775</xdr:colOff>
      <xdr:row>45</xdr:row>
      <xdr:rowOff>590550</xdr:rowOff>
    </xdr:from>
    <xdr:to>
      <xdr:col>1</xdr:col>
      <xdr:colOff>4629150</xdr:colOff>
      <xdr:row>45</xdr:row>
      <xdr:rowOff>990600</xdr:rowOff>
    </xdr:to>
    <xdr:pic>
      <xdr:nvPicPr>
        <xdr:cNvPr id="3" name="/xl/media/image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c0ee8a90514d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114300</xdr:colOff>
      <xdr:row>2</xdr:row>
      <xdr:rowOff>247650</xdr:rowOff>
    </xdr:from>
    <xdr:to>
      <xdr:col>1</xdr:col>
      <xdr:colOff>1628775</xdr:colOff>
      <xdr:row>2</xdr:row>
      <xdr:rowOff>781050</xdr:rowOff>
    </xdr:to>
    <xdr:pic>
      <xdr:nvPicPr>
        <xdr:cNvPr id="4" name="/xl/media/image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14c6ab5b4f49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1619250</xdr:colOff>
      <xdr:row>2</xdr:row>
      <xdr:rowOff>238125</xdr:rowOff>
    </xdr:from>
    <xdr:to>
      <xdr:col>1</xdr:col>
      <xdr:colOff>2543175</xdr:colOff>
      <xdr:row>2</xdr:row>
      <xdr:rowOff>962025</xdr:rowOff>
    </xdr:to>
    <xdr:pic>
      <xdr:nvPicPr>
        <xdr:cNvPr id="5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9ec69c1c824a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10" name="PlanReviewSummary" displayName="PlanReviewSummary" ref="A5:H13" headerRowCount="1" totalsRowCount="0" totalsRowShown="0">
  <x:autoFilter ref="A5:H13"/>
  <x:tableColumns count="8">
    <x:tableColumn id="1" name="评审维度"/>
    <x:tableColumn id="2" name="原计划状态"/>
    <x:tableColumn id="3" name="评审结果"/>
    <x:tableColumn id="4" name="必须调整"/>
    <x:tableColumn id="5" name="实际工程依据"/>
    <x:tableColumn id="6" name="对排期的影响"/>
    <x:tableColumn id="7" name="Gate"/>
    <x:tableColumn id="8" name="优先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PhaseRecommendation" displayName="PhaseRecommendation" ref="A16:H21" headerRowCount="1" totalsRowCount="0" totalsRowShown="0">
  <x:autoFilter ref="A16:H21"/>
  <x:tableColumns count="8">
    <x:tableColumn id="1" name="阶段"/>
    <x:tableColumn id="2" name="核心结果"/>
    <x:tableColumn id="3" name="不可替代的Gate证据"/>
    <x:tableColumn id="4" name="建议工期"/>
    <x:tableColumn id="5" name="原计划"/>
    <x:tableColumn id="6" name="评审判断"/>
    <x:tableColumn id="7" name="主要风险"/>
    <x:tableColumn id="8" name="详见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1" name="AdjustedMilestones" displayName="AdjustedMilestones" ref="A5:K12" headerRowCount="1" totalsRowCount="0" totalsRowShown="0">
  <x:autoFilter ref="A5:K12"/>
  <x:tableColumns count="11">
    <x:tableColumn id="1" name="里程碑ID"/>
    <x:tableColumn id="2" name="里程碑"/>
    <x:tableColumn id="3" name="目标"/>
    <x:tableColumn id="4" name="范围/关键活动"/>
    <x:tableColumn id="5" name="前置输入"/>
    <x:tableColumn id="6" name="必须交付物"/>
    <x:tableColumn id="7" name="退出准则（合同Gate）"/>
    <x:tableColumn id="8" name="建议工期"/>
    <x:tableColumn id="9" name="对应原计划"/>
    <x:tableColumn id="10" name="评审结论"/>
    <x:tableColumn id="11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DetailedWBS" displayName="DetailedWBS" ref="A5:P95" headerRowCount="1" totalsRowCount="0" totalsRowShown="0">
  <x:autoFilter ref="A5:P95"/>
  <x:tableColumns count="16">
    <x:tableColumn id="1" name="WBS ID"/>
    <x:tableColumn id="2" name="阶段"/>
    <x:tableColumn id="3" name="工作流"/>
    <x:tableColumn id="4" name="任务名称"/>
    <x:tableColumn id="5" name="详细需求/工作内容"/>
    <x:tableColumn id="6" name="工程现状或取证事实"/>
    <x:tableColumn id="7" name="甲方/第三方输入"/>
    <x:tableColumn id="8" name="责任建议"/>
    <x:tableColumn id="9" name="前置依赖"/>
    <x:tableColumn id="10" name="交付物"/>
    <x:tableColumn id="11" name="验收方法与判据"/>
    <x:tableColumn id="12" name="优先级"/>
    <x:tableColumn id="13" name="建议工期(工作日)"/>
    <x:tableColumn id="14" name="状态"/>
    <x:tableColumn id="15" name="原计划映射"/>
    <x:tableColumn id="16" name="主要证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AcceptanceMatrix" displayName="AcceptanceMatrix" ref="A5:L57" headerRowCount="1" totalsRowCount="0" totalsRowShown="0">
  <x:autoFilter ref="A5:L57"/>
  <x:tableColumns count="12">
    <x:tableColumn id="1" name="Test ID"/>
    <x:tableColumn id="2" name="阶段"/>
    <x:tableColumn id="3" name="领域"/>
    <x:tableColumn id="4" name="前置条件"/>
    <x:tableColumn id="5" name="刺激/步骤"/>
    <x:tableColumn id="6" name="观测点"/>
    <x:tableColumn id="7" name="通过判据"/>
    <x:tableColumn id="8" name="量化口径/来源"/>
    <x:tableColumn id="9" name="环境/工具"/>
    <x:tableColumn id="10" name="验收证据"/>
    <x:tableColumn id="11" name="关联WBS"/>
    <x:tableColumn id="12" name="责任建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CleanRoomBoundary" displayName="CleanRoomBoundary" ref="A5:J21" headerRowCount="1" totalsRowCount="0" totalsRowShown="0">
  <x:autoFilter ref="A5:J21"/>
  <x:tableColumns count="10">
    <x:tableColumn id="1" name="ID"/>
    <x:tableColumn id="2" name="对象/资料"/>
    <x:tableColumn id="3" name="资料Owner"/>
    <x:tableColumn id="4" name="可给实现组的中立输入"/>
    <x:tableColumn id="5" name="禁止或受限内容"/>
    <x:tableColumn id="6" name="东软责任"/>
    <x:tableColumn id="7" name="甲方责任"/>
    <x:tableColumn id="8" name="版本/完整性要求"/>
    <x:tableColumn id="9" name="进入阶段"/>
    <x:tableColumn id="10" name="验收/关闭条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NvmEvidenceTable" displayName="NvmEvidenceTable" ref="A5:W110" headerRowCount="1" totalsRowCount="0" totalsRowShown="0">
  <x:autoFilter ref="A5:W110"/>
  <x:tableColumns count="23">
    <x:tableColumn id="1" name="Block ID"/>
    <x:tableColumn id="2" name="Block名称"/>
    <x:tableColumn id="3" name="分类/用途"/>
    <x:tableColumn id="4" name="长度(Byte)"/>
    <x:tableColumn id="5" name="Fee逻辑Persistent ID"/>
    <x:tableColumn id="6" name="管理类型"/>
    <x:tableColumn id="7" name="NV副本数"/>
    <x:tableColumn id="8" name="ROM副本数"/>
    <x:tableColumn id="9" name="CRC"/>
    <x:tableColumn id="10" name="优先级"/>
    <x:tableColumn id="11" name="ReadAll"/>
    <x:tableColumn id="12" name="WriteAll"/>
    <x:tableColumn id="13" name="FirstInitAll"/>
    <x:tableColumn id="14" name="ResistantToChangedSW"/>
    <x:tableColumn id="15" name="ExplicitSync"/>
    <x:tableColumn id="16" name="WriteProtected"/>
    <x:tableColumn id="17" name="WriteOnce"/>
    <x:tableColumn id="18" name="RAM类型"/>
    <x:tableColumn id="19" name="ROM默认值"/>
    <x:tableColumn id="20" name="Fee Flag"/>
    <x:tableColumn id="21" name="物理存储说明"/>
    <x:tableColumn id="22" name="源码证据"/>
    <x:tableColumn id="23" name="专项验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DiagnosticBaseline" displayName="DiagnosticBaseline" ref="A5:K87" headerRowCount="1" totalsRowCount="0" totalsRowShown="0">
  <x:autoFilter ref="A5:K87"/>
  <x:tableColumns count="11">
    <x:tableColumn id="1" name="类型"/>
    <x:tableColumn id="2" name="标识"/>
    <x:tableColumn id="3" name="名称/用途"/>
    <x:tableColumn id="4" name="长度/时序"/>
    <x:tableColumn id="5" name="会话/权限"/>
    <x:tableColumn id="6" name="安全级"/>
    <x:tableColumn id="7" name="工程显式配置"/>
    <x:tableColumn id="8" name="需求化结论/待确认"/>
    <x:tableColumn id="9" name="东软交付要求"/>
    <x:tableColumn id="10" name="验收重点"/>
    <x:tableColumn id="11" name="证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PlatformBaseline" displayName="PlatformBaseline" ref="A5:H41" headerRowCount="1" totalsRowCount="0" totalsRowShown="0">
  <x:autoFilter ref="A5:H41"/>
  <x:tableColumns count="8">
    <x:tableColumn id="1" name="领域"/>
    <x:tableColumn id="2" name="配置项"/>
    <x:tableColumn id="3" name="工程显式值/行为"/>
    <x:tableColumn id="4" name="需求化结论"/>
    <x:tableColumn id="5" name="阶段"/>
    <x:tableColumn id="6" name="东软交付"/>
    <x:tableColumn id="7" name="验收重点"/>
    <x:tableColumn id="8" name="证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8" name="RiskRegister" displayName="RiskRegister" ref="A5:J33" headerRowCount="1" totalsRowCount="0" totalsRowShown="0">
  <x:autoFilter ref="A5:J33"/>
  <x:tableColumns count="10">
    <x:tableColumn id="1" name="风险ID"/>
    <x:tableColumn id="2" name="级别"/>
    <x:tableColumn id="3" name="Gate"/>
    <x:tableColumn id="4" name="问题/矛盾"/>
    <x:tableColumn id="5" name="工程证据"/>
    <x:tableColumn id="6" name="影响"/>
    <x:tableColumn id="7" name="责任建议"/>
    <x:tableColumn id="8" name="关闭输入/动作"/>
    <x:tableColumn id="9" name="关闭判据"/>
    <x:tableColumn id="10" name="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EvidenceIndex" displayName="EvidenceIndex" ref="A5:G61" headerRowCount="1" totalsRowCount="0" totalsRowShown="0">
  <x:autoFilter ref="A5:G61"/>
  <x:tableColumns count="7">
    <x:tableColumn id="1" name="证据ID"/>
    <x:tableColumn id="2" name="主题"/>
    <x:tableColumn id="3" name="可确认事实"/>
    <x:tableColumn id="4" name="绝对文件路径"/>
    <x:tableColumn id="5" name="行号/节点"/>
    <x:tableColumn id="6" name="证据口径"/>
    <x:tableColumn id="7" name="影响的WBS/风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flinkpro.feishu.cn/file/I8ZGbwXJhoJYywxw9opcrJ27n6g" TargetMode="External" Id="R9bee54b774fc453f" /><Relationship Type="http://schemas.openxmlformats.org/officeDocument/2006/relationships/drawing" Target="/xl/drawings/drawing1.xml" Id="Rd091a5f6bf8c45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22f7374d27c044a3" /><Relationship Type="http://schemas.openxmlformats.org/officeDocument/2006/relationships/table" Target="/xl/tables/table2.xml" Id="R52c663c2fa344b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dff3a346306d485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c9e66db72eae42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5.xml" Id="Rbf83ae4a25e246f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6.xml" Id="Rae2c18c3f57343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7.xml" Id="R7fbe20aaff8c440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8.xml" Id="R1347076bf65d4ed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9.xml" Id="R297122e3d7b44b9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0.xml" Id="R0e8801cf432d425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1.xml" Id="R1090ea4acf9a44bc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1" max="1" width="9" hidden="0" customWidth="1"/>
    <x:col min="3" max="3" width="8" hidden="0" customWidth="1"/>
    <x:col min="5" max="5" width="8" hidden="0" customWidth="1"/>
    <x:col min="5" max="5" width="8" hidden="1" customWidth="1"/>
    <x:col min="9" max="9" width="9" hidden="0" customWidth="1"/>
    <x:col min="11" max="11" width="14" hidden="0" customWidth="1"/>
    <x:col min="2" max="2" width="63" hidden="0" customWidth="1"/>
    <x:col min="4" max="4" width="8" hidden="0" customWidth="1"/>
    <x:col min="4" max="4" width="8" hidden="1" customWidth="1"/>
    <x:col min="6" max="6" width="6" hidden="0" customWidth="1"/>
    <x:col min="7" max="7" width="9" hidden="0" customWidth="1"/>
    <x:col min="8" max="8" width="99" hidden="0" customWidth="1"/>
    <x:col min="10" max="10" width="6" hidden="0" customWidth="1"/>
  </x:cols>
  <x:sheetData>
    <x:row r="1">
      <x:c r="A1" s="1" t="s">
        <x:v>0</x:v>
      </x:c>
      <x:c r="B1" s="2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3" t="s">
        <x:v>6</x:v>
      </x:c>
      <x:c r="H1" s="4" t="s">
        <x:v>7</x:v>
      </x:c>
      <x:c r="I1" s="5" t="s">
        <x:v>8</x:v>
      </x:c>
      <x:c r="J1" s="6" t="s">
        <x:v>9</x:v>
      </x:c>
      <x:c r="K1" s="6" t="s">
        <x:v>10</x:v>
      </x:c>
    </x:row>
    <x:row r="2">
      <x:c r="A2" s="7">
        <x:v>1</x:v>
      </x:c>
      <x:c r="B2" s="8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10">
        <x:v>46212</x:v>
      </x:c>
      <x:c r="H2" s="11" t="s">
        <x:v>16</x:v>
      </x:c>
      <x:c r="I2" s="12">
        <x:v>46213</x:v>
      </x:c>
      <x:c r="J2" s="13" t="s">
        <x:v>17</x:v>
      </x:c>
      <x:c r="K2" s="13" t="s">
        <x:v>18</x:v>
      </x:c>
    </x:row>
    <x:row r="3" ht="70" customHeight="1">
      <x:c r="A3" s="7">
        <x:v>2</x:v>
      </x:c>
      <x:c r="B3" s="14" t="s">
        <x:v>19</x:v>
      </x:c>
      <x:c r="C3" s="9" t="s">
        <x:v>12</x:v>
      </x:c>
      <x:c r="D3" s="9" t="s">
        <x:v>13</x:v>
      </x:c>
      <x:c r="E3" s="9" t="s">
        <x:v>14</x:v>
      </x:c>
      <x:c r="F3" s="9" t="s">
        <x:v>15</x:v>
      </x:c>
      <x:c r="G3" s="10">
        <x:v>46212</x:v>
      </x:c>
      <x:c r="H3" s="15" t="s">
        <x:v>20</x:v>
      </x:c>
      <x:c r="I3" s="12">
        <x:v>46213</x:v>
      </x:c>
      <x:c r="J3" s="13" t="s">
        <x:v>17</x:v>
      </x:c>
      <x:c r="K3" s="13" t="s">
        <x:v>18</x:v>
      </x:c>
    </x:row>
    <x:row r="4">
      <x:c r="A4" s="7">
        <x:v>3</x:v>
      </x:c>
      <x:c r="B4" s="8" t="s">
        <x:v>21</x:v>
      </x:c>
      <x:c r="C4" s="9" t="s">
        <x:v>12</x:v>
      </x:c>
      <x:c r="D4" s="9" t="s">
        <x:v>13</x:v>
      </x:c>
      <x:c r="E4" s="9" t="s">
        <x:v>14</x:v>
      </x:c>
      <x:c r="F4" s="9" t="s">
        <x:v>15</x:v>
      </x:c>
      <x:c r="G4" s="10">
        <x:v>46212</x:v>
      </x:c>
      <x:c r="H4" s="16" t="s">
        <x:v>22</x:v>
      </x:c>
      <x:c r="I4" s="12">
        <x:v>46213</x:v>
      </x:c>
      <x:c r="J4" s="13" t="s">
        <x:v>17</x:v>
      </x:c>
      <x:c r="K4" s="13" t="s">
        <x:v>18</x:v>
      </x:c>
    </x:row>
    <x:row r="5">
      <x:c r="A5" s="7">
        <x:v>4</x:v>
      </x:c>
      <x:c r="B5" s="8" t="s">
        <x:v>23</x:v>
      </x:c>
      <x:c r="C5" s="9" t="s">
        <x:v>24</x:v>
      </x:c>
      <x:c r="D5" s="9" t="s">
        <x:v>13</x:v>
      </x:c>
      <x:c r="E5" s="9" t="s">
        <x:v>14</x:v>
      </x:c>
      <x:c r="F5" s="9" t="s">
        <x:v>15</x:v>
      </x:c>
      <x:c r="G5" s="10">
        <x:v>46212</x:v>
      </x:c>
      <x:c r="H5" s="16" t="s">
        <x:v>25</x:v>
      </x:c>
      <x:c r="I5" s="12">
        <x:v>46213</x:v>
      </x:c>
      <x:c r="J5" s="13" t="s">
        <x:v>17</x:v>
      </x:c>
      <x:c r="K5" s="13" t="s">
        <x:v>26</x:v>
      </x:c>
    </x:row>
    <x:row r="6">
      <x:c r="A6" s="17">
        <x:v>5</x:v>
      </x:c>
      <x:c r="B6" s="18" t="s">
        <x:v>27</x:v>
      </x:c>
      <x:c r="C6" s="9" t="s">
        <x:v>28</x:v>
      </x:c>
      <x:c r="D6" s="9" t="s">
        <x:v>13</x:v>
      </x:c>
      <x:c r="E6" s="9" t="s">
        <x:v>14</x:v>
      </x:c>
      <x:c r="F6" s="9" t="s">
        <x:v>29</x:v>
      </x:c>
      <x:c r="G6" s="10">
        <x:v>46212</x:v>
      </x:c>
      <x:c r="H6" s="16" t="s">
        <x:v>30</x:v>
      </x:c>
      <x:c r="I6" s="12">
        <x:v>46213</x:v>
      </x:c>
      <x:c r="J6" s="13" t="s">
        <x:v>17</x:v>
      </x:c>
      <x:c r="K6" s="13" t="s">
        <x:v>18</x:v>
      </x:c>
    </x:row>
    <x:row r="7">
      <x:c r="A7" s="17">
        <x:v>6</x:v>
      </x:c>
      <x:c r="B7" s="18" t="s">
        <x:v>31</x:v>
      </x:c>
      <x:c r="C7" s="9" t="s">
        <x:v>28</x:v>
      </x:c>
      <x:c r="D7" s="9" t="s">
        <x:v>13</x:v>
      </x:c>
      <x:c r="E7" s="9" t="s">
        <x:v>14</x:v>
      </x:c>
      <x:c r="F7" s="9" t="s">
        <x:v>29</x:v>
      </x:c>
      <x:c r="G7" s="10">
        <x:v>46212</x:v>
      </x:c>
      <x:c r="H7" s="16" t="s">
        <x:v>32</x:v>
      </x:c>
      <x:c r="I7" s="12">
        <x:v>46213</x:v>
      </x:c>
      <x:c r="J7" s="13" t="s">
        <x:v>17</x:v>
      </x:c>
      <x:c r="K7" s="13" t="s">
        <x:v>18</x:v>
      </x:c>
    </x:row>
    <x:row r="8">
      <x:c r="A8" s="17">
        <x:v>7</x:v>
      </x:c>
      <x:c r="B8" s="18" t="s">
        <x:v>33</x:v>
      </x:c>
      <x:c r="C8" s="19" t="s">
        <x:v>34</x:v>
      </x:c>
      <x:c r="D8" s="9" t="s">
        <x:v>13</x:v>
      </x:c>
      <x:c r="E8" s="9" t="s">
        <x:v>14</x:v>
      </x:c>
      <x:c r="F8" s="9" t="s">
        <x:v>29</x:v>
      </x:c>
      <x:c r="G8" s="10">
        <x:v>46212</x:v>
      </x:c>
      <x:c r="H8" s="16" t="s">
        <x:v>35</x:v>
      </x:c>
      <x:c r="I8" s="12">
        <x:v>46213</x:v>
      </x:c>
      <x:c r="J8" s="13" t="s">
        <x:v>17</x:v>
      </x:c>
      <x:c r="K8" s="13" t="s">
        <x:v>36</x:v>
      </x:c>
    </x:row>
    <x:row r="9">
      <x:c r="A9" s="17">
        <x:v>8</x:v>
      </x:c>
      <x:c r="B9" s="15" t="s">
        <x:v>37</x:v>
      </x:c>
      <x:c r="C9" s="13" t="s">
        <x:v>38</x:v>
      </x:c>
      <x:c r="D9" s="9" t="s">
        <x:v>13</x:v>
      </x:c>
      <x:c r="E9" s="9" t="s">
        <x:v>14</x:v>
      </x:c>
      <x:c r="F9" s="9" t="s">
        <x:v>29</x:v>
      </x:c>
      <x:c r="G9" s="10">
        <x:v>46212</x:v>
      </x:c>
      <x:c r="H9" s="16" t="s">
        <x:v>39</x:v>
      </x:c>
      <x:c r="I9" s="12">
        <x:v>46213</x:v>
      </x:c>
      <x:c r="J9" s="13" t="s">
        <x:v>17</x:v>
      </x:c>
      <x:c r="K9" s="13" t="s">
        <x:v>36</x:v>
      </x:c>
    </x:row>
    <x:row r="10">
      <x:c r="A10" s="17">
        <x:v>9</x:v>
      </x:c>
      <x:c r="B10" s="15" t="s">
        <x:v>40</x:v>
      </x:c>
      <x:c r="C10" s="13" t="s">
        <x:v>41</x:v>
      </x:c>
      <x:c r="D10" s="9" t="s">
        <x:v>13</x:v>
      </x:c>
      <x:c r="E10" s="9" t="s">
        <x:v>14</x:v>
      </x:c>
      <x:c r="F10" s="13" t="s">
        <x:v>42</x:v>
      </x:c>
      <x:c r="G10" s="10">
        <x:v>46212</x:v>
      </x:c>
      <x:c r="H10" s="15" t="s">
        <x:v>43</x:v>
      </x:c>
      <x:c r="I10" s="12">
        <x:v>46213</x:v>
      </x:c>
      <x:c r="J10" s="13" t="s">
        <x:v>17</x:v>
      </x:c>
      <x:c r="K10" s="13" t="s">
        <x:v>18</x:v>
      </x:c>
    </x:row>
    <x:row r="11">
      <x:c r="A11" s="17">
        <x:v>10</x:v>
      </x:c>
      <x:c r="B11" s="15" t="s">
        <x:v>44</x:v>
      </x:c>
      <x:c r="C11" s="13" t="s">
        <x:v>41</x:v>
      </x:c>
      <x:c r="D11" s="9" t="s">
        <x:v>13</x:v>
      </x:c>
      <x:c r="E11" s="9" t="s">
        <x:v>14</x:v>
      </x:c>
      <x:c r="F11" s="13" t="s">
        <x:v>42</x:v>
      </x:c>
      <x:c r="G11" s="10">
        <x:v>46212</x:v>
      </x:c>
      <x:c r="H11" s="16" t="s">
        <x:v>45</x:v>
      </x:c>
      <x:c r="I11" s="12">
        <x:v>46213</x:v>
      </x:c>
      <x:c r="J11" s="13" t="s">
        <x:v>17</x:v>
      </x:c>
      <x:c r="K11" s="13" t="s">
        <x:v>18</x:v>
      </x:c>
    </x:row>
    <x:row r="12">
      <x:c r="A12" s="17">
        <x:v>11</x:v>
      </x:c>
      <x:c r="B12" s="15" t="s">
        <x:v>46</x:v>
      </x:c>
      <x:c r="C12" s="13" t="s">
        <x:v>41</x:v>
      </x:c>
      <x:c r="D12" s="9" t="s">
        <x:v>13</x:v>
      </x:c>
      <x:c r="E12" s="9" t="s">
        <x:v>14</x:v>
      </x:c>
      <x:c r="F12" s="13" t="s">
        <x:v>42</x:v>
      </x:c>
      <x:c r="G12" s="10">
        <x:v>46212</x:v>
      </x:c>
      <x:c r="H12" s="20" t="s">
        <x:v>47</x:v>
      </x:c>
      <x:c r="I12" s="12">
        <x:v>46213</x:v>
      </x:c>
      <x:c r="J12" s="13" t="s">
        <x:v>17</x:v>
      </x:c>
      <x:c r="K12" s="13" t="s">
        <x:v>36</x:v>
      </x:c>
    </x:row>
    <x:row r="13" ht="153" customHeight="1">
      <x:c r="A13" s="17">
        <x:v>12</x:v>
      </x:c>
      <x:c r="B13" s="21" t="s">
        <x:v>48</x:v>
      </x:c>
      <x:c r="C13" s="13" t="s">
        <x:v>49</x:v>
      </x:c>
      <x:c r="D13" s="9" t="s">
        <x:v>13</x:v>
      </x:c>
      <x:c r="E13" s="9" t="s">
        <x:v>14</x:v>
      </x:c>
      <x:c r="F13" s="13" t="s">
        <x:v>42</x:v>
      </x:c>
      <x:c r="G13" s="10">
        <x:v>46212</x:v>
      </x:c>
      <x:c r="H13" s="20" t="s">
        <x:v>50</x:v>
      </x:c>
      <x:c r="I13" s="12">
        <x:v>46213</x:v>
      </x:c>
      <x:c r="J13" s="13" t="s">
        <x:v>17</x:v>
      </x:c>
      <x:c r="K13" s="13" t="s">
        <x:v>36</x:v>
      </x:c>
    </x:row>
    <x:row r="14">
      <x:c r="A14" s="17">
        <x:v>13</x:v>
      </x:c>
      <x:c r="B14" s="15" t="s">
        <x:v>51</x:v>
      </x:c>
      <x:c r="C14" s="13" t="s">
        <x:v>52</x:v>
      </x:c>
      <x:c r="D14" s="9" t="s">
        <x:v>13</x:v>
      </x:c>
      <x:c r="E14" s="9" t="s">
        <x:v>14</x:v>
      </x:c>
      <x:c r="F14" s="13" t="s">
        <x:v>42</x:v>
      </x:c>
      <x:c r="G14" s="10">
        <x:v>46212</x:v>
      </x:c>
      <x:c r="H14" s="16" t="s">
        <x:v>53</x:v>
      </x:c>
      <x:c r="I14" s="12">
        <x:v>46213</x:v>
      </x:c>
      <x:c r="J14" s="13" t="s">
        <x:v>17</x:v>
      </x:c>
      <x:c r="K14" s="13" t="s">
        <x:v>26</x:v>
      </x:c>
    </x:row>
    <x:row r="15">
      <x:c r="A15" s="22">
        <x:v>14</x:v>
      </x:c>
      <x:c r="B15" s="15" t="s">
        <x:v>54</x:v>
      </x:c>
      <x:c r="C15" s="13" t="s">
        <x:v>55</x:v>
      </x:c>
      <x:c r="D15" s="9" t="s">
        <x:v>13</x:v>
      </x:c>
      <x:c r="E15" s="9" t="s">
        <x:v>14</x:v>
      </x:c>
      <x:c r="F15" s="13" t="s">
        <x:v>56</x:v>
      </x:c>
      <x:c r="G15" s="10">
        <x:v>46212</x:v>
      </x:c>
      <x:c r="H15" s="16" t="s">
        <x:v>57</x:v>
      </x:c>
      <x:c r="I15" s="12">
        <x:v>46213</x:v>
      </x:c>
      <x:c r="J15" s="13" t="s">
        <x:v>17</x:v>
      </x:c>
      <x:c r="K15" s="13" t="s">
        <x:v>36</x:v>
      </x:c>
    </x:row>
    <x:row r="16">
      <x:c r="A16" s="22">
        <x:v>15</x:v>
      </x:c>
      <x:c r="B16" s="15" t="s">
        <x:v>58</x:v>
      </x:c>
      <x:c r="C16" s="13" t="s">
        <x:v>59</x:v>
      </x:c>
      <x:c r="D16" s="9" t="s">
        <x:v>13</x:v>
      </x:c>
      <x:c r="E16" s="9" t="s">
        <x:v>14</x:v>
      </x:c>
      <x:c r="F16" s="13" t="s">
        <x:v>60</x:v>
      </x:c>
      <x:c r="G16" s="23">
        <x:v>46212</x:v>
      </x:c>
      <x:c r="H16" s="20" t="s">
        <x:v>61</x:v>
      </x:c>
      <x:c r="I16" s="12">
        <x:v>46213</x:v>
      </x:c>
      <x:c r="J16" s="13" t="s">
        <x:v>17</x:v>
      </x:c>
      <x:c r="K16" s="13" t="s">
        <x:v>36</x:v>
      </x:c>
    </x:row>
    <x:row r="17">
      <x:c r="A17" s="22">
        <x:v>16</x:v>
      </x:c>
      <x:c r="B17" s="15" t="s">
        <x:v>62</x:v>
      </x:c>
      <x:c r="C17" s="13" t="s">
        <x:v>41</x:v>
      </x:c>
      <x:c r="D17" s="9" t="s">
        <x:v>13</x:v>
      </x:c>
      <x:c r="E17" s="9" t="s">
        <x:v>14</x:v>
      </x:c>
      <x:c r="F17" s="13" t="s">
        <x:v>60</x:v>
      </x:c>
      <x:c r="G17" s="23">
        <x:v>46212</x:v>
      </x:c>
      <x:c r="H17" s="15" t="s">
        <x:v>63</x:v>
      </x:c>
      <x:c r="I17" s="12">
        <x:v>46213</x:v>
      </x:c>
      <x:c r="J17" s="13" t="s">
        <x:v>17</x:v>
      </x:c>
      <x:c r="K17" s="13" t="s">
        <x:v>18</x:v>
      </x:c>
    </x:row>
    <x:row r="18">
      <x:c r="A18" s="22">
        <x:v>17</x:v>
      </x:c>
      <x:c r="B18" s="15" t="s">
        <x:v>64</x:v>
      </x:c>
      <x:c r="C18" s="13" t="s">
        <x:v>41</x:v>
      </x:c>
      <x:c r="D18" s="9" t="s">
        <x:v>13</x:v>
      </x:c>
      <x:c r="E18" s="9" t="s">
        <x:v>14</x:v>
      </x:c>
      <x:c r="F18" s="13" t="s">
        <x:v>60</x:v>
      </x:c>
      <x:c r="G18" s="23">
        <x:v>46212</x:v>
      </x:c>
      <x:c r="H18" s="15" t="s">
        <x:v>65</x:v>
      </x:c>
      <x:c r="I18" s="12">
        <x:v>46213</x:v>
      </x:c>
      <x:c r="J18" s="13" t="s">
        <x:v>17</x:v>
      </x:c>
      <x:c r="K18" s="13" t="s">
        <x:v>18</x:v>
      </x:c>
    </x:row>
    <x:row r="19">
      <x:c r="A19" s="22">
        <x:v>18</x:v>
      </x:c>
      <x:c r="B19" s="15" t="s">
        <x:v>66</x:v>
      </x:c>
      <x:c r="C19" s="13" t="s">
        <x:v>67</x:v>
      </x:c>
      <x:c r="D19" s="9" t="s">
        <x:v>13</x:v>
      </x:c>
      <x:c r="E19" s="9" t="s">
        <x:v>14</x:v>
      </x:c>
      <x:c r="F19" s="13" t="s">
        <x:v>60</x:v>
      </x:c>
      <x:c r="G19" s="23">
        <x:v>46212</x:v>
      </x:c>
      <x:c r="H19" s="15" t="s">
        <x:v>68</x:v>
      </x:c>
      <x:c r="I19" s="12">
        <x:v>46213</x:v>
      </x:c>
      <x:c r="J19" s="13" t="s">
        <x:v>17</x:v>
      </x:c>
      <x:c r="K19" s="13" t="s">
        <x:v>36</x:v>
      </x:c>
    </x:row>
    <x:row r="20">
      <x:c r="A20" s="22">
        <x:v>19</x:v>
      </x:c>
      <x:c r="B20" s="15" t="s">
        <x:v>69</x:v>
      </x:c>
      <x:c r="C20" s="13" t="s">
        <x:v>70</x:v>
      </x:c>
      <x:c r="D20" s="9" t="s">
        <x:v>13</x:v>
      </x:c>
      <x:c r="E20" s="9" t="s">
        <x:v>14</x:v>
      </x:c>
      <x:c r="F20" s="13" t="s">
        <x:v>60</x:v>
      </x:c>
      <x:c r="G20" s="23">
        <x:v>46212</x:v>
      </x:c>
      <x:c r="H20" s="15" t="s">
        <x:v>71</x:v>
      </x:c>
      <x:c r="I20" s="12">
        <x:v>46213</x:v>
      </x:c>
      <x:c r="J20" s="13" t="s">
        <x:v>17</x:v>
      </x:c>
      <x:c r="K20" s="13" t="s">
        <x:v>26</x:v>
      </x:c>
    </x:row>
    <x:row r="21">
      <x:c r="A21" s="22">
        <x:v>20</x:v>
      </x:c>
      <x:c r="B21" s="15" t="s">
        <x:v>72</x:v>
      </x:c>
      <x:c r="C21" s="13" t="s">
        <x:v>38</x:v>
      </x:c>
      <x:c r="D21" s="9" t="s">
        <x:v>13</x:v>
      </x:c>
      <x:c r="E21" s="9" t="s">
        <x:v>14</x:v>
      </x:c>
      <x:c r="F21" s="9" t="s">
        <x:v>29</x:v>
      </x:c>
      <x:c r="G21" s="24">
        <x:v>46213</x:v>
      </x:c>
      <x:c r="H21" s="25"/>
      <x:c r="I21" s="12">
        <x:v>46213</x:v>
      </x:c>
      <x:c r="J21" s="13" t="s">
        <x:v>17</x:v>
      </x:c>
      <x:c r="K21" s="13" t="s">
        <x:v>36</x:v>
      </x:c>
    </x:row>
    <x:row r="22" ht="87" customHeight="1">
      <x:c r="A22" s="22">
        <x:v>21</x:v>
      </x:c>
      <x:c r="B22" s="21" t="s">
        <x:v>73</x:v>
      </x:c>
      <x:c r="C22" s="9" t="s">
        <x:v>12</x:v>
      </x:c>
      <x:c r="D22" s="9" t="s">
        <x:v>74</x:v>
      </x:c>
      <x:c r="E22" s="9" t="s">
        <x:v>14</x:v>
      </x:c>
      <x:c r="F22" s="9" t="s">
        <x:v>15</x:v>
      </x:c>
      <x:c r="G22" s="24">
        <x:v>46213</x:v>
      </x:c>
      <x:c r="H22" s="15" t="s">
        <x:v>75</x:v>
      </x:c>
      <x:c r="I22" s="12">
        <x:v>46213</x:v>
      </x:c>
      <x:c r="J22" s="13" t="s">
        <x:v>17</x:v>
      </x:c>
      <x:c r="K22" s="13" t="s">
        <x:v>18</x:v>
      </x:c>
    </x:row>
    <x:row r="23">
      <x:c r="A23" s="22">
        <x:v>22</x:v>
      </x:c>
      <x:c r="B23" s="15" t="s">
        <x:v>76</x:v>
      </x:c>
      <x:c r="C23" s="9" t="s">
        <x:v>12</x:v>
      </x:c>
      <x:c r="D23" s="9" t="s">
        <x:v>13</x:v>
      </x:c>
      <x:c r="E23" s="9" t="s">
        <x:v>14</x:v>
      </x:c>
      <x:c r="F23" s="9" t="s">
        <x:v>15</x:v>
      </x:c>
      <x:c r="G23" s="24">
        <x:v>46213</x:v>
      </x:c>
      <x:c r="H23" s="15" t="s">
        <x:v>77</x:v>
      </x:c>
      <x:c r="I23" s="12">
        <x:v>46213</x:v>
      </x:c>
      <x:c r="J23" s="13" t="s">
        <x:v>17</x:v>
      </x:c>
      <x:c r="K23" s="13" t="s">
        <x:v>18</x:v>
      </x:c>
    </x:row>
    <x:row r="24">
      <x:c r="A24" s="22">
        <x:v>23</x:v>
      </x:c>
      <x:c r="B24" s="15" t="s">
        <x:v>78</x:v>
      </x:c>
      <x:c r="C24" s="13" t="s">
        <x:v>38</x:v>
      </x:c>
      <x:c r="D24" s="9" t="s">
        <x:v>13</x:v>
      </x:c>
      <x:c r="E24" s="9" t="s">
        <x:v>14</x:v>
      </x:c>
      <x:c r="F24" s="9" t="s">
        <x:v>29</x:v>
      </x:c>
      <x:c r="G24" s="24">
        <x:v>46213</x:v>
      </x:c>
      <x:c r="H24" s="25"/>
      <x:c r="I24" s="12">
        <x:v>46213</x:v>
      </x:c>
      <x:c r="J24" s="13" t="s">
        <x:v>17</x:v>
      </x:c>
      <x:c r="K24" s="13" t="s">
        <x:v>36</x:v>
      </x:c>
    </x:row>
    <x:row r="25">
      <x:c r="A25" s="22">
        <x:v>24</x:v>
      </x:c>
      <x:c r="B25" s="15" t="s">
        <x:v>79</x:v>
      </x:c>
      <x:c r="C25" s="13" t="s">
        <x:v>80</x:v>
      </x:c>
      <x:c r="D25" s="9" t="s">
        <x:v>13</x:v>
      </x:c>
      <x:c r="E25" s="9" t="s">
        <x:v>14</x:v>
      </x:c>
      <x:c r="F25" s="9" t="s">
        <x:v>29</x:v>
      </x:c>
      <x:c r="G25" s="24">
        <x:v>46214</x:v>
      </x:c>
      <x:c r="H25" s="25"/>
      <x:c r="I25" s="12"/>
      <x:c r="J25" s="13"/>
      <x:c r="K25" s="13" t="s">
        <x:v>36</x:v>
      </x:c>
    </x:row>
    <x:row r="26">
      <x:c r="A26" s="22">
        <x:v>25</x:v>
      </x:c>
      <x:c r="B26" s="15" t="s">
        <x:v>81</x:v>
      </x:c>
      <x:c r="C26" s="13" t="s">
        <x:v>41</x:v>
      </x:c>
      <x:c r="D26" s="26"/>
      <x:c r="E26" s="26"/>
      <x:c r="F26" s="13" t="s">
        <x:v>42</x:v>
      </x:c>
      <x:c r="G26" s="27"/>
      <x:c r="H26" s="25"/>
      <x:c r="I26" s="12"/>
      <x:c r="J26" s="13"/>
      <x:c r="K26" s="13" t="s">
        <x:v>36</x:v>
      </x:c>
    </x:row>
    <x:row r="27">
      <x:c r="A27" s="22">
        <x:v>26</x:v>
      </x:c>
      <x:c r="B27" s="15" t="s">
        <x:v>82</x:v>
      </x:c>
      <x:c r="C27" s="13" t="s">
        <x:v>41</x:v>
      </x:c>
      <x:c r="D27" s="13"/>
      <x:c r="E27" s="13"/>
      <x:c r="F27" s="13" t="s">
        <x:v>42</x:v>
      </x:c>
      <x:c r="G27" s="23"/>
      <x:c r="H27" s="15"/>
      <x:c r="I27" s="12"/>
      <x:c r="J27" s="13"/>
      <x:c r="K27" s="13" t="s">
        <x:v>36</x:v>
      </x:c>
    </x:row>
    <x:row r="28" ht="18" customHeight="1">
      <x:c r="A28" s="22">
        <x:v>27</x:v>
      </x:c>
      <x:c r="B28" s="15" t="s">
        <x:v>83</x:v>
      </x:c>
      <x:c r="C28" s="13" t="s">
        <x:v>41</x:v>
      </x:c>
      <x:c r="D28" s="13"/>
      <x:c r="E28" s="13"/>
      <x:c r="F28" s="13" t="s">
        <x:v>42</x:v>
      </x:c>
      <x:c r="G28" s="23"/>
      <x:c r="H28" s="15"/>
      <x:c r="I28" s="12"/>
      <x:c r="J28" s="13"/>
      <x:c r="K28" s="13" t="s">
        <x:v>36</x:v>
      </x:c>
    </x:row>
    <x:row r="29" ht="18" customHeight="1">
      <x:c r="A29" s="22">
        <x:v>28</x:v>
      </x:c>
      <x:c r="B29" s="15" t="s">
        <x:v>84</x:v>
      </x:c>
      <x:c r="C29" s="13" t="s">
        <x:v>41</x:v>
      </x:c>
      <x:c r="D29" s="13"/>
      <x:c r="E29" s="13"/>
      <x:c r="F29" s="13" t="s">
        <x:v>42</x:v>
      </x:c>
      <x:c r="G29" s="23"/>
      <x:c r="H29" s="15"/>
      <x:c r="I29" s="12"/>
      <x:c r="J29" s="13"/>
      <x:c r="K29" s="13" t="s">
        <x:v>36</x:v>
      </x:c>
    </x:row>
    <x:row r="30">
      <x:c r="A30" s="22">
        <x:v>29</x:v>
      </x:c>
      <x:c r="B30" s="15" t="s">
        <x:v>85</x:v>
      </x:c>
      <x:c r="C30" s="13" t="s">
        <x:v>41</x:v>
      </x:c>
      <x:c r="D30" s="13"/>
      <x:c r="E30" s="13"/>
      <x:c r="F30" s="13" t="s">
        <x:v>42</x:v>
      </x:c>
      <x:c r="G30" s="23"/>
      <x:c r="H30" s="15"/>
      <x:c r="I30" s="12"/>
      <x:c r="J30" s="13"/>
      <x:c r="K30" s="13" t="s">
        <x:v>36</x:v>
      </x:c>
    </x:row>
    <x:row r="31">
      <x:c r="A31" s="22">
        <x:v>30</x:v>
      </x:c>
      <x:c r="B31" s="15" t="s">
        <x:v>86</x:v>
      </x:c>
      <x:c r="C31" s="13" t="s">
        <x:v>41</x:v>
      </x:c>
      <x:c r="D31" s="13"/>
      <x:c r="E31" s="13"/>
      <x:c r="F31" s="13" t="s">
        <x:v>42</x:v>
      </x:c>
      <x:c r="G31" s="23"/>
      <x:c r="H31" s="15"/>
      <x:c r="I31" s="12"/>
      <x:c r="J31" s="13"/>
      <x:c r="K31" s="13" t="s">
        <x:v>36</x:v>
      </x:c>
    </x:row>
    <x:row r="32" ht="18" customHeight="1">
      <x:c r="A32" s="22">
        <x:v>31</x:v>
      </x:c>
      <x:c r="B32" s="15" t="s">
        <x:v>87</x:v>
      </x:c>
      <x:c r="C32" s="13" t="s">
        <x:v>41</x:v>
      </x:c>
      <x:c r="D32" s="13"/>
      <x:c r="E32" s="13"/>
      <x:c r="F32" s="13" t="s">
        <x:v>42</x:v>
      </x:c>
      <x:c r="G32" s="23"/>
      <x:c r="H32" s="15"/>
      <x:c r="I32" s="12"/>
      <x:c r="J32" s="13"/>
      <x:c r="K32" s="13" t="s">
        <x:v>36</x:v>
      </x:c>
    </x:row>
    <x:row r="33">
      <x:c r="A33" s="22">
        <x:v>32</x:v>
      </x:c>
      <x:c r="B33" s="15" t="s">
        <x:v>88</x:v>
      </x:c>
      <x:c r="C33" s="13" t="s">
        <x:v>67</x:v>
      </x:c>
      <x:c r="D33" s="26"/>
      <x:c r="E33" s="26"/>
      <x:c r="F33" s="13" t="s">
        <x:v>42</x:v>
      </x:c>
      <x:c r="G33" s="27"/>
      <x:c r="H33" s="25"/>
      <x:c r="I33" s="12"/>
      <x:c r="J33" s="13"/>
      <x:c r="K33" s="13" t="s">
        <x:v>36</x:v>
      </x:c>
    </x:row>
    <x:row r="34" ht="46" customHeight="1">
      <x:c r="A34" s="22">
        <x:v>33</x:v>
      </x:c>
      <x:c r="B34" s="15" t="s">
        <x:v>89</x:v>
      </x:c>
      <x:c r="C34" s="13" t="s">
        <x:v>67</x:v>
      </x:c>
      <x:c r="D34" s="13"/>
      <x:c r="E34" s="13"/>
      <x:c r="F34" s="13" t="s">
        <x:v>42</x:v>
      </x:c>
      <x:c r="G34" s="23"/>
      <x:c r="H34" s="15"/>
      <x:c r="I34" s="12"/>
      <x:c r="J34" s="13"/>
      <x:c r="K34" s="13" t="s">
        <x:v>36</x:v>
      </x:c>
    </x:row>
    <x:row r="35">
      <x:c r="A35" s="22">
        <x:v>34</x:v>
      </x:c>
      <x:c r="B35" s="15" t="s">
        <x:v>90</x:v>
      </x:c>
      <x:c r="C35" s="13" t="s">
        <x:v>67</x:v>
      </x:c>
      <x:c r="D35" s="13"/>
      <x:c r="E35" s="13"/>
      <x:c r="F35" s="13" t="s">
        <x:v>42</x:v>
      </x:c>
      <x:c r="G35" s="27"/>
      <x:c r="H35" s="25"/>
      <x:c r="I35" s="12"/>
      <x:c r="J35" s="13"/>
      <x:c r="K35" s="13" t="s">
        <x:v>36</x:v>
      </x:c>
    </x:row>
    <x:row r="36">
      <x:c r="A36" s="22">
        <x:v>35</x:v>
      </x:c>
      <x:c r="B36" s="15" t="s">
        <x:v>91</x:v>
      </x:c>
      <x:c r="C36" s="13" t="s">
        <x:v>41</x:v>
      </x:c>
      <x:c r="D36" s="13"/>
      <x:c r="E36" s="13"/>
      <x:c r="F36" s="13" t="s">
        <x:v>42</x:v>
      </x:c>
      <x:c r="G36" s="23"/>
      <x:c r="H36" s="15"/>
      <x:c r="I36" s="12"/>
      <x:c r="J36" s="13"/>
      <x:c r="K36" s="13" t="s">
        <x:v>36</x:v>
      </x:c>
    </x:row>
    <x:row r="37" ht="18" customHeight="1">
      <x:c r="A37" s="22">
        <x:v>36</x:v>
      </x:c>
      <x:c r="B37" s="15" t="s">
        <x:v>92</x:v>
      </x:c>
      <x:c r="C37" s="13" t="s">
        <x:v>41</x:v>
      </x:c>
      <x:c r="D37" s="13"/>
      <x:c r="E37" s="13"/>
      <x:c r="F37" s="13" t="s">
        <x:v>42</x:v>
      </x:c>
      <x:c r="G37" s="23"/>
      <x:c r="H37" s="15"/>
      <x:c r="I37" s="12"/>
      <x:c r="J37" s="13"/>
      <x:c r="K37" s="13" t="s">
        <x:v>36</x:v>
      </x:c>
    </x:row>
    <x:row r="38" ht="18" customHeight="1">
      <x:c r="A38" s="22">
        <x:v>37</x:v>
      </x:c>
      <x:c r="B38" s="15" t="s">
        <x:v>93</x:v>
      </x:c>
      <x:c r="C38" s="13" t="s">
        <x:v>41</x:v>
      </x:c>
      <x:c r="D38" s="13"/>
      <x:c r="E38" s="13"/>
      <x:c r="F38" s="13" t="s">
        <x:v>42</x:v>
      </x:c>
      <x:c r="G38" s="23"/>
      <x:c r="H38" s="15"/>
      <x:c r="I38" s="12"/>
      <x:c r="J38" s="13"/>
      <x:c r="K38" s="13" t="s">
        <x:v>36</x:v>
      </x:c>
    </x:row>
    <x:row r="39">
      <x:c r="A39" s="22">
        <x:v>38</x:v>
      </x:c>
      <x:c r="B39" s="15" t="s">
        <x:v>94</x:v>
      </x:c>
      <x:c r="C39" s="13" t="s">
        <x:v>67</x:v>
      </x:c>
      <x:c r="D39" s="13"/>
      <x:c r="E39" s="13"/>
      <x:c r="F39" s="13" t="s">
        <x:v>42</x:v>
      </x:c>
      <x:c r="G39" s="23"/>
      <x:c r="H39" s="15"/>
      <x:c r="I39" s="12"/>
      <x:c r="J39" s="13"/>
      <x:c r="K39" s="13" t="s">
        <x:v>36</x:v>
      </x:c>
    </x:row>
    <x:row r="40" ht="18" customHeight="1">
      <x:c r="A40" s="22">
        <x:v>39</x:v>
      </x:c>
      <x:c r="B40" s="15" t="s">
        <x:v>95</x:v>
      </x:c>
      <x:c r="C40" s="13" t="s">
        <x:v>67</x:v>
      </x:c>
      <x:c r="D40" s="13"/>
      <x:c r="E40" s="13"/>
      <x:c r="F40" s="13" t="s">
        <x:v>42</x:v>
      </x:c>
      <x:c r="G40" s="23"/>
      <x:c r="H40" s="15"/>
      <x:c r="I40" s="12"/>
      <x:c r="J40" s="13"/>
      <x:c r="K40" s="13" t="s">
        <x:v>36</x:v>
      </x:c>
    </x:row>
    <x:row r="41" ht="18" customHeight="1">
      <x:c r="A41" s="22">
        <x:v>40</x:v>
      </x:c>
      <x:c r="B41" s="15" t="s">
        <x:v>96</x:v>
      </x:c>
      <x:c r="C41" s="13" t="s">
        <x:v>67</x:v>
      </x:c>
      <x:c r="D41" s="13"/>
      <x:c r="E41" s="13"/>
      <x:c r="F41" s="13" t="s">
        <x:v>42</x:v>
      </x:c>
      <x:c r="G41" s="23"/>
      <x:c r="H41" s="15"/>
      <x:c r="I41" s="12"/>
      <x:c r="J41" s="13"/>
      <x:c r="K41" s="13" t="s">
        <x:v>36</x:v>
      </x:c>
    </x:row>
    <x:row r="42" ht="18" customHeight="1">
      <x:c r="A42" s="22">
        <x:v>41</x:v>
      </x:c>
      <x:c r="B42" s="15" t="s">
        <x:v>97</x:v>
      </x:c>
      <x:c r="C42" s="13" t="s">
        <x:v>67</x:v>
      </x:c>
      <x:c r="D42" s="13"/>
      <x:c r="E42" s="13"/>
      <x:c r="F42" s="13" t="s">
        <x:v>42</x:v>
      </x:c>
      <x:c r="G42" s="23"/>
      <x:c r="H42" s="15"/>
      <x:c r="I42" s="12"/>
      <x:c r="J42" s="13"/>
      <x:c r="K42" s="13" t="s">
        <x:v>36</x:v>
      </x:c>
    </x:row>
    <x:row r="43" ht="18" customHeight="1">
      <x:c r="A43" s="22">
        <x:v>42</x:v>
      </x:c>
      <x:c r="B43" s="15" t="s">
        <x:v>98</x:v>
      </x:c>
      <x:c r="C43" s="13" t="s">
        <x:v>41</x:v>
      </x:c>
      <x:c r="D43" s="13"/>
      <x:c r="E43" s="13"/>
      <x:c r="F43" s="13" t="s">
        <x:v>42</x:v>
      </x:c>
      <x:c r="G43" s="23"/>
      <x:c r="H43" s="15"/>
      <x:c r="I43" s="12"/>
      <x:c r="J43" s="13"/>
      <x:c r="K43" s="13" t="s">
        <x:v>36</x:v>
      </x:c>
    </x:row>
    <x:row r="44" ht="18" customHeight="1">
      <x:c r="A44" s="22">
        <x:v>43</x:v>
      </x:c>
      <x:c r="B44" s="15" t="s">
        <x:v>99</x:v>
      </x:c>
      <x:c r="C44" s="13" t="s">
        <x:v>67</x:v>
      </x:c>
      <x:c r="D44" s="13"/>
      <x:c r="E44" s="13"/>
      <x:c r="F44" s="13" t="s">
        <x:v>42</x:v>
      </x:c>
      <x:c r="G44" s="23"/>
      <x:c r="H44" s="15"/>
      <x:c r="I44" s="12"/>
      <x:c r="J44" s="13"/>
      <x:c r="K44" s="13" t="s">
        <x:v>36</x:v>
      </x:c>
    </x:row>
    <x:row r="45" ht="18" customHeight="1">
      <x:c r="A45" s="22">
        <x:v>44</x:v>
      </x:c>
      <x:c r="B45" s="15" t="s">
        <x:v>100</x:v>
      </x:c>
      <x:c r="C45" s="13" t="s">
        <x:v>67</x:v>
      </x:c>
      <x:c r="D45" s="13"/>
      <x:c r="E45" s="13"/>
      <x:c r="F45" s="13" t="s">
        <x:v>42</x:v>
      </x:c>
      <x:c r="G45" s="23"/>
      <x:c r="H45" s="15"/>
      <x:c r="I45" s="12"/>
      <x:c r="J45" s="13"/>
      <x:c r="K45" s="13" t="s">
        <x:v>36</x:v>
      </x:c>
    </x:row>
    <x:row r="46" ht="89" customHeight="1">
      <x:c r="A46" s="22">
        <x:v>45</x:v>
      </x:c>
      <x:c r="B46" s="21" t="s">
        <x:v>101</x:v>
      </x:c>
      <x:c r="C46" s="13" t="s">
        <x:v>102</x:v>
      </x:c>
      <x:c r="D46" s="13"/>
      <x:c r="E46" s="13"/>
      <x:c r="F46" s="13" t="s">
        <x:v>60</x:v>
      </x:c>
      <x:c r="G46" s="23"/>
      <x:c r="H46" s="15"/>
      <x:c r="I46" s="12"/>
      <x:c r="J46" s="13"/>
      <x:c r="K46" s="13" t="s">
        <x:v>36</x:v>
      </x:c>
    </x:row>
    <x:row r="47">
      <x:c r="A47" s="22">
        <x:v>46</x:v>
      </x:c>
      <x:c r="B47" s="15" t="s">
        <x:v>103</x:v>
      </x:c>
      <x:c r="C47" s="13" t="s">
        <x:v>102</x:v>
      </x:c>
      <x:c r="D47" s="13"/>
      <x:c r="E47" s="13"/>
      <x:c r="F47" s="13" t="s">
        <x:v>60</x:v>
      </x:c>
      <x:c r="G47" s="23"/>
      <x:c r="H47" s="15"/>
      <x:c r="I47" s="12"/>
      <x:c r="J47" s="13"/>
      <x:c r="K47" s="13" t="s">
        <x:v>36</x:v>
      </x:c>
    </x:row>
    <x:row r="48">
      <x:c r="A48" s="22">
        <x:v>47</x:v>
      </x:c>
      <x:c r="B48" s="15" t="s">
        <x:v>104</x:v>
      </x:c>
      <x:c r="C48" s="13" t="s">
        <x:v>102</x:v>
      </x:c>
      <x:c r="D48" s="13"/>
      <x:c r="E48" s="13"/>
      <x:c r="F48" s="13" t="s">
        <x:v>60</x:v>
      </x:c>
      <x:c r="G48" s="23"/>
      <x:c r="H48" s="15"/>
      <x:c r="I48" s="12"/>
      <x:c r="J48" s="13"/>
      <x:c r="K48" s="13" t="s">
        <x:v>36</x:v>
      </x:c>
    </x:row>
    <x:row r="49">
      <x:c r="A49" s="22">
        <x:v>48</x:v>
      </x:c>
      <x:c r="B49" s="15" t="s">
        <x:v>105</x:v>
      </x:c>
      <x:c r="C49" s="13" t="s">
        <x:v>102</x:v>
      </x:c>
      <x:c r="D49" s="13"/>
      <x:c r="E49" s="13"/>
      <x:c r="F49" s="13" t="s">
        <x:v>60</x:v>
      </x:c>
      <x:c r="G49" s="27"/>
      <x:c r="H49" s="25"/>
      <x:c r="I49" s="12"/>
      <x:c r="J49" s="13"/>
      <x:c r="K49" s="13" t="s">
        <x:v>36</x:v>
      </x:c>
    </x:row>
    <x:row r="50">
      <x:c r="A50" s="22">
        <x:v>49</x:v>
      </x:c>
      <x:c r="B50" s="15" t="s">
        <x:v>106</x:v>
      </x:c>
      <x:c r="C50" s="13" t="s">
        <x:v>102</x:v>
      </x:c>
      <x:c r="D50" s="13"/>
      <x:c r="E50" s="13"/>
      <x:c r="F50" s="13" t="s">
        <x:v>60</x:v>
      </x:c>
      <x:c r="G50" s="23"/>
      <x:c r="H50" s="15"/>
      <x:c r="I50" s="12"/>
      <x:c r="J50" s="13"/>
      <x:c r="K50" s="13" t="s">
        <x:v>36</x:v>
      </x:c>
    </x:row>
    <x:row r="51">
      <x:c r="A51" s="22">
        <x:v>50</x:v>
      </x:c>
      <x:c r="B51" s="15" t="s">
        <x:v>107</x:v>
      </x:c>
      <x:c r="C51" s="13" t="s">
        <x:v>102</x:v>
      </x:c>
      <x:c r="D51" s="13"/>
      <x:c r="E51" s="13"/>
      <x:c r="F51" s="13" t="s">
        <x:v>60</x:v>
      </x:c>
      <x:c r="G51" s="23"/>
      <x:c r="H51" s="15"/>
      <x:c r="I51" s="12"/>
      <x:c r="J51" s="13"/>
      <x:c r="K51" s="13" t="s">
        <x:v>36</x:v>
      </x:c>
    </x:row>
    <x:row r="52" ht="58" customHeight="1">
      <x:c r="A52" s="28">
        <x:v>51</x:v>
      </x:c>
      <x:c r="B52" s="29" t="s">
        <x:v>108</x:v>
      </x:c>
      <x:c r="C52" s="30" t="s">
        <x:v>12</x:v>
      </x:c>
      <x:c r="D52" s="13"/>
      <x:c r="E52" s="13"/>
      <x:c r="F52" s="30" t="s">
        <x:v>15</x:v>
      </x:c>
      <x:c r="G52" s="23"/>
      <x:c r="H52" s="15"/>
      <x:c r="I52" s="12"/>
      <x:c r="J52" s="13"/>
      <x:c r="K52" s="13" t="s">
        <x:v>36</x:v>
      </x:c>
    </x:row>
    <x:row r="53">
      <x:c r="A53" s="22"/>
      <x:c r="B53" s="15"/>
      <x:c r="C53" s="13"/>
      <x:c r="D53" s="13"/>
      <x:c r="E53" s="13"/>
      <x:c r="F53" s="13"/>
      <x:c r="G53" s="23"/>
      <x:c r="H53" s="15"/>
      <x:c r="I53" s="12"/>
      <x:c r="J53" s="13"/>
      <x:c r="K53" s="13" t="s">
        <x:v>36</x:v>
      </x:c>
    </x:row>
    <x:row r="54">
      <x:c r="A54" s="22"/>
      <x:c r="B54" s="15"/>
      <x:c r="C54" s="13"/>
      <x:c r="D54" s="13"/>
      <x:c r="E54" s="13"/>
      <x:c r="F54" s="13"/>
      <x:c r="G54" s="23"/>
      <x:c r="H54" s="15"/>
      <x:c r="I54" s="12"/>
      <x:c r="J54" s="13"/>
      <x:c r="K54" s="13" t="s">
        <x:v>36</x:v>
      </x:c>
    </x:row>
    <x:row r="55">
      <x:c r="A55" s="22"/>
      <x:c r="B55" s="15"/>
      <x:c r="C55" s="13"/>
      <x:c r="D55" s="13"/>
      <x:c r="E55" s="13"/>
      <x:c r="F55" s="13"/>
      <x:c r="G55" s="23"/>
      <x:c r="H55" s="15"/>
      <x:c r="I55" s="12"/>
      <x:c r="J55" s="13"/>
      <x:c r="K55" s="13" t="s">
        <x:v>36</x:v>
      </x:c>
    </x:row>
    <x:row r="56">
      <x:c r="A56" s="22"/>
      <x:c r="B56" s="15"/>
      <x:c r="C56" s="13"/>
      <x:c r="D56" s="13"/>
      <x:c r="E56" s="13"/>
      <x:c r="F56" s="13"/>
      <x:c r="G56" s="23"/>
      <x:c r="H56" s="15"/>
      <x:c r="I56" s="12"/>
      <x:c r="J56" s="13"/>
      <x:c r="K56" s="13" t="s">
        <x:v>36</x:v>
      </x:c>
    </x:row>
    <x:row r="57">
      <x:c r="A57" s="22"/>
      <x:c r="B57" s="15"/>
      <x:c r="C57" s="13"/>
      <x:c r="D57" s="13"/>
      <x:c r="E57" s="13"/>
      <x:c r="F57" s="13"/>
      <x:c r="G57" s="23"/>
      <x:c r="H57" s="15"/>
      <x:c r="I57" s="12"/>
      <x:c r="J57" s="13"/>
      <x:c r="K57" s="13" t="s">
        <x:v>36</x:v>
      </x:c>
    </x:row>
    <x:row r="58">
      <x:c r="A58" s="22"/>
      <x:c r="B58" s="15"/>
      <x:c r="C58" s="13"/>
      <x:c r="D58" s="13"/>
      <x:c r="E58" s="13"/>
      <x:c r="F58" s="13"/>
      <x:c r="G58" s="23"/>
      <x:c r="H58" s="15"/>
      <x:c r="I58" s="12"/>
      <x:c r="J58" s="13"/>
      <x:c r="K58" s="13" t="s">
        <x:v>36</x:v>
      </x:c>
    </x:row>
    <x:row r="59">
      <x:c r="A59" s="22"/>
      <x:c r="B59" s="15"/>
      <x:c r="C59" s="13"/>
      <x:c r="D59" s="13"/>
      <x:c r="E59" s="13"/>
      <x:c r="F59" s="13"/>
      <x:c r="G59" s="23"/>
      <x:c r="H59" s="15"/>
      <x:c r="I59" s="12"/>
      <x:c r="J59" s="13"/>
      <x:c r="K59" s="13" t="s">
        <x:v>36</x:v>
      </x:c>
    </x:row>
    <x:row r="60">
      <x:c r="A60" s="22"/>
      <x:c r="B60" s="15"/>
      <x:c r="C60" s="13"/>
      <x:c r="D60" s="13"/>
      <x:c r="E60" s="13"/>
      <x:c r="F60" s="13"/>
      <x:c r="G60" s="23"/>
      <x:c r="H60" s="15"/>
      <x:c r="I60" s="12"/>
      <x:c r="J60" s="13"/>
      <x:c r="K60" s="13" t="s">
        <x:v>36</x:v>
      </x:c>
    </x:row>
    <x:row r="61">
      <x:c r="A61" s="22"/>
      <x:c r="B61" s="15"/>
      <x:c r="C61" s="13"/>
      <x:c r="D61" s="13"/>
      <x:c r="E61" s="13"/>
      <x:c r="F61" s="13"/>
      <x:c r="G61" s="23"/>
      <x:c r="H61" s="15"/>
      <x:c r="I61" s="12"/>
      <x:c r="J61" s="13"/>
      <x:c r="K61" s="13" t="s">
        <x:v>36</x:v>
      </x:c>
    </x:row>
    <x:row r="62">
      <x:c r="A62" s="22"/>
      <x:c r="B62" s="15"/>
      <x:c r="C62" s="13"/>
      <x:c r="D62" s="13"/>
      <x:c r="E62" s="13"/>
      <x:c r="F62" s="13"/>
      <x:c r="G62" s="23"/>
      <x:c r="H62" s="15"/>
      <x:c r="I62" s="12"/>
      <x:c r="J62" s="13"/>
      <x:c r="K62" s="13" t="s">
        <x:v>36</x:v>
      </x:c>
    </x:row>
    <x:row r="63">
      <x:c r="A63" s="22"/>
      <x:c r="B63" s="15"/>
      <x:c r="C63" s="13"/>
      <x:c r="D63" s="13"/>
      <x:c r="E63" s="13"/>
      <x:c r="F63" s="13"/>
      <x:c r="G63" s="23"/>
      <x:c r="H63" s="15"/>
      <x:c r="I63" s="12"/>
      <x:c r="J63" s="13"/>
      <x:c r="K63" s="13" t="s">
        <x:v>36</x:v>
      </x:c>
    </x:row>
    <x:row r="64">
      <x:c r="A64" s="22"/>
      <x:c r="B64" s="15"/>
      <x:c r="C64" s="13"/>
      <x:c r="D64" s="13"/>
      <x:c r="E64" s="13"/>
      <x:c r="F64" s="13"/>
      <x:c r="G64" s="23"/>
      <x:c r="H64" s="15"/>
      <x:c r="I64" s="12"/>
      <x:c r="J64" s="13"/>
      <x:c r="K64" s="13" t="s">
        <x:v>36</x:v>
      </x:c>
    </x:row>
    <x:row r="65">
      <x:c r="A65" s="22"/>
      <x:c r="B65" s="15"/>
      <x:c r="C65" s="13"/>
      <x:c r="D65" s="13"/>
      <x:c r="E65" s="13"/>
      <x:c r="F65" s="13"/>
      <x:c r="G65" s="23"/>
      <x:c r="H65" s="15"/>
      <x:c r="I65" s="12"/>
      <x:c r="J65" s="13"/>
      <x:c r="K65" s="13" t="s">
        <x:v>36</x:v>
      </x:c>
    </x:row>
    <x:row r="66">
      <x:c r="A66" s="22"/>
      <x:c r="B66" s="15"/>
      <x:c r="C66" s="13"/>
      <x:c r="D66" s="13"/>
      <x:c r="E66" s="13"/>
      <x:c r="F66" s="13"/>
      <x:c r="G66" s="23"/>
      <x:c r="H66" s="15"/>
      <x:c r="I66" s="12"/>
      <x:c r="J66" s="13"/>
      <x:c r="K66" s="13" t="s">
        <x:v>36</x:v>
      </x:c>
    </x:row>
    <x:row r="67">
      <x:c r="A67" s="22"/>
      <x:c r="B67" s="15"/>
      <x:c r="C67" s="13"/>
      <x:c r="D67" s="13"/>
      <x:c r="E67" s="13"/>
      <x:c r="F67" s="13"/>
      <x:c r="G67" s="23"/>
      <x:c r="H67" s="15"/>
      <x:c r="I67" s="12"/>
      <x:c r="J67" s="13"/>
      <x:c r="K67" s="13" t="s">
        <x:v>36</x:v>
      </x:c>
    </x:row>
    <x:row r="68">
      <x:c r="A68" s="22"/>
      <x:c r="B68" s="15"/>
      <x:c r="C68" s="13"/>
      <x:c r="D68" s="13"/>
      <x:c r="E68" s="13"/>
      <x:c r="F68" s="13"/>
      <x:c r="G68" s="23"/>
      <x:c r="H68" s="15"/>
      <x:c r="I68" s="12"/>
      <x:c r="J68" s="13"/>
      <x:c r="K68" s="13" t="s">
        <x:v>36</x:v>
      </x:c>
    </x:row>
    <x:row r="69">
      <x:c r="A69" s="22"/>
      <x:c r="B69" s="15"/>
      <x:c r="C69" s="13"/>
      <x:c r="D69" s="13"/>
      <x:c r="E69" s="13"/>
      <x:c r="F69" s="13"/>
      <x:c r="G69" s="23"/>
      <x:c r="H69" s="15"/>
      <x:c r="I69" s="12"/>
      <x:c r="J69" s="13"/>
      <x:c r="K69" s="13" t="s">
        <x:v>36</x:v>
      </x:c>
    </x:row>
    <x:row r="70">
      <x:c r="A70" s="22"/>
      <x:c r="B70" s="15"/>
      <x:c r="C70" s="13"/>
      <x:c r="D70" s="13"/>
      <x:c r="E70" s="13"/>
      <x:c r="F70" s="13"/>
      <x:c r="G70" s="23"/>
      <x:c r="H70" s="15"/>
      <x:c r="I70" s="12"/>
      <x:c r="J70" s="13"/>
      <x:c r="K70" s="13" t="s">
        <x:v>36</x:v>
      </x:c>
    </x:row>
    <x:row r="71">
      <x:c r="A71" s="22"/>
      <x:c r="B71" s="15"/>
      <x:c r="C71" s="13"/>
      <x:c r="D71" s="13"/>
      <x:c r="E71" s="13"/>
      <x:c r="F71" s="13"/>
      <x:c r="G71" s="23"/>
      <x:c r="H71" s="15"/>
      <x:c r="I71" s="12"/>
      <x:c r="J71" s="13"/>
      <x:c r="K71" s="13" t="s">
        <x:v>36</x:v>
      </x:c>
    </x:row>
    <x:row r="72">
      <x:c r="A72" s="22"/>
      <x:c r="B72" s="15"/>
      <x:c r="C72" s="13"/>
      <x:c r="D72" s="13"/>
      <x:c r="E72" s="13"/>
      <x:c r="F72" s="13"/>
      <x:c r="G72" s="23"/>
      <x:c r="H72" s="15"/>
      <x:c r="I72" s="12"/>
      <x:c r="J72" s="13"/>
      <x:c r="K72" s="13" t="s">
        <x:v>36</x:v>
      </x:c>
    </x:row>
    <x:row r="73">
      <x:c r="A73" s="22"/>
      <x:c r="B73" s="15"/>
      <x:c r="C73" s="13"/>
      <x:c r="D73" s="13"/>
      <x:c r="E73" s="13"/>
      <x:c r="F73" s="13"/>
      <x:c r="G73" s="23"/>
      <x:c r="H73" s="15"/>
      <x:c r="I73" s="12"/>
      <x:c r="J73" s="13"/>
      <x:c r="K73" s="13" t="s">
        <x:v>36</x:v>
      </x:c>
    </x:row>
    <x:row r="74">
      <x:c r="A74" s="31"/>
      <x:c r="B74" s="32"/>
      <x:c r="G74" s="31"/>
      <x:c r="H74" s="32"/>
      <x:c r="I74" s="33"/>
    </x:row>
    <x:row r="75">
      <x:c r="A75" s="31"/>
      <x:c r="B75" s="32"/>
      <x:c r="G75" s="31"/>
      <x:c r="H75" s="32"/>
      <x:c r="I75" s="33"/>
    </x:row>
    <x:row r="76">
      <x:c r="A76" s="31"/>
      <x:c r="B76" s="32"/>
      <x:c r="G76" s="31"/>
      <x:c r="H76" s="32"/>
      <x:c r="I76" s="33"/>
    </x:row>
    <x:row r="77">
      <x:c r="A77" s="31"/>
      <x:c r="B77" s="32"/>
      <x:c r="G77" s="31"/>
      <x:c r="H77" s="32"/>
      <x:c r="I77" s="33"/>
    </x:row>
    <x:row r="78">
      <x:c r="A78" s="31"/>
      <x:c r="B78" s="32"/>
      <x:c r="G78" s="31"/>
      <x:c r="H78" s="32"/>
      <x:c r="I78" s="33"/>
    </x:row>
    <x:row r="79">
      <x:c r="A79" s="31"/>
      <x:c r="B79" s="32"/>
      <x:c r="G79" s="31"/>
      <x:c r="H79" s="32"/>
      <x:c r="I79" s="33"/>
    </x:row>
    <x:row r="80">
      <x:c r="A80" s="31"/>
      <x:c r="B80" s="32"/>
      <x:c r="G80" s="31"/>
      <x:c r="H80" s="32"/>
      <x:c r="I80" s="33"/>
    </x:row>
    <x:row r="81">
      <x:c r="A81" s="31"/>
      <x:c r="B81" s="32"/>
      <x:c r="G81" s="31"/>
      <x:c r="H81" s="32"/>
      <x:c r="I81" s="33"/>
    </x:row>
    <x:row r="82">
      <x:c r="A82" s="31"/>
      <x:c r="B82" s="32"/>
      <x:c r="G82" s="31"/>
      <x:c r="H82" s="32"/>
      <x:c r="I82" s="33"/>
    </x:row>
    <x:row r="83">
      <x:c r="A83" s="31"/>
      <x:c r="B83" s="32"/>
      <x:c r="G83" s="31"/>
      <x:c r="H83" s="32"/>
      <x:c r="I83" s="33"/>
    </x:row>
    <x:row r="84">
      <x:c r="A84" s="31"/>
      <x:c r="B84" s="32"/>
      <x:c r="G84" s="31"/>
      <x:c r="H84" s="32"/>
      <x:c r="I84" s="33"/>
    </x:row>
    <x:row r="85">
      <x:c r="A85" s="31"/>
      <x:c r="B85" s="32"/>
      <x:c r="G85" s="31"/>
      <x:c r="H85" s="32"/>
      <x:c r="I85" s="33"/>
    </x:row>
    <x:row r="86">
      <x:c r="A86" s="31"/>
      <x:c r="B86" s="32"/>
      <x:c r="G86" s="31"/>
      <x:c r="H86" s="32"/>
      <x:c r="I86" s="33"/>
    </x:row>
    <x:row r="87">
      <x:c r="A87" s="31"/>
      <x:c r="B87" s="32"/>
      <x:c r="G87" s="31"/>
      <x:c r="H87" s="32"/>
      <x:c r="I87" s="33"/>
    </x:row>
    <x:row r="88">
      <x:c r="A88" s="31"/>
      <x:c r="B88" s="32"/>
      <x:c r="G88" s="31"/>
      <x:c r="H88" s="32"/>
      <x:c r="I88" s="33"/>
    </x:row>
    <x:row r="89">
      <x:c r="A89" s="31"/>
      <x:c r="B89" s="32"/>
      <x:c r="G89" s="31"/>
      <x:c r="H89" s="32"/>
      <x:c r="I89" s="33"/>
    </x:row>
    <x:row r="90">
      <x:c r="A90" s="31"/>
      <x:c r="B90" s="32"/>
      <x:c r="G90" s="31"/>
      <x:c r="H90" s="32"/>
      <x:c r="I90" s="33"/>
    </x:row>
    <x:row r="91">
      <x:c r="A91" s="31"/>
      <x:c r="B91" s="32"/>
      <x:c r="G91" s="31"/>
      <x:c r="H91" s="32"/>
      <x:c r="I91" s="33"/>
    </x:row>
    <x:row r="92">
      <x:c r="A92" s="31"/>
      <x:c r="B92" s="32"/>
      <x:c r="G92" s="31"/>
      <x:c r="H92" s="32"/>
      <x:c r="I92" s="33"/>
    </x:row>
    <x:row r="93">
      <x:c r="A93" s="31"/>
      <x:c r="B93" s="32"/>
      <x:c r="G93" s="31"/>
      <x:c r="H93" s="32"/>
      <x:c r="I93" s="33"/>
    </x:row>
    <x:row r="94">
      <x:c r="A94" s="31"/>
      <x:c r="B94" s="32"/>
      <x:c r="G94" s="31"/>
      <x:c r="H94" s="32"/>
      <x:c r="I94" s="33"/>
    </x:row>
    <x:row r="95">
      <x:c r="A95" s="31"/>
      <x:c r="B95" s="32"/>
      <x:c r="G95" s="31"/>
      <x:c r="H95" s="32"/>
      <x:c r="I95" s="33"/>
    </x:row>
    <x:row r="96">
      <x:c r="A96" s="31"/>
      <x:c r="B96" s="32"/>
      <x:c r="G96" s="31"/>
      <x:c r="H96" s="32"/>
      <x:c r="I96" s="33"/>
    </x:row>
    <x:row r="97">
      <x:c r="A97" s="31"/>
      <x:c r="B97" s="32"/>
      <x:c r="G97" s="31"/>
      <x:c r="H97" s="32"/>
      <x:c r="I97" s="33"/>
    </x:row>
    <x:row r="98">
      <x:c r="A98" s="31"/>
      <x:c r="B98" s="32"/>
      <x:c r="G98" s="31"/>
      <x:c r="H98" s="32"/>
      <x:c r="I98" s="33"/>
    </x:row>
    <x:row r="99">
      <x:c r="A99" s="31"/>
      <x:c r="B99" s="32"/>
      <x:c r="G99" s="31"/>
      <x:c r="H99" s="32"/>
      <x:c r="I99" s="33"/>
    </x:row>
    <x:row r="100">
      <x:c r="A100" s="31"/>
      <x:c r="B100" s="32"/>
      <x:c r="G100" s="31"/>
      <x:c r="H100" s="32"/>
      <x:c r="I100" s="33"/>
    </x:row>
    <x:row r="101">
      <x:c r="A101" s="31"/>
      <x:c r="B101" s="32"/>
      <x:c r="G101" s="31"/>
      <x:c r="H101" s="32"/>
      <x:c r="I101" s="33"/>
    </x:row>
    <x:row r="102">
      <x:c r="A102" s="31"/>
      <x:c r="B102" s="32"/>
      <x:c r="G102" s="31"/>
      <x:c r="H102" s="32"/>
      <x:c r="I102" s="33"/>
    </x:row>
    <x:row r="103">
      <x:c r="A103" s="31"/>
      <x:c r="B103" s="32"/>
      <x:c r="G103" s="31"/>
      <x:c r="H103" s="32"/>
      <x:c r="I103" s="33"/>
    </x:row>
    <x:row r="104">
      <x:c r="A104" s="31"/>
      <x:c r="B104" s="32"/>
      <x:c r="G104" s="31"/>
      <x:c r="H104" s="32"/>
      <x:c r="I104" s="33"/>
    </x:row>
    <x:row r="105">
      <x:c r="A105" s="31"/>
      <x:c r="B105" s="32"/>
      <x:c r="G105" s="31"/>
      <x:c r="H105" s="32"/>
      <x:c r="I105" s="33"/>
    </x:row>
    <x:row r="106">
      <x:c r="A106" s="31"/>
      <x:c r="B106" s="32"/>
      <x:c r="G106" s="31"/>
      <x:c r="H106" s="32"/>
      <x:c r="I106" s="33"/>
    </x:row>
    <x:row r="107">
      <x:c r="A107" s="31"/>
      <x:c r="B107" s="32"/>
      <x:c r="G107" s="31"/>
      <x:c r="H107" s="32"/>
      <x:c r="I107" s="33"/>
    </x:row>
    <x:row r="108">
      <x:c r="A108" s="31"/>
      <x:c r="B108" s="32"/>
      <x:c r="G108" s="31"/>
      <x:c r="H108" s="32"/>
      <x:c r="I108" s="33"/>
    </x:row>
    <x:row r="109">
      <x:c r="A109" s="31"/>
      <x:c r="B109" s="32"/>
      <x:c r="G109" s="31"/>
      <x:c r="H109" s="32"/>
      <x:c r="I109" s="33"/>
    </x:row>
    <x:row r="110">
      <x:c r="A110" s="31"/>
      <x:c r="B110" s="32"/>
      <x:c r="G110" s="31"/>
      <x:c r="H110" s="32"/>
      <x:c r="I110" s="33"/>
    </x:row>
    <x:row r="111">
      <x:c r="A111" s="31"/>
      <x:c r="B111" s="32"/>
      <x:c r="G111" s="31"/>
      <x:c r="H111" s="32"/>
      <x:c r="I111" s="33"/>
    </x:row>
    <x:row r="112">
      <x:c r="A112" s="31"/>
      <x:c r="B112" s="32"/>
      <x:c r="G112" s="31"/>
      <x:c r="H112" s="32"/>
      <x:c r="I112" s="33"/>
    </x:row>
    <x:row r="113">
      <x:c r="A113" s="31"/>
      <x:c r="B113" s="32"/>
      <x:c r="G113" s="31"/>
      <x:c r="H113" s="32"/>
      <x:c r="I113" s="33"/>
    </x:row>
    <x:row r="114">
      <x:c r="A114" s="31"/>
      <x:c r="B114" s="32"/>
      <x:c r="G114" s="31"/>
      <x:c r="H114" s="32"/>
      <x:c r="I114" s="33"/>
    </x:row>
    <x:row r="115">
      <x:c r="A115" s="31"/>
      <x:c r="B115" s="32"/>
      <x:c r="G115" s="31"/>
      <x:c r="H115" s="32"/>
      <x:c r="I115" s="33"/>
    </x:row>
    <x:row r="116">
      <x:c r="A116" s="31"/>
      <x:c r="B116" s="32"/>
      <x:c r="G116" s="31"/>
      <x:c r="H116" s="32"/>
      <x:c r="I116" s="33"/>
    </x:row>
    <x:row r="117">
      <x:c r="A117" s="31"/>
      <x:c r="B117" s="32"/>
      <x:c r="G117" s="31"/>
      <x:c r="H117" s="32"/>
      <x:c r="I117" s="33"/>
    </x:row>
    <x:row r="118">
      <x:c r="A118" s="31"/>
      <x:c r="B118" s="32"/>
      <x:c r="G118" s="31"/>
      <x:c r="H118" s="32"/>
      <x:c r="I118" s="33"/>
    </x:row>
    <x:row r="119">
      <x:c r="A119" s="31"/>
      <x:c r="B119" s="32"/>
      <x:c r="G119" s="31"/>
      <x:c r="H119" s="32"/>
      <x:c r="I119" s="33"/>
    </x:row>
    <x:row r="120">
      <x:c r="A120" s="31"/>
      <x:c r="B120" s="32"/>
      <x:c r="G120" s="31"/>
      <x:c r="H120" s="32"/>
      <x:c r="I120" s="33"/>
    </x:row>
    <x:row r="121">
      <x:c r="A121" s="31"/>
      <x:c r="B121" s="32"/>
      <x:c r="G121" s="31"/>
      <x:c r="H121" s="32"/>
      <x:c r="I121" s="33"/>
    </x:row>
    <x:row r="122">
      <x:c r="A122" s="31"/>
      <x:c r="B122" s="32"/>
      <x:c r="G122" s="31"/>
      <x:c r="H122" s="32"/>
      <x:c r="I122" s="33"/>
    </x:row>
    <x:row r="123">
      <x:c r="A123" s="31"/>
      <x:c r="B123" s="32"/>
      <x:c r="G123" s="31"/>
      <x:c r="H123" s="32"/>
      <x:c r="I123" s="33"/>
    </x:row>
    <x:row r="124">
      <x:c r="A124" s="31"/>
      <x:c r="B124" s="32"/>
      <x:c r="G124" s="31"/>
      <x:c r="H124" s="32"/>
      <x:c r="I124" s="33"/>
    </x:row>
    <x:row r="125">
      <x:c r="A125" s="31"/>
      <x:c r="B125" s="32"/>
      <x:c r="G125" s="31"/>
      <x:c r="H125" s="32"/>
      <x:c r="I125" s="33"/>
    </x:row>
    <x:row r="126">
      <x:c r="A126" s="31"/>
      <x:c r="B126" s="32"/>
      <x:c r="G126" s="31"/>
      <x:c r="H126" s="32"/>
      <x:c r="I126" s="33"/>
    </x:row>
    <x:row r="127">
      <x:c r="A127" s="31"/>
      <x:c r="B127" s="32"/>
      <x:c r="G127" s="31"/>
      <x:c r="H127" s="32"/>
      <x:c r="I127" s="33"/>
    </x:row>
    <x:row r="128">
      <x:c r="A128" s="31"/>
      <x:c r="B128" s="32"/>
      <x:c r="G128" s="31"/>
      <x:c r="H128" s="32"/>
      <x:c r="I128" s="33"/>
    </x:row>
    <x:row r="129">
      <x:c r="A129" s="31"/>
      <x:c r="B129" s="32"/>
      <x:c r="G129" s="31"/>
      <x:c r="H129" s="32"/>
      <x:c r="I129" s="33"/>
    </x:row>
    <x:row r="130">
      <x:c r="A130" s="31"/>
      <x:c r="B130" s="32"/>
      <x:c r="G130" s="31"/>
      <x:c r="H130" s="32"/>
      <x:c r="I130" s="33"/>
    </x:row>
    <x:row r="131">
      <x:c r="A131" s="31"/>
      <x:c r="B131" s="32"/>
      <x:c r="G131" s="31"/>
      <x:c r="H131" s="32"/>
      <x:c r="I131" s="33"/>
    </x:row>
    <x:row r="132">
      <x:c r="A132" s="31"/>
      <x:c r="B132" s="32"/>
      <x:c r="G132" s="31"/>
      <x:c r="H132" s="32"/>
      <x:c r="I132" s="33"/>
    </x:row>
    <x:row r="133">
      <x:c r="A133" s="31"/>
      <x:c r="B133" s="32"/>
      <x:c r="G133" s="31"/>
      <x:c r="H133" s="32"/>
      <x:c r="I133" s="33"/>
    </x:row>
    <x:row r="134">
      <x:c r="A134" s="31"/>
      <x:c r="B134" s="32"/>
      <x:c r="G134" s="31"/>
      <x:c r="H134" s="32"/>
      <x:c r="I134" s="33"/>
    </x:row>
    <x:row r="135">
      <x:c r="A135" s="31"/>
      <x:c r="B135" s="32"/>
      <x:c r="G135" s="31"/>
      <x:c r="H135" s="32"/>
      <x:c r="I135" s="33"/>
    </x:row>
    <x:row r="136">
      <x:c r="A136" s="31"/>
      <x:c r="B136" s="32"/>
      <x:c r="G136" s="31"/>
      <x:c r="H136" s="32"/>
      <x:c r="I136" s="33"/>
    </x:row>
    <x:row r="137">
      <x:c r="A137" s="31"/>
      <x:c r="B137" s="32"/>
      <x:c r="G137" s="31"/>
      <x:c r="H137" s="32"/>
      <x:c r="I137" s="33"/>
    </x:row>
    <x:row r="138">
      <x:c r="A138" s="31"/>
      <x:c r="B138" s="32"/>
      <x:c r="G138" s="31"/>
      <x:c r="H138" s="32"/>
      <x:c r="I138" s="33"/>
    </x:row>
    <x:row r="139">
      <x:c r="A139" s="31"/>
      <x:c r="B139" s="32"/>
      <x:c r="G139" s="31"/>
      <x:c r="H139" s="32"/>
      <x:c r="I139" s="33"/>
    </x:row>
    <x:row r="140">
      <x:c r="A140" s="31"/>
      <x:c r="B140" s="32"/>
      <x:c r="G140" s="31"/>
      <x:c r="H140" s="32"/>
      <x:c r="I140" s="33"/>
    </x:row>
    <x:row r="141">
      <x:c r="A141" s="31"/>
      <x:c r="B141" s="32"/>
      <x:c r="G141" s="31"/>
      <x:c r="H141" s="32"/>
      <x:c r="I141" s="33"/>
    </x:row>
    <x:row r="142">
      <x:c r="A142" s="31"/>
      <x:c r="B142" s="32"/>
      <x:c r="G142" s="31"/>
      <x:c r="H142" s="32"/>
      <x:c r="I142" s="33"/>
    </x:row>
    <x:row r="143">
      <x:c r="A143" s="31"/>
      <x:c r="B143" s="32"/>
      <x:c r="G143" s="31"/>
      <x:c r="H143" s="32"/>
      <x:c r="I143" s="33"/>
    </x:row>
    <x:row r="144">
      <x:c r="A144" s="31"/>
      <x:c r="B144" s="32"/>
      <x:c r="G144" s="31"/>
      <x:c r="H144" s="32"/>
      <x:c r="I144" s="33"/>
    </x:row>
    <x:row r="145">
      <x:c r="A145" s="31"/>
      <x:c r="B145" s="32"/>
      <x:c r="G145" s="31"/>
      <x:c r="H145" s="32"/>
      <x:c r="I145" s="33"/>
    </x:row>
    <x:row r="146">
      <x:c r="A146" s="31"/>
      <x:c r="B146" s="32"/>
      <x:c r="G146" s="31"/>
      <x:c r="H146" s="32"/>
      <x:c r="I146" s="33"/>
    </x:row>
    <x:row r="147">
      <x:c r="A147" s="31"/>
      <x:c r="B147" s="32"/>
      <x:c r="G147" s="31"/>
      <x:c r="H147" s="32"/>
      <x:c r="I147" s="33"/>
    </x:row>
    <x:row r="148">
      <x:c r="A148" s="31"/>
      <x:c r="B148" s="32"/>
      <x:c r="G148" s="31"/>
      <x:c r="H148" s="32"/>
      <x:c r="I148" s="33"/>
    </x:row>
    <x:row r="149">
      <x:c r="A149" s="31"/>
      <x:c r="B149" s="32"/>
      <x:c r="G149" s="31"/>
      <x:c r="H149" s="32"/>
      <x:c r="I149" s="33"/>
    </x:row>
    <x:row r="150">
      <x:c r="A150" s="31"/>
      <x:c r="B150" s="32"/>
      <x:c r="G150" s="31"/>
      <x:c r="H150" s="32"/>
      <x:c r="I150" s="33"/>
    </x:row>
    <x:row r="151">
      <x:c r="A151" s="31"/>
      <x:c r="B151" s="32"/>
      <x:c r="G151" s="31"/>
      <x:c r="H151" s="32"/>
      <x:c r="I151" s="33"/>
    </x:row>
    <x:row r="152">
      <x:c r="A152" s="31"/>
      <x:c r="B152" s="32"/>
      <x:c r="G152" s="31"/>
      <x:c r="H152" s="32"/>
      <x:c r="I152" s="33"/>
    </x:row>
    <x:row r="153">
      <x:c r="A153" s="31"/>
      <x:c r="B153" s="32"/>
      <x:c r="G153" s="31"/>
      <x:c r="H153" s="32"/>
      <x:c r="I153" s="33"/>
    </x:row>
    <x:row r="154">
      <x:c r="A154" s="31"/>
      <x:c r="B154" s="32"/>
      <x:c r="G154" s="31"/>
      <x:c r="H154" s="32"/>
      <x:c r="I154" s="33"/>
    </x:row>
    <x:row r="155">
      <x:c r="A155" s="31"/>
      <x:c r="B155" s="32"/>
      <x:c r="G155" s="31"/>
      <x:c r="H155" s="32"/>
      <x:c r="I155" s="33"/>
    </x:row>
    <x:row r="156">
      <x:c r="A156" s="31"/>
      <x:c r="B156" s="32"/>
      <x:c r="G156" s="31"/>
      <x:c r="H156" s="32"/>
      <x:c r="I156" s="33"/>
    </x:row>
    <x:row r="157">
      <x:c r="A157" s="31"/>
      <x:c r="B157" s="32"/>
      <x:c r="G157" s="31"/>
      <x:c r="H157" s="32"/>
      <x:c r="I157" s="33"/>
    </x:row>
    <x:row r="158">
      <x:c r="A158" s="31"/>
      <x:c r="B158" s="32"/>
      <x:c r="G158" s="31"/>
      <x:c r="H158" s="32"/>
      <x:c r="I158" s="33"/>
    </x:row>
    <x:row r="159">
      <x:c r="A159" s="31"/>
      <x:c r="B159" s="32"/>
      <x:c r="G159" s="31"/>
      <x:c r="H159" s="32"/>
      <x:c r="I159" s="33"/>
    </x:row>
    <x:row r="160">
      <x:c r="A160" s="31"/>
      <x:c r="B160" s="32"/>
      <x:c r="G160" s="31"/>
      <x:c r="H160" s="32"/>
      <x:c r="I160" s="33"/>
    </x:row>
    <x:row r="161">
      <x:c r="A161" s="31"/>
      <x:c r="B161" s="32"/>
      <x:c r="G161" s="31"/>
      <x:c r="H161" s="32"/>
      <x:c r="I161" s="33"/>
    </x:row>
    <x:row r="162">
      <x:c r="A162" s="31"/>
      <x:c r="B162" s="32"/>
      <x:c r="G162" s="31"/>
      <x:c r="H162" s="32"/>
      <x:c r="I162" s="33"/>
    </x:row>
    <x:row r="163">
      <x:c r="A163" s="31"/>
      <x:c r="B163" s="32"/>
      <x:c r="G163" s="31"/>
      <x:c r="H163" s="32"/>
      <x:c r="I163" s="33"/>
    </x:row>
    <x:row r="164">
      <x:c r="A164" s="31"/>
      <x:c r="B164" s="32"/>
      <x:c r="G164" s="31"/>
      <x:c r="H164" s="32"/>
      <x:c r="I164" s="33"/>
    </x:row>
    <x:row r="165">
      <x:c r="A165" s="31"/>
      <x:c r="B165" s="32"/>
      <x:c r="G165" s="31"/>
      <x:c r="H165" s="32"/>
      <x:c r="I165" s="33"/>
    </x:row>
    <x:row r="166">
      <x:c r="A166" s="31"/>
      <x:c r="B166" s="32"/>
      <x:c r="G166" s="31"/>
      <x:c r="H166" s="32"/>
      <x:c r="I166" s="33"/>
    </x:row>
    <x:row r="167">
      <x:c r="A167" s="31"/>
      <x:c r="B167" s="32"/>
      <x:c r="G167" s="31"/>
      <x:c r="H167" s="32"/>
      <x:c r="I167" s="33"/>
    </x:row>
    <x:row r="168">
      <x:c r="A168" s="31"/>
      <x:c r="B168" s="32"/>
      <x:c r="G168" s="31"/>
      <x:c r="H168" s="32"/>
      <x:c r="I168" s="33"/>
    </x:row>
    <x:row r="169">
      <x:c r="A169" s="31"/>
      <x:c r="B169" s="32"/>
      <x:c r="G169" s="31"/>
      <x:c r="H169" s="32"/>
      <x:c r="I169" s="33"/>
    </x:row>
    <x:row r="170">
      <x:c r="A170" s="31"/>
      <x:c r="B170" s="32"/>
      <x:c r="G170" s="31"/>
      <x:c r="H170" s="32"/>
      <x:c r="I170" s="33"/>
    </x:row>
    <x:row r="171">
      <x:c r="A171" s="31"/>
      <x:c r="B171" s="32"/>
      <x:c r="G171" s="31"/>
      <x:c r="H171" s="32"/>
      <x:c r="I171" s="33"/>
    </x:row>
    <x:row r="172">
      <x:c r="A172" s="31"/>
      <x:c r="B172" s="32"/>
      <x:c r="G172" s="31"/>
      <x:c r="H172" s="32"/>
      <x:c r="I172" s="33"/>
    </x:row>
    <x:row r="173">
      <x:c r="A173" s="31"/>
      <x:c r="B173" s="32"/>
      <x:c r="G173" s="31"/>
      <x:c r="H173" s="32"/>
      <x:c r="I173" s="33"/>
    </x:row>
    <x:row r="174">
      <x:c r="A174" s="31"/>
      <x:c r="B174" s="32"/>
      <x:c r="G174" s="31"/>
      <x:c r="H174" s="32"/>
      <x:c r="I174" s="33"/>
    </x:row>
    <x:row r="175">
      <x:c r="A175" s="31"/>
      <x:c r="B175" s="32"/>
      <x:c r="G175" s="31"/>
      <x:c r="H175" s="32"/>
      <x:c r="I175" s="33"/>
    </x:row>
    <x:row r="176">
      <x:c r="A176" s="31"/>
      <x:c r="B176" s="32"/>
      <x:c r="G176" s="31"/>
      <x:c r="H176" s="32"/>
      <x:c r="I176" s="33"/>
    </x:row>
    <x:row r="177">
      <x:c r="A177" s="31"/>
      <x:c r="B177" s="32"/>
      <x:c r="G177" s="31"/>
      <x:c r="H177" s="32"/>
      <x:c r="I177" s="33"/>
    </x:row>
    <x:row r="178">
      <x:c r="A178" s="31"/>
      <x:c r="B178" s="32"/>
      <x:c r="G178" s="31"/>
      <x:c r="H178" s="32"/>
      <x:c r="I178" s="33"/>
    </x:row>
    <x:row r="179">
      <x:c r="A179" s="31"/>
      <x:c r="B179" s="32"/>
      <x:c r="G179" s="31"/>
      <x:c r="H179" s="32"/>
      <x:c r="I179" s="33"/>
    </x:row>
    <x:row r="180">
      <x:c r="A180" s="31"/>
      <x:c r="B180" s="32"/>
      <x:c r="G180" s="31"/>
      <x:c r="H180" s="32"/>
      <x:c r="I180" s="33"/>
    </x:row>
    <x:row r="181">
      <x:c r="A181" s="31"/>
      <x:c r="B181" s="32"/>
      <x:c r="G181" s="31"/>
      <x:c r="H181" s="32"/>
      <x:c r="I181" s="33"/>
    </x:row>
    <x:row r="182">
      <x:c r="A182" s="31"/>
      <x:c r="B182" s="32"/>
      <x:c r="G182" s="31"/>
      <x:c r="H182" s="32"/>
      <x:c r="I182" s="33"/>
    </x:row>
    <x:row r="183">
      <x:c r="A183" s="31"/>
      <x:c r="B183" s="32"/>
      <x:c r="G183" s="31"/>
      <x:c r="H183" s="32"/>
      <x:c r="I183" s="33"/>
    </x:row>
    <x:row r="184">
      <x:c r="A184" s="31"/>
      <x:c r="B184" s="32"/>
      <x:c r="G184" s="31"/>
      <x:c r="H184" s="32"/>
      <x:c r="I184" s="33"/>
    </x:row>
    <x:row r="185">
      <x:c r="A185" s="31"/>
      <x:c r="B185" s="32"/>
      <x:c r="G185" s="31"/>
      <x:c r="H185" s="32"/>
      <x:c r="I185" s="33"/>
    </x:row>
    <x:row r="186">
      <x:c r="A186" s="31"/>
      <x:c r="B186" s="32"/>
      <x:c r="G186" s="31"/>
      <x:c r="H186" s="32"/>
      <x:c r="I186" s="33"/>
    </x:row>
    <x:row r="187">
      <x:c r="A187" s="31"/>
      <x:c r="B187" s="32"/>
      <x:c r="G187" s="31"/>
      <x:c r="H187" s="32"/>
      <x:c r="I187" s="33"/>
    </x:row>
    <x:row r="188">
      <x:c r="A188" s="31"/>
      <x:c r="B188" s="32"/>
      <x:c r="G188" s="31"/>
      <x:c r="H188" s="32"/>
      <x:c r="I188" s="33"/>
    </x:row>
    <x:row r="189">
      <x:c r="A189" s="31"/>
      <x:c r="B189" s="32"/>
      <x:c r="G189" s="31"/>
      <x:c r="H189" s="32"/>
      <x:c r="I189" s="33"/>
    </x:row>
    <x:row r="190">
      <x:c r="A190" s="31"/>
      <x:c r="B190" s="32"/>
      <x:c r="G190" s="31"/>
      <x:c r="H190" s="32"/>
      <x:c r="I190" s="33"/>
    </x:row>
    <x:row r="191">
      <x:c r="A191" s="31"/>
      <x:c r="B191" s="32"/>
      <x:c r="G191" s="31"/>
      <x:c r="H191" s="32"/>
      <x:c r="I191" s="33"/>
    </x:row>
    <x:row r="192">
      <x:c r="A192" s="31"/>
      <x:c r="B192" s="32"/>
      <x:c r="G192" s="31"/>
      <x:c r="H192" s="32"/>
      <x:c r="I192" s="33"/>
    </x:row>
    <x:row r="193">
      <x:c r="A193" s="31"/>
      <x:c r="B193" s="32"/>
      <x:c r="G193" s="31"/>
      <x:c r="H193" s="32"/>
      <x:c r="I193" s="33"/>
    </x:row>
    <x:row r="194">
      <x:c r="A194" s="31"/>
      <x:c r="B194" s="32"/>
      <x:c r="G194" s="31"/>
      <x:c r="H194" s="32"/>
      <x:c r="I194" s="33"/>
    </x:row>
    <x:row r="195">
      <x:c r="A195" s="31"/>
      <x:c r="B195" s="32"/>
      <x:c r="G195" s="31"/>
      <x:c r="H195" s="32"/>
      <x:c r="I195" s="33"/>
    </x:row>
    <x:row r="196">
      <x:c r="A196" s="31"/>
      <x:c r="B196" s="32"/>
      <x:c r="G196" s="31"/>
      <x:c r="H196" s="32"/>
      <x:c r="I196" s="33"/>
    </x:row>
    <x:row r="197">
      <x:c r="A197" s="31"/>
      <x:c r="B197" s="32"/>
      <x:c r="G197" s="31"/>
      <x:c r="H197" s="32"/>
      <x:c r="I197" s="33"/>
    </x:row>
    <x:row r="198">
      <x:c r="A198" s="31"/>
      <x:c r="B198" s="32"/>
      <x:c r="G198" s="31"/>
      <x:c r="H198" s="32"/>
      <x:c r="I198" s="33"/>
    </x:row>
    <x:row r="199">
      <x:c r="A199" s="31"/>
      <x:c r="B199" s="32"/>
      <x:c r="G199" s="31"/>
      <x:c r="H199" s="32"/>
      <x:c r="I199" s="33"/>
    </x:row>
    <x:row r="200">
      <x:c r="A200" s="31"/>
      <x:c r="B200" s="32"/>
      <x:c r="G200" s="31"/>
      <x:c r="H200" s="32"/>
      <x:c r="I200" s="33"/>
    </x:row>
    <x:row r="201">
      <x:c r="A201" s="31"/>
      <x:c r="B201" s="32"/>
      <x:c r="G201" s="31"/>
      <x:c r="H201" s="32"/>
      <x:c r="I201" s="33"/>
    </x:row>
    <x:row r="202">
      <x:c r="A202" s="31"/>
      <x:c r="B202" s="32"/>
      <x:c r="G202" s="31"/>
      <x:c r="H202" s="32"/>
      <x:c r="I202" s="33"/>
    </x:row>
    <x:row r="203">
      <x:c r="A203" s="31"/>
      <x:c r="B203" s="32"/>
      <x:c r="G203" s="31"/>
      <x:c r="H203" s="32"/>
      <x:c r="I203" s="33"/>
    </x:row>
    <x:row r="204">
      <x:c r="A204" s="31"/>
      <x:c r="B204" s="32"/>
      <x:c r="G204" s="31"/>
      <x:c r="H204" s="32"/>
      <x:c r="I204" s="33"/>
    </x:row>
    <x:row r="205">
      <x:c r="A205" s="31"/>
      <x:c r="B205" s="32"/>
      <x:c r="G205" s="31"/>
      <x:c r="H205" s="32"/>
      <x:c r="I205" s="33"/>
    </x:row>
    <x:row r="206">
      <x:c r="A206" s="31"/>
      <x:c r="B206" s="32"/>
      <x:c r="G206" s="31"/>
      <x:c r="H206" s="32"/>
      <x:c r="I206" s="33"/>
    </x:row>
    <x:row r="207">
      <x:c r="A207" s="31"/>
      <x:c r="B207" s="32"/>
      <x:c r="G207" s="31"/>
      <x:c r="H207" s="32"/>
      <x:c r="I207" s="33"/>
    </x:row>
    <x:row r="208">
      <x:c r="A208" s="31"/>
      <x:c r="B208" s="32"/>
      <x:c r="G208" s="31"/>
      <x:c r="H208" s="32"/>
      <x:c r="I208" s="33"/>
    </x:row>
    <x:row r="209">
      <x:c r="A209" s="31"/>
      <x:c r="B209" s="32"/>
      <x:c r="G209" s="31"/>
      <x:c r="H209" s="32"/>
      <x:c r="I209" s="33"/>
    </x:row>
    <x:row r="210">
      <x:c r="A210" s="31"/>
      <x:c r="B210" s="32"/>
      <x:c r="G210" s="31"/>
      <x:c r="H210" s="32"/>
      <x:c r="I210" s="33"/>
    </x:row>
    <x:row r="211">
      <x:c r="A211" s="31"/>
      <x:c r="B211" s="32"/>
      <x:c r="G211" s="31"/>
      <x:c r="H211" s="32"/>
      <x:c r="I211" s="33"/>
    </x:row>
    <x:row r="212">
      <x:c r="A212" s="31"/>
      <x:c r="B212" s="32"/>
      <x:c r="G212" s="31"/>
      <x:c r="H212" s="32"/>
      <x:c r="I212" s="33"/>
    </x:row>
    <x:row r="213">
      <x:c r="A213" s="31"/>
      <x:c r="B213" s="32"/>
      <x:c r="G213" s="31"/>
      <x:c r="H213" s="32"/>
      <x:c r="I213" s="33"/>
    </x:row>
    <x:row r="214">
      <x:c r="A214" s="31"/>
      <x:c r="B214" s="32"/>
      <x:c r="G214" s="31"/>
      <x:c r="H214" s="32"/>
      <x:c r="I214" s="33"/>
    </x:row>
    <x:row r="215">
      <x:c r="A215" s="31"/>
      <x:c r="B215" s="32"/>
      <x:c r="G215" s="31"/>
      <x:c r="H215" s="32"/>
      <x:c r="I215" s="33"/>
    </x:row>
    <x:row r="216">
      <x:c r="A216" s="31"/>
      <x:c r="B216" s="32"/>
      <x:c r="G216" s="31"/>
      <x:c r="H216" s="32"/>
      <x:c r="I216" s="33"/>
    </x:row>
    <x:row r="217">
      <x:c r="A217" s="31"/>
      <x:c r="B217" s="32"/>
      <x:c r="G217" s="31"/>
      <x:c r="H217" s="32"/>
      <x:c r="I217" s="33"/>
    </x:row>
    <x:row r="218">
      <x:c r="A218" s="31"/>
      <x:c r="B218" s="32"/>
      <x:c r="G218" s="31"/>
      <x:c r="H218" s="32"/>
      <x:c r="I218" s="33"/>
    </x:row>
    <x:row r="219">
      <x:c r="A219" s="31"/>
      <x:c r="B219" s="32"/>
      <x:c r="G219" s="31"/>
      <x:c r="H219" s="32"/>
      <x:c r="I219" s="33"/>
    </x:row>
  </x:sheetData>
  <x:dataValidations count="5">
    <x:dataValidation type="list" errorStyle="stop" allowBlank="1" showErrorMessage="1" sqref="D2:D25">
      <x:formula1>"一般,阻塞"</x:formula1>
    </x:dataValidation>
    <x:dataValidation type="list" errorStyle="stop" allowBlank="1" showErrorMessage="1" sqref="E2:E25">
      <x:formula1>"睿驰,威孚,三方"</x:formula1>
    </x:dataValidation>
    <x:dataValidation type="list" errorStyle="stop" allowBlank="1" showErrorMessage="1" sqref="K2:K73">
      <x:formula1>"处理中,待确认,已关闭"</x:formula1>
    </x:dataValidation>
    <x:dataValidation type="list" errorStyle="stop" allowBlank="1" showErrorMessage="1" sqref="D26:D73">
      <x:formula1>"一般,阻塞"</x:formula1>
    </x:dataValidation>
    <x:dataValidation type="list" errorStyle="stop" allowBlank="1" showErrorMessage="1" sqref="E26:E73">
      <x:formula1>"睿驰,威孚,三方"</x:formula1>
    </x:dataValidation>
  </x:dataValidations>
  <x:hyperlinks>
    <x:hyperlink xmlns:r="http://schemas.openxmlformats.org/officeDocument/2006/relationships" ref="H22" r:id="R9bee54b774fc453f"/>
  </x:hyperlinks>
  <x:pageMargins left="0.7" right="0.7" top="0.75" bottom="0.75" header="0.3" footer="0.3"/>
  <x:drawing xmlns:r="http://schemas.openxmlformats.org/officeDocument/2006/relationships" r:id="Rd091a5f6bf8c4509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6" max="6" width="95" hidden="0" customWidth="1"/>
    <x:col min="1" max="1" width="32" hidden="0" customWidth="1"/>
    <x:col min="2" max="2" width="21" hidden="0" customWidth="1"/>
    <x:col min="3" max="3" width="23" hidden="0" customWidth="1"/>
    <x:col min="4" max="4" width="28" hidden="0" customWidth="1"/>
    <x:col min="5" max="5" width="36" hidden="0" customWidth="1"/>
  </x:cols>
  <x:sheetData>
    <x:row r="1" ht="28" customHeight="1">
      <x:c r="A1" s="34" t="s">
        <x:v>109</x:v>
      </x:c>
      <x:c r="B1" s="35"/>
      <x:c r="C1" s="35"/>
      <x:c r="D1" s="35"/>
      <x:c r="E1" s="35"/>
      <x:c r="F1" s="35"/>
    </x:row>
    <x:row r="2" ht="15" customHeight="1">
      <x:c r="A2" s="36"/>
      <x:c r="B2" s="37"/>
      <x:c r="C2" s="37"/>
      <x:c r="D2" s="37"/>
      <x:c r="E2" s="37"/>
      <x:c r="F2" s="37"/>
    </x:row>
    <x:row r="3" ht="19" customHeight="1">
      <x:c r="A3" s="38" t="s">
        <x:v>110</x:v>
      </x:c>
      <x:c r="B3" s="39" t="s">
        <x:v>111</x:v>
      </x:c>
      <x:c r="C3" s="40"/>
      <x:c r="D3" s="40"/>
      <x:c r="E3" s="40"/>
      <x:c r="F3" s="40"/>
    </x:row>
    <x:row r="4" ht="19" customHeight="1">
      <x:c r="A4" s="38" t="s">
        <x:v>112</x:v>
      </x:c>
      <x:c r="B4" s="41" t="s">
        <x:v>113</x:v>
      </x:c>
      <x:c r="C4" s="40"/>
      <x:c r="D4" s="40"/>
      <x:c r="E4" s="40"/>
      <x:c r="F4" s="40"/>
    </x:row>
    <x:row r="5" ht="19" customHeight="1">
      <x:c r="A5" s="38" t="s">
        <x:v>114</x:v>
      </x:c>
      <x:c r="B5" s="39" t="s">
        <x:v>115</x:v>
      </x:c>
      <x:c r="C5" s="40"/>
      <x:c r="D5" s="40"/>
      <x:c r="E5" s="40"/>
      <x:c r="F5" s="40"/>
    </x:row>
    <x:row r="6" ht="19" customHeight="1">
      <x:c r="A6" s="38" t="s">
        <x:v>116</x:v>
      </x:c>
      <x:c r="B6" s="42" t="s">
        <x:v>117</x:v>
      </x:c>
      <x:c r="C6" s="43"/>
      <x:c r="D6" s="43"/>
      <x:c r="E6" s="43"/>
      <x:c r="F6" s="43"/>
    </x:row>
    <x:row r="7" ht="19" customHeight="1">
      <x:c r="A7" s="38" t="s">
        <x:v>118</x:v>
      </x:c>
      <x:c r="B7" s="39" t="s">
        <x:v>119</x:v>
      </x:c>
      <x:c r="C7" s="40"/>
      <x:c r="D7" s="40"/>
      <x:c r="E7" s="40"/>
      <x:c r="F7" s="40"/>
    </x:row>
    <x:row r="8" ht="19" customHeight="1">
      <x:c r="A8" s="38" t="s">
        <x:v>120</x:v>
      </x:c>
      <x:c r="B8" s="44" t="s">
        <x:v>12</x:v>
      </x:c>
      <x:c r="C8" s="45" t="s">
        <x:v>121</x:v>
      </x:c>
      <x:c r="D8" s="46" t="s">
        <x:v>122</x:v>
      </x:c>
      <x:c r="E8" s="47" t="s">
        <x:v>123</x:v>
      </x:c>
      <x:c r="F8" s="48" t="s">
        <x:v>124</x:v>
      </x:c>
    </x:row>
    <x:row r="9" ht="19" customHeight="1">
      <x:c r="A9" s="38"/>
      <x:c r="B9" s="44" t="s">
        <x:v>125</x:v>
      </x:c>
      <x:c r="C9" s="45" t="s">
        <x:v>121</x:v>
      </x:c>
      <x:c r="D9" s="46" t="s">
        <x:v>122</x:v>
      </x:c>
      <x:c r="E9" s="47" t="s">
        <x:v>123</x:v>
      </x:c>
      <x:c r="F9" s="48" t="s">
        <x:v>124</x:v>
      </x:c>
    </x:row>
    <x:row r="10" ht="19" customHeight="1">
      <x:c r="A10" s="49" t="s">
        <x:v>126</x:v>
      </x:c>
      <x:c r="B10" s="44" t="s">
        <x:v>127</x:v>
      </x:c>
      <x:c r="C10" s="44"/>
      <x:c r="D10" s="46" t="s">
        <x:v>128</x:v>
      </x:c>
      <x:c r="E10" s="47" t="s">
        <x:v>129</x:v>
      </x:c>
      <x:c r="F10" s="48" t="s">
        <x:v>124</x:v>
      </x:c>
    </x:row>
    <x:row r="11" ht="19" customHeight="1">
      <x:c r="A11" s="50"/>
      <x:c r="B11" s="44" t="s">
        <x:v>130</x:v>
      </x:c>
      <x:c r="C11" s="44"/>
      <x:c r="D11" s="46" t="s">
        <x:v>128</x:v>
      </x:c>
      <x:c r="E11" s="47" t="s">
        <x:v>131</x:v>
      </x:c>
      <x:c r="F11" s="48" t="s">
        <x:v>132</x:v>
      </x:c>
    </x:row>
    <x:row r="12" ht="19" customHeight="1">
      <x:c r="A12" s="50"/>
      <x:c r="B12" s="44" t="s">
        <x:v>133</x:v>
      </x:c>
      <x:c r="C12" s="44"/>
      <x:c r="D12" s="46" t="s">
        <x:v>128</x:v>
      </x:c>
      <x:c r="E12" s="47" t="s">
        <x:v>134</x:v>
      </x:c>
      <x:c r="F12" s="48" t="s">
        <x:v>124</x:v>
      </x:c>
    </x:row>
    <x:row r="13" ht="19" customHeight="1">
      <x:c r="A13" s="50"/>
      <x:c r="B13" s="44" t="s">
        <x:v>135</x:v>
      </x:c>
      <x:c r="C13" s="44"/>
      <x:c r="D13" s="46" t="s">
        <x:v>128</x:v>
      </x:c>
      <x:c r="E13" s="44" t="s">
        <x:v>131</x:v>
      </x:c>
      <x:c r="F13" s="48" t="s">
        <x:v>132</x:v>
      </x:c>
    </x:row>
    <x:row r="14" ht="19" customHeight="1">
      <x:c r="A14" s="51"/>
      <x:c r="B14" s="44" t="s">
        <x:v>136</x:v>
      </x:c>
      <x:c r="C14" s="44"/>
      <x:c r="D14" s="46" t="s">
        <x:v>128</x:v>
      </x:c>
      <x:c r="E14" s="44" t="s">
        <x:v>131</x:v>
      </x:c>
      <x:c r="F14" s="48" t="s">
        <x:v>132</x:v>
      </x:c>
    </x:row>
    <x:row r="15" ht="38" customHeight="1">
      <x:c r="A15" s="38" t="s">
        <x:v>137</x:v>
      </x:c>
      <x:c r="B15" s="52" t="s">
        <x:v>138</x:v>
      </x:c>
      <x:c r="C15" s="52"/>
      <x:c r="D15" s="52"/>
      <x:c r="E15" s="52"/>
      <x:c r="F15" s="39"/>
    </x:row>
    <x:row r="16" ht="38" customHeight="1">
      <x:c r="A16" s="53" t="s">
        <x:v>139</x:v>
      </x:c>
      <x:c r="B16" s="52" t="s">
        <x:v>140</x:v>
      </x:c>
      <x:c r="C16" s="52"/>
      <x:c r="D16" s="52"/>
      <x:c r="E16" s="52"/>
      <x:c r="F16" s="39"/>
    </x:row>
  </x:sheetData>
  <x:mergeCells>
    <x:mergeCell ref="A1:F1"/>
    <x:mergeCell ref="B3:F3"/>
    <x:mergeCell ref="B4:F4"/>
    <x:mergeCell ref="B5:F5"/>
    <x:mergeCell ref="B6:F6"/>
    <x:mergeCell ref="B7:F7"/>
    <x:mergeCell ref="B15:F15"/>
    <x:mergeCell ref="B16:F16"/>
    <x:mergeCell ref="A10:A14"/>
  </x:mergeCells>
  <x:dataValidations count="5">
    <x:dataValidation type="list" errorStyle="stop" allowBlank="1" showErrorMessage="1" sqref="B5:B5 C5:C5 D5:D5 E5:E5 F5:F5">
      <x:formula1>"NeuSAR cCore 3.0_AUTOSAR V4.2.2/4.4,NeuSAR cCore 4.0_AUTOSAR R21-11"</x:formula1>
    </x:dataValidation>
    <x:dataValidation type="list" errorStyle="stop" allowBlank="1" showErrorMessage="1" sqref="C8:C9">
      <x:formula1>"NO,TBD,1路,2路,3路,4路,5路,6路,7路,8路,9路,10路"</x:formula1>
    </x:dataValidation>
    <x:dataValidation type="list" errorStyle="stop" allowBlank="1" showErrorMessage="1" sqref="F8:F14">
      <x:formula1>"TBD,CDD驱动由睿驰开发,CDD驱动由用户自主开发"</x:formula1>
    </x:dataValidation>
    <x:dataValidation type="list" errorStyle="stop" allowBlank="1" showErrorMessage="1" sqref="B15:B15 C15:C15 D15:D15 E15:E15 F15:F15">
      <x:formula1>"采用AUTOSAR应用层软件架构设计工具生成的符合AUTOSAR标准架构的应用层软件,采用手写代码或其他方式生成的非AUTOSAR标准架构的应用层软件"</x:formula1>
    </x:dataValidation>
    <x:dataValidation type="list" errorStyle="stop" allowBlank="1" showErrorMessage="1" sqref="B16:B16 C16:C16 D16:D16 E16:E16 F16:F16">
      <x:formula1>"提供芯片原厂商的MCAL软件,提供芯片原厂商SDK驱动包"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1" max="1" width="80" hidden="0" customWidth="1"/>
    <x:col min="2" max="2" width="23" hidden="0" customWidth="1"/>
    <x:col min="3" max="3" width="23" hidden="0" customWidth="1"/>
  </x:cols>
  <x:sheetData>
    <x:row r="1" ht="28" customHeight="1">
      <x:c r="A1" s="54" t="s">
        <x:v>141</x:v>
      </x:c>
      <x:c r="B1" s="55"/>
      <x:c r="C1" s="55"/>
    </x:row>
    <x:row r="2" ht="15" customHeight="1">
      <x:c r="A2" s="56"/>
      <x:c r="B2" s="56"/>
      <x:c r="C2" s="56"/>
    </x:row>
    <x:row r="3" ht="19" customHeight="1">
      <x:c r="A3" s="57" t="s">
        <x:v>142</x:v>
      </x:c>
      <x:c r="B3" s="57" t="s">
        <x:v>143</x:v>
      </x:c>
      <x:c r="C3" s="57" t="s">
        <x:v>144</x:v>
      </x:c>
    </x:row>
    <x:row r="4" ht="15" customHeight="1">
      <x:c r="A4" s="58" t="s">
        <x:v>145</x:v>
      </x:c>
      <x:c r="B4" s="59" t="s">
        <x:v>146</x:v>
      </x:c>
      <x:c r="C4" s="60" t="s">
        <x:v>147</x:v>
      </x:c>
    </x:row>
    <x:row r="5" ht="15" customHeight="1">
      <x:c r="A5" s="58" t="s">
        <x:v>148</x:v>
      </x:c>
      <x:c r="B5" s="59">
        <x:v>4</x:v>
      </x:c>
      <x:c r="C5" s="60" t="s">
        <x:v>147</x:v>
      </x:c>
      <x:c r="D5" s="61" t="s">
        <x:v>149</x:v>
      </x:c>
    </x:row>
    <x:row r="6" ht="15" customHeight="1">
      <x:c r="A6" s="58" t="s">
        <x:v>150</x:v>
      </x:c>
      <x:c r="B6" s="59">
        <x:v>4</x:v>
      </x:c>
      <x:c r="C6" s="60" t="s">
        <x:v>147</x:v>
      </x:c>
      <x:c r="D6" s="61" t="s">
        <x:v>151</x:v>
      </x:c>
    </x:row>
    <x:row r="7" ht="15" customHeight="1">
      <x:c r="A7" s="58" t="s">
        <x:v>152</x:v>
      </x:c>
      <x:c r="B7" s="59">
        <x:v>1</x:v>
      </x:c>
      <x:c r="C7" s="60" t="s">
        <x:v>147</x:v>
      </x:c>
      <x:c r="D7" s="61" t="s">
        <x:v>153</x:v>
      </x:c>
    </x:row>
    <x:row r="8" ht="15" customHeight="1">
      <x:c r="A8" s="58" t="s">
        <x:v>154</x:v>
      </x:c>
      <x:c r="B8" s="59">
        <x:v>1</x:v>
      </x:c>
      <x:c r="C8" s="60" t="s">
        <x:v>147</x:v>
      </x:c>
      <x:c r="D8" s="61" t="s">
        <x:v>155</x:v>
      </x:c>
    </x:row>
    <x:row r="9" ht="15" customHeight="1">
      <x:c r="A9" s="58" t="s">
        <x:v>156</x:v>
      </x:c>
      <x:c r="B9" s="59">
        <x:v>1</x:v>
      </x:c>
      <x:c r="C9" s="60" t="s">
        <x:v>147</x:v>
      </x:c>
      <x:c r="D9" s="61" t="s">
        <x:v>157</x:v>
      </x:c>
    </x:row>
    <x:row r="10" ht="15" customHeight="1">
      <x:c r="A10" s="58" t="s">
        <x:v>158</x:v>
      </x:c>
      <x:c r="B10" s="59">
        <x:v>1</x:v>
      </x:c>
      <x:c r="C10" s="60" t="s">
        <x:v>147</x:v>
      </x:c>
      <x:c r="D10" s="61" t="s">
        <x:v>159</x:v>
      </x:c>
    </x:row>
    <x:row r="11" ht="15" customHeight="1">
      <x:c r="A11" s="58" t="s">
        <x:v>160</x:v>
      </x:c>
      <x:c r="B11" s="59">
        <x:v>1</x:v>
      </x:c>
      <x:c r="C11" s="60" t="s">
        <x:v>147</x:v>
      </x:c>
      <x:c r="D11" s="61" t="s">
        <x:v>161</x:v>
      </x:c>
    </x:row>
    <x:row r="12" ht="15" customHeight="1">
      <x:c r="A12" s="58" t="s">
        <x:v>162</x:v>
      </x:c>
      <x:c r="B12" s="59">
        <x:v>1</x:v>
      </x:c>
      <x:c r="C12" s="60" t="s">
        <x:v>147</x:v>
      </x:c>
      <x:c r="D12" s="61" t="s">
        <x:v>163</x:v>
      </x:c>
    </x:row>
    <x:row r="13" ht="15" customHeight="1">
      <x:c r="A13" s="58" t="s">
        <x:v>164</x:v>
      </x:c>
      <x:c r="B13" s="59">
        <x:v>1</x:v>
      </x:c>
      <x:c r="C13" s="60" t="s">
        <x:v>147</x:v>
      </x:c>
      <x:c r="D13" s="61" t="s">
        <x:v>165</x:v>
      </x:c>
    </x:row>
    <x:row r="14" ht="15" customHeight="1">
      <x:c r="A14" s="58" t="s">
        <x:v>166</x:v>
      </x:c>
      <x:c r="B14" s="59">
        <x:v>1</x:v>
      </x:c>
      <x:c r="C14" s="60" t="s">
        <x:v>147</x:v>
      </x:c>
      <x:c r="D14" s="61" t="s">
        <x:v>167</x:v>
      </x:c>
    </x:row>
    <x:row r="15" ht="15" customHeight="1">
      <x:c r="A15" s="58" t="s">
        <x:v>168</x:v>
      </x:c>
      <x:c r="B15" s="59">
        <x:v>1</x:v>
      </x:c>
      <x:c r="C15" s="60" t="s">
        <x:v>147</x:v>
      </x:c>
      <x:c r="D15" s="61" t="s">
        <x:v>163</x:v>
      </x:c>
    </x:row>
    <x:row r="16" ht="15" customHeight="1">
      <x:c r="A16" s="58" t="s">
        <x:v>169</x:v>
      </x:c>
      <x:c r="B16" s="59">
        <x:v>1</x:v>
      </x:c>
      <x:c r="C16" s="60" t="s">
        <x:v>147</x:v>
      </x:c>
      <x:c r="D16" s="61" t="s">
        <x:v>170</x:v>
      </x:c>
    </x:row>
    <x:row r="17" ht="30" hidden="1" customHeight="1">
      <x:c r="A17" s="62" t="s">
        <x:v>171</x:v>
      </x:c>
      <x:c r="B17" s="60">
        <x:v>1</x:v>
      </x:c>
      <x:c r="C17" s="60" t="s">
        <x:v>147</x:v>
      </x:c>
    </x:row>
    <x:row r="18" ht="15" hidden="1" customHeight="1">
      <x:c r="A18" s="62" t="s">
        <x:v>172</x:v>
      </x:c>
      <x:c r="B18" s="60">
        <x:v>1</x:v>
      </x:c>
      <x:c r="C18" s="60" t="s">
        <x:v>147</x:v>
      </x:c>
    </x:row>
    <x:row r="19" ht="15" hidden="1" customHeight="1">
      <x:c r="A19" s="63" t="s">
        <x:v>173</x:v>
      </x:c>
      <x:c r="B19" s="64">
        <x:v>1</x:v>
      </x:c>
      <x:c r="C19" s="65" t="s">
        <x:v>147</x:v>
      </x:c>
    </x:row>
    <x:row r="20" ht="15" hidden="1" customHeight="1">
      <x:c r="A20" s="58" t="s">
        <x:v>174</x:v>
      </x:c>
      <x:c r="B20" s="59">
        <x:v>1</x:v>
      </x:c>
      <x:c r="C20" s="60" t="s">
        <x:v>147</x:v>
      </x:c>
    </x:row>
    <x:row r="21" ht="15" customHeight="1">
      <x:c r="A21" s="66" t="s">
        <x:v>175</x:v>
      </x:c>
      <x:c r="B21" s="59">
        <x:v>1</x:v>
      </x:c>
      <x:c r="C21" s="60" t="s">
        <x:v>147</x:v>
      </x:c>
      <x:c r="D21" s="61" t="s">
        <x:v>157</x:v>
      </x:c>
    </x:row>
    <x:row r="22" ht="15" customHeight="1">
      <x:c r="A22" s="58" t="s">
        <x:v>176</x:v>
      </x:c>
      <x:c r="B22" s="59">
        <x:v>1</x:v>
      </x:c>
      <x:c r="C22" s="60" t="s">
        <x:v>147</x:v>
      </x:c>
      <x:c r="D22" s="61" t="s">
        <x:v>177</x:v>
      </x:c>
    </x:row>
    <x:row r="23" ht="15" customHeight="1">
      <x:c r="A23" s="67" t="s">
        <x:v>178</x:v>
      </x:c>
      <x:c r="B23" s="59">
        <x:v>1</x:v>
      </x:c>
      <x:c r="C23" s="60" t="s">
        <x:v>147</x:v>
      </x:c>
      <x:c r="D23" s="68" t="s">
        <x:v>179</x:v>
      </x:c>
    </x:row>
    <x:row r="24" ht="15" customHeight="1">
      <x:c r="A24" s="58" t="s">
        <x:v>180</x:v>
      </x:c>
      <x:c r="B24" s="59">
        <x:v>1</x:v>
      </x:c>
      <x:c r="C24" s="60" t="s">
        <x:v>147</x:v>
      </x:c>
      <x:c r="D24" s="61" t="s">
        <x:v>181</x:v>
      </x:c>
    </x:row>
    <x:row r="25" ht="15" customHeight="1">
      <x:c r="A25" s="58" t="s">
        <x:v>182</x:v>
      </x:c>
      <x:c r="B25" s="59">
        <x:v>1</x:v>
      </x:c>
      <x:c r="C25" s="60" t="s">
        <x:v>147</x:v>
      </x:c>
      <x:c r="D25" s="61" t="s">
        <x:v>181</x:v>
      </x:c>
    </x:row>
    <x:row r="26" ht="15" customHeight="1">
      <x:c r="A26" s="58" t="s">
        <x:v>183</x:v>
      </x:c>
      <x:c r="B26" s="59">
        <x:v>1</x:v>
      </x:c>
      <x:c r="C26" s="60" t="s">
        <x:v>147</x:v>
      </x:c>
      <x:c r="D26" s="61" t="s">
        <x:v>184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5" max="5" width="29" hidden="0" customWidth="1"/>
    <x:col min="1" max="1" width="22" hidden="0" customWidth="1"/>
    <x:col min="2" max="2" width="71" hidden="0" customWidth="1"/>
    <x:col min="3" max="3" width="30" hidden="0" customWidth="1"/>
    <x:col min="4" max="4" width="24" hidden="0" customWidth="1"/>
  </x:cols>
  <x:sheetData>
    <x:row r="1" ht="19" customHeight="1">
      <x:c r="A1" s="69" t="s">
        <x:v>185</x:v>
      </x:c>
      <x:c r="B1" s="69" t="s">
        <x:v>186</x:v>
      </x:c>
      <x:c r="C1" s="69" t="s">
        <x:v>187</x:v>
      </x:c>
      <x:c r="D1" s="69" t="s">
        <x:v>188</x:v>
      </x:c>
      <x:c r="E1" s="69" t="s">
        <x:v>189</x:v>
      </x:c>
    </x:row>
    <x:row r="2" ht="74" customHeight="1">
      <x:c r="A2" s="70" t="s">
        <x:v>190</x:v>
      </x:c>
      <x:c r="B2" s="71" t="s">
        <x:v>191</x:v>
      </x:c>
      <x:c r="C2" s="71" t="s">
        <x:v>192</x:v>
      </x:c>
      <x:c r="D2" s="72" t="s">
        <x:v>193</x:v>
      </x:c>
      <x:c r="E2" s="73"/>
    </x:row>
    <x:row r="3" ht="295" customHeight="1">
      <x:c r="A3" s="74" t="s">
        <x:v>194</x:v>
      </x:c>
      <x:c r="B3" s="75" t="s">
        <x:v>195</x:v>
      </x:c>
      <x:c r="C3" s="75" t="s">
        <x:v>196</x:v>
      </x:c>
      <x:c r="D3" s="72" t="s">
        <x:v>197</x:v>
      </x:c>
      <x:c r="E3" s="75" t="s">
        <x:v>198</x:v>
      </x:c>
    </x:row>
    <x:row r="4" ht="354" customHeight="1">
      <x:c r="A4" s="74" t="s">
        <x:v>199</x:v>
      </x:c>
      <x:c r="B4" s="76" t="s">
        <x:v>200</x:v>
      </x:c>
      <x:c r="C4" s="75" t="s">
        <x:v>201</x:v>
      </x:c>
      <x:c r="D4" s="72" t="s">
        <x:v>202</x:v>
      </x:c>
      <x:c r="E4" s="76" t="s">
        <x:v>203</x:v>
      </x:c>
    </x:row>
    <x:row r="5" ht="59" customHeight="1">
      <x:c r="A5" s="70" t="s">
        <x:v>204</x:v>
      </x:c>
      <x:c r="B5" s="71" t="s">
        <x:v>205</x:v>
      </x:c>
      <x:c r="C5" s="71" t="s">
        <x:v>206</x:v>
      </x:c>
      <x:c r="D5" s="72" t="s">
        <x:v>207</x:v>
      </x:c>
      <x:c r="E5" s="77" t="s">
        <x:v>208</x:v>
      </x:c>
    </x:row>
    <x:row r="6" ht="45" customHeight="1">
      <x:c r="A6" s="70" t="s">
        <x:v>209</x:v>
      </x:c>
      <x:c r="B6" s="71" t="s">
        <x:v>210</x:v>
      </x:c>
      <x:c r="C6" s="71" t="s">
        <x:v>211</x:v>
      </x:c>
      <x:c r="D6" s="72" t="s">
        <x:v>212</x:v>
      </x:c>
      <x:c r="E6" s="71"/>
    </x:row>
    <x:row r="7" ht="30" customHeight="1">
      <x:c r="A7" s="70" t="s">
        <x:v>213</x:v>
      </x:c>
      <x:c r="B7" s="71" t="s">
        <x:v>214</x:v>
      </x:c>
      <x:c r="C7" s="70" t="s">
        <x:v>215</x:v>
      </x:c>
      <x:c r="D7" s="72" t="s">
        <x:v>132</x:v>
      </x:c>
      <x:c r="E7" s="71" t="s">
        <x:v>216</x:v>
      </x:c>
    </x:row>
    <x:row r="8" ht="59" customHeight="1">
      <x:c r="A8" s="70" t="s">
        <x:v>217</x:v>
      </x:c>
      <x:c r="B8" s="71" t="s">
        <x:v>218</x:v>
      </x:c>
      <x:c r="C8" s="70" t="s">
        <x:v>219</x:v>
      </x:c>
      <x:c r="D8" s="72" t="s">
        <x:v>220</x:v>
      </x:c>
      <x:c r="E8" s="71" t="s">
        <x:v>221</x:v>
      </x:c>
    </x:row>
    <x:row r="9" ht="19" customHeight="1">
      <x:c r="D9" s="78"/>
      <x:c r="E9" s="79"/>
    </x:row>
    <x:row r="10" ht="19" customHeight="1">
      <x:c r="D10" s="78"/>
      <x:c r="E10" s="79"/>
    </x:row>
    <x:row r="11" ht="19" customHeight="1">
      <x:c r="D11" s="78"/>
      <x:c r="E11" s="79"/>
    </x:row>
    <x:row r="12" ht="19" customHeight="1">
      <x:c r="D12" s="78"/>
      <x:c r="E12" s="79"/>
    </x:row>
    <x:row r="13" ht="19" customHeight="1">
      <x:c r="D13" s="78"/>
      <x:c r="E13" s="79"/>
    </x:row>
    <x:row r="14" ht="19" customHeight="1">
      <x:c r="D14" s="78"/>
      <x:c r="E14" s="79"/>
    </x:row>
    <x:row r="15" ht="19" customHeight="1">
      <x:c r="D15" s="78"/>
      <x:c r="E15" s="79"/>
    </x:row>
    <x:row r="16" ht="19" customHeight="1">
      <x:c r="D16" s="78"/>
      <x:c r="E16" s="79"/>
    </x:row>
    <x:row r="17" ht="19" customHeight="1">
      <x:c r="D17" s="78"/>
      <x:c r="E17" s="79"/>
    </x:row>
    <x:row r="18" ht="19" customHeight="1">
      <x:c r="D18" s="78"/>
      <x:c r="E18" s="79"/>
    </x:row>
    <x:row r="19" ht="19" customHeight="1">
      <x:c r="D19" s="78"/>
      <x:c r="E19" s="79"/>
    </x:row>
    <x:row r="20" ht="19" customHeight="1">
      <x:c r="D20" s="78"/>
      <x:c r="E20" s="79"/>
    </x:row>
    <x:row r="21" ht="19" customHeight="1">
      <x:c r="D21" s="78"/>
      <x:c r="E21" s="79"/>
    </x:row>
    <x:row r="22" ht="19" customHeight="1">
      <x:c r="D22" s="78"/>
      <x:c r="E22" s="79"/>
    </x:row>
    <x:row r="23" ht="19" customHeight="1">
      <x:c r="D23" s="78"/>
      <x:c r="E23" s="79"/>
    </x:row>
    <x:row r="24" ht="19" customHeight="1">
      <x:c r="D24" s="78"/>
      <x:c r="E24" s="79"/>
    </x:row>
    <x:row r="25" ht="19" customHeight="1">
      <x:c r="D25" s="78"/>
      <x:c r="E25" s="79"/>
    </x:row>
    <x:row r="26" ht="19" customHeight="1">
      <x:c r="D26" s="78"/>
      <x:c r="E26" s="79"/>
    </x:row>
    <x:row r="27" ht="19" customHeight="1">
      <x:c r="D27" s="78"/>
      <x:c r="E27" s="79"/>
    </x:row>
    <x:row r="28" ht="19" customHeight="1">
      <x:c r="D28" s="78"/>
      <x:c r="E28" s="79"/>
    </x:row>
    <x:row r="29" ht="19" customHeight="1">
      <x:c r="D29" s="78"/>
      <x:c r="E29" s="79"/>
    </x:row>
    <x:row r="30" ht="19" customHeight="1">
      <x:c r="D30" s="78"/>
      <x:c r="E30" s="79"/>
    </x:row>
    <x:row r="31" ht="19" customHeight="1">
      <x:c r="D31" s="78"/>
      <x:c r="E31" s="79"/>
    </x:row>
    <x:row r="32" ht="19" customHeight="1">
      <x:c r="D32" s="78"/>
      <x:c r="E32" s="79"/>
    </x:row>
    <x:row r="33" ht="19" customHeight="1">
      <x:c r="D33" s="78"/>
      <x:c r="E33" s="79"/>
    </x:row>
    <x:row r="34" ht="19" customHeight="1">
      <x:c r="D34" s="78"/>
      <x:c r="E34" s="79"/>
    </x:row>
    <x:row r="35" ht="19" customHeight="1">
      <x:c r="D35" s="78"/>
      <x:c r="E35" s="79"/>
    </x:row>
    <x:row r="36" ht="19" customHeight="1">
      <x:c r="D36" s="78"/>
      <x:c r="E36" s="79"/>
    </x:row>
    <x:row r="37" ht="19" customHeight="1">
      <x:c r="D37" s="78"/>
      <x:c r="E37" s="79"/>
    </x:row>
    <x:row r="38" ht="19" customHeight="1">
      <x:c r="D38" s="78"/>
      <x:c r="E38" s="79"/>
    </x:row>
    <x:row r="39" ht="19" customHeight="1">
      <x:c r="D39" s="78"/>
      <x:c r="E39" s="79"/>
    </x:row>
    <x:row r="40" ht="19" customHeight="1">
      <x:c r="D40" s="78"/>
      <x:c r="E40" s="79"/>
    </x:row>
    <x:row r="41" ht="19" customHeight="1">
      <x:c r="D41" s="78"/>
      <x:c r="E41" s="79"/>
    </x:row>
    <x:row r="42" ht="19" customHeight="1">
      <x:c r="D42" s="78"/>
      <x:c r="E42" s="79"/>
    </x:row>
    <x:row r="43" ht="19" customHeight="1">
      <x:c r="D43" s="78"/>
      <x:c r="E43" s="79"/>
    </x:row>
    <x:row r="44" ht="19" customHeight="1">
      <x:c r="D44" s="78"/>
      <x:c r="E44" s="79"/>
    </x:row>
    <x:row r="45" ht="19" customHeight="1">
      <x:c r="D45" s="78"/>
      <x:c r="E45" s="79"/>
    </x:row>
    <x:row r="46" ht="19" customHeight="1">
      <x:c r="D46" s="78"/>
      <x:c r="E46" s="79"/>
    </x:row>
    <x:row r="47" ht="19" customHeight="1">
      <x:c r="D47" s="78"/>
      <x:c r="E47" s="79"/>
    </x:row>
    <x:row r="48" ht="19" customHeight="1">
      <x:c r="D48" s="78"/>
      <x:c r="E48" s="79"/>
    </x:row>
    <x:row r="49" ht="19" customHeight="1">
      <x:c r="D49" s="78"/>
      <x:c r="E49" s="79"/>
    </x:row>
    <x:row r="50" ht="19" customHeight="1">
      <x:c r="D50" s="78"/>
      <x:c r="E50" s="79"/>
    </x:row>
    <x:row r="51" ht="19" customHeight="1">
      <x:c r="D51" s="78"/>
      <x:c r="E51" s="79"/>
    </x:row>
    <x:row r="52" ht="19" customHeight="1">
      <x:c r="D52" s="78"/>
      <x:c r="E52" s="79"/>
    </x:row>
    <x:row r="53" ht="19" customHeight="1">
      <x:c r="D53" s="78"/>
      <x:c r="E53" s="79"/>
    </x:row>
    <x:row r="54" ht="19" customHeight="1">
      <x:c r="D54" s="78"/>
      <x:c r="E54" s="79"/>
    </x:row>
    <x:row r="55" ht="19" customHeight="1">
      <x:c r="D55" s="78"/>
      <x:c r="E55" s="79"/>
    </x:row>
    <x:row r="56" ht="19" customHeight="1">
      <x:c r="D56" s="78"/>
      <x:c r="E56" s="79"/>
    </x:row>
    <x:row r="57" ht="19" customHeight="1">
      <x:c r="D57" s="78"/>
      <x:c r="E57" s="79"/>
    </x:row>
    <x:row r="58" ht="19" customHeight="1">
      <x:c r="D58" s="78"/>
      <x:c r="E58" s="79"/>
    </x:row>
    <x:row r="59" ht="19" customHeight="1">
      <x:c r="D59" s="78"/>
      <x:c r="E59" s="79"/>
    </x:row>
    <x:row r="60" ht="19" customHeight="1">
      <x:c r="D60" s="78"/>
      <x:c r="E60" s="79"/>
    </x:row>
    <x:row r="61" ht="19" customHeight="1">
      <x:c r="D61" s="78"/>
      <x:c r="E61" s="79"/>
    </x:row>
    <x:row r="62" ht="19" customHeight="1">
      <x:c r="D62" s="78"/>
      <x:c r="E62" s="79"/>
    </x:row>
    <x:row r="63" ht="19" customHeight="1">
      <x:c r="D63" s="78"/>
      <x:c r="E63" s="79"/>
    </x:row>
    <x:row r="64" ht="19" customHeight="1">
      <x:c r="D64" s="78"/>
      <x:c r="E64" s="79"/>
    </x:row>
    <x:row r="65" ht="19" customHeight="1">
      <x:c r="D65" s="78"/>
      <x:c r="E65" s="79"/>
    </x:row>
    <x:row r="66" ht="19" customHeight="1">
      <x:c r="D66" s="78"/>
      <x:c r="E66" s="79"/>
    </x:row>
    <x:row r="67" ht="19" customHeight="1">
      <x:c r="D67" s="78"/>
      <x:c r="E67" s="79"/>
    </x:row>
    <x:row r="68" ht="19" customHeight="1">
      <x:c r="D68" s="78"/>
      <x:c r="E68" s="79"/>
    </x:row>
    <x:row r="69" ht="19" customHeight="1">
      <x:c r="D69" s="78"/>
      <x:c r="E69" s="79"/>
    </x:row>
    <x:row r="70" ht="19" customHeight="1">
      <x:c r="D70" s="78"/>
      <x:c r="E70" s="79"/>
    </x:row>
    <x:row r="71" ht="19" customHeight="1">
      <x:c r="D71" s="78"/>
      <x:c r="E71" s="79"/>
    </x:row>
    <x:row r="72" ht="19" customHeight="1">
      <x:c r="D72" s="78"/>
      <x:c r="E72" s="79"/>
    </x:row>
    <x:row r="73" ht="19" customHeight="1">
      <x:c r="D73" s="78"/>
      <x:c r="E73" s="79"/>
    </x:row>
    <x:row r="74" ht="19" customHeight="1">
      <x:c r="D74" s="78"/>
      <x:c r="E74" s="79"/>
    </x:row>
    <x:row r="75" ht="19" customHeight="1">
      <x:c r="D75" s="78"/>
      <x:c r="E75" s="79"/>
    </x:row>
    <x:row r="76" ht="19" customHeight="1">
      <x:c r="D76" s="78"/>
      <x:c r="E76" s="79"/>
    </x:row>
    <x:row r="77" ht="19" customHeight="1">
      <x:c r="D77" s="78"/>
      <x:c r="E77" s="79"/>
    </x:row>
    <x:row r="78" ht="19" customHeight="1">
      <x:c r="D78" s="78"/>
      <x:c r="E78" s="79"/>
    </x:row>
    <x:row r="79" ht="19" customHeight="1">
      <x:c r="D79" s="78"/>
      <x:c r="E79" s="79"/>
    </x:row>
    <x:row r="80" ht="19" customHeight="1">
      <x:c r="D80" s="78"/>
      <x:c r="E80" s="79"/>
    </x:row>
    <x:row r="81" ht="19" customHeight="1">
      <x:c r="D81" s="78"/>
      <x:c r="E81" s="79"/>
    </x:row>
    <x:row r="82" ht="19" customHeight="1">
      <x:c r="D82" s="78"/>
      <x:c r="E82" s="79"/>
    </x:row>
    <x:row r="83" ht="19" customHeight="1">
      <x:c r="D83" s="78"/>
      <x:c r="E83" s="79"/>
    </x:row>
    <x:row r="84" ht="19" customHeight="1">
      <x:c r="D84" s="78"/>
      <x:c r="E84" s="79"/>
    </x:row>
    <x:row r="85" ht="19" customHeight="1">
      <x:c r="D85" s="78"/>
      <x:c r="E85" s="79"/>
    </x:row>
    <x:row r="86" ht="19" customHeight="1">
      <x:c r="D86" s="78"/>
      <x:c r="E86" s="79"/>
    </x:row>
    <x:row r="87" ht="19" customHeight="1">
      <x:c r="D87" s="78"/>
      <x:c r="E87" s="79"/>
    </x:row>
    <x:row r="88" ht="19" customHeight="1">
      <x:c r="D88" s="78"/>
      <x:c r="E88" s="79"/>
    </x:row>
    <x:row r="89" ht="19" customHeight="1">
      <x:c r="D89" s="78"/>
      <x:c r="E89" s="79"/>
    </x:row>
    <x:row r="90" ht="19" customHeight="1">
      <x:c r="D90" s="78"/>
      <x:c r="E90" s="79"/>
    </x:row>
    <x:row r="91" ht="19" customHeight="1">
      <x:c r="D91" s="78"/>
      <x:c r="E91" s="79"/>
    </x:row>
    <x:row r="92" ht="19" customHeight="1">
      <x:c r="D92" s="78"/>
      <x:c r="E92" s="79"/>
    </x:row>
    <x:row r="93" ht="19" customHeight="1">
      <x:c r="D93" s="78"/>
      <x:c r="E93" s="79"/>
    </x:row>
    <x:row r="94" ht="19" customHeight="1">
      <x:c r="D94" s="78"/>
      <x:c r="E94" s="79"/>
    </x:row>
    <x:row r="95" ht="19" customHeight="1">
      <x:c r="D95" s="78"/>
      <x:c r="E95" s="79"/>
    </x:row>
    <x:row r="96" ht="19" customHeight="1">
      <x:c r="D96" s="78"/>
      <x:c r="E96" s="79"/>
    </x:row>
    <x:row r="97" ht="19" customHeight="1">
      <x:c r="D97" s="78"/>
      <x:c r="E97" s="79"/>
    </x:row>
    <x:row r="98" ht="19" customHeight="1">
      <x:c r="D98" s="78"/>
      <x:c r="E98" s="79"/>
    </x:row>
    <x:row r="99" ht="19" customHeight="1">
      <x:c r="D99" s="78"/>
      <x:c r="E99" s="79"/>
    </x:row>
    <x:row r="100" ht="19" customHeight="1">
      <x:c r="D100" s="78"/>
      <x:c r="E100" s="79"/>
    </x:row>
    <x:row r="101" ht="19" customHeight="1">
      <x:c r="D101" s="78"/>
      <x:c r="E101" s="79"/>
    </x:row>
    <x:row r="102" ht="19" customHeight="1">
      <x:c r="D102" s="78"/>
      <x:c r="E102" s="79"/>
    </x:row>
    <x:row r="103" ht="19" customHeight="1">
      <x:c r="D103" s="78"/>
      <x:c r="E103" s="79"/>
    </x:row>
    <x:row r="104" ht="19" customHeight="1">
      <x:c r="D104" s="78"/>
      <x:c r="E104" s="79"/>
    </x:row>
    <x:row r="105" ht="19" customHeight="1">
      <x:c r="D105" s="78"/>
      <x:c r="E105" s="79"/>
    </x:row>
    <x:row r="106" ht="19" customHeight="1">
      <x:c r="D106" s="78"/>
      <x:c r="E106" s="79"/>
    </x:row>
    <x:row r="107" ht="19" customHeight="1">
      <x:c r="D107" s="78"/>
      <x:c r="E107" s="79"/>
    </x:row>
    <x:row r="108" ht="19" customHeight="1">
      <x:c r="D108" s="78"/>
      <x:c r="E108" s="79"/>
    </x:row>
    <x:row r="109" ht="19" customHeight="1">
      <x:c r="D109" s="78"/>
      <x:c r="E109" s="79"/>
    </x:row>
    <x:row r="110" ht="19" customHeight="1">
      <x:c r="D110" s="78"/>
      <x:c r="E110" s="79"/>
    </x:row>
    <x:row r="111" ht="19" customHeight="1">
      <x:c r="D111" s="78"/>
      <x:c r="E111" s="79"/>
    </x:row>
    <x:row r="112" ht="19" customHeight="1">
      <x:c r="D112" s="78"/>
      <x:c r="E112" s="79"/>
    </x:row>
    <x:row r="113" ht="19" customHeight="1">
      <x:c r="D113" s="78"/>
      <x:c r="E113" s="79"/>
    </x:row>
    <x:row r="114" ht="19" customHeight="1">
      <x:c r="D114" s="78"/>
      <x:c r="E114" s="79"/>
    </x:row>
    <x:row r="115" ht="19" customHeight="1">
      <x:c r="D115" s="78"/>
      <x:c r="E115" s="79"/>
    </x:row>
    <x:row r="116" ht="19" customHeight="1">
      <x:c r="D116" s="78"/>
      <x:c r="E116" s="79"/>
    </x:row>
    <x:row r="117" ht="19" customHeight="1">
      <x:c r="D117" s="78"/>
      <x:c r="E117" s="79"/>
    </x:row>
    <x:row r="118" ht="19" customHeight="1">
      <x:c r="D118" s="78"/>
      <x:c r="E118" s="79"/>
    </x:row>
    <x:row r="119" ht="19" customHeight="1">
      <x:c r="D119" s="78"/>
      <x:c r="E119" s="79"/>
    </x:row>
    <x:row r="120" ht="19" customHeight="1">
      <x:c r="D120" s="78"/>
      <x:c r="E120" s="79"/>
    </x:row>
    <x:row r="121" ht="19" customHeight="1">
      <x:c r="D121" s="78"/>
      <x:c r="E121" s="79"/>
    </x:row>
    <x:row r="122" ht="19" customHeight="1">
      <x:c r="D122" s="78"/>
      <x:c r="E122" s="79"/>
    </x:row>
    <x:row r="123" ht="19" customHeight="1">
      <x:c r="D123" s="78"/>
      <x:c r="E123" s="79"/>
    </x:row>
    <x:row r="124" ht="19" customHeight="1">
      <x:c r="D124" s="78"/>
      <x:c r="E124" s="79"/>
    </x:row>
    <x:row r="125" ht="19" customHeight="1">
      <x:c r="D125" s="78"/>
      <x:c r="E125" s="79"/>
    </x:row>
    <x:row r="126" ht="19" customHeight="1">
      <x:c r="D126" s="78"/>
      <x:c r="E126" s="79"/>
    </x:row>
    <x:row r="127" ht="19" customHeight="1">
      <x:c r="D127" s="78"/>
      <x:c r="E127" s="79"/>
    </x:row>
    <x:row r="128" ht="19" customHeight="1">
      <x:c r="D128" s="78"/>
      <x:c r="E128" s="79"/>
    </x:row>
    <x:row r="129" ht="19" customHeight="1">
      <x:c r="D129" s="78"/>
      <x:c r="E129" s="79"/>
    </x:row>
    <x:row r="130" ht="19" customHeight="1">
      <x:c r="D130" s="78"/>
      <x:c r="E130" s="79"/>
    </x:row>
    <x:row r="131" ht="19" customHeight="1">
      <x:c r="D131" s="78"/>
      <x:c r="E131" s="79"/>
    </x:row>
    <x:row r="132" ht="19" customHeight="1">
      <x:c r="D132" s="78"/>
      <x:c r="E132" s="79"/>
    </x:row>
    <x:row r="133" ht="19" customHeight="1">
      <x:c r="D133" s="78"/>
      <x:c r="E133" s="79"/>
    </x:row>
    <x:row r="134" ht="19" customHeight="1">
      <x:c r="D134" s="78"/>
      <x:c r="E134" s="79"/>
    </x:row>
    <x:row r="135" ht="19" customHeight="1">
      <x:c r="D135" s="78"/>
      <x:c r="E135" s="79"/>
    </x:row>
    <x:row r="136" ht="19" customHeight="1">
      <x:c r="D136" s="78"/>
      <x:c r="E136" s="79"/>
    </x:row>
    <x:row r="137" ht="19" customHeight="1">
      <x:c r="D137" s="78"/>
      <x:c r="E137" s="79"/>
    </x:row>
    <x:row r="138" ht="19" customHeight="1">
      <x:c r="D138" s="78"/>
      <x:c r="E138" s="79"/>
    </x:row>
    <x:row r="139" ht="19" customHeight="1">
      <x:c r="D139" s="78"/>
      <x:c r="E139" s="79"/>
    </x:row>
    <x:row r="140" ht="19" customHeight="1">
      <x:c r="D140" s="78"/>
      <x:c r="E140" s="79"/>
    </x:row>
    <x:row r="141" ht="19" customHeight="1">
      <x:c r="D141" s="78"/>
      <x:c r="E141" s="79"/>
    </x:row>
    <x:row r="142" ht="19" customHeight="1">
      <x:c r="D142" s="78"/>
      <x:c r="E142" s="79"/>
    </x:row>
    <x:row r="143" ht="19" customHeight="1">
      <x:c r="D143" s="78"/>
      <x:c r="E143" s="79"/>
    </x:row>
    <x:row r="144" ht="19" customHeight="1">
      <x:c r="D144" s="78"/>
      <x:c r="E144" s="79"/>
    </x:row>
    <x:row r="145" ht="19" customHeight="1">
      <x:c r="D145" s="78"/>
      <x:c r="E145" s="79"/>
    </x:row>
    <x:row r="146" ht="19" customHeight="1">
      <x:c r="D146" s="78"/>
      <x:c r="E146" s="79"/>
    </x:row>
    <x:row r="147" ht="19" customHeight="1">
      <x:c r="D147" s="78"/>
      <x:c r="E147" s="79"/>
    </x:row>
    <x:row r="148" ht="19" customHeight="1">
      <x:c r="D148" s="78"/>
      <x:c r="E148" s="79"/>
    </x:row>
    <x:row r="149" ht="19" customHeight="1">
      <x:c r="D149" s="78"/>
      <x:c r="E149" s="79"/>
    </x:row>
    <x:row r="150" ht="19" customHeight="1">
      <x:c r="D150" s="78"/>
      <x:c r="E150" s="79"/>
    </x:row>
    <x:row r="151" ht="19" customHeight="1">
      <x:c r="D151" s="78"/>
      <x:c r="E151" s="79"/>
    </x:row>
    <x:row r="152" ht="19" customHeight="1">
      <x:c r="D152" s="78"/>
      <x:c r="E152" s="79"/>
    </x:row>
    <x:row r="153" ht="19" customHeight="1">
      <x:c r="D153" s="78"/>
      <x:c r="E153" s="79"/>
    </x:row>
    <x:row r="154" ht="19" customHeight="1">
      <x:c r="D154" s="78"/>
      <x:c r="E154" s="79"/>
    </x:row>
    <x:row r="155" ht="19" customHeight="1">
      <x:c r="D155" s="78"/>
      <x:c r="E155" s="79"/>
    </x:row>
    <x:row r="156" ht="19" customHeight="1">
      <x:c r="D156" s="78"/>
      <x:c r="E156" s="79"/>
    </x:row>
    <x:row r="157" ht="19" customHeight="1">
      <x:c r="D157" s="78"/>
      <x:c r="E157" s="79"/>
    </x:row>
    <x:row r="158" ht="19" customHeight="1">
      <x:c r="D158" s="78"/>
      <x:c r="E158" s="79"/>
    </x:row>
    <x:row r="159" ht="19" customHeight="1">
      <x:c r="D159" s="78"/>
      <x:c r="E159" s="79"/>
    </x:row>
    <x:row r="160" ht="19" customHeight="1">
      <x:c r="D160" s="78"/>
      <x:c r="E160" s="79"/>
    </x:row>
    <x:row r="161" ht="19" customHeight="1">
      <x:c r="D161" s="78"/>
      <x:c r="E161" s="79"/>
    </x:row>
    <x:row r="162" ht="19" customHeight="1">
      <x:c r="D162" s="78"/>
      <x:c r="E162" s="79"/>
    </x:row>
    <x:row r="163" ht="19" customHeight="1">
      <x:c r="D163" s="78"/>
      <x:c r="E163" s="79"/>
    </x:row>
    <x:row r="164" ht="19" customHeight="1">
      <x:c r="D164" s="78"/>
      <x:c r="E164" s="79"/>
    </x:row>
    <x:row r="165" ht="19" customHeight="1">
      <x:c r="D165" s="78"/>
      <x:c r="E165" s="79"/>
    </x:row>
    <x:row r="166" ht="19" customHeight="1">
      <x:c r="D166" s="78"/>
      <x:c r="E166" s="79"/>
    </x:row>
    <x:row r="167" ht="19" customHeight="1">
      <x:c r="D167" s="78"/>
      <x:c r="E167" s="79"/>
    </x:row>
    <x:row r="168" ht="19" customHeight="1">
      <x:c r="D168" s="78"/>
      <x:c r="E168" s="79"/>
    </x:row>
    <x:row r="169" ht="19" customHeight="1">
      <x:c r="D169" s="78"/>
      <x:c r="E169" s="79"/>
    </x:row>
    <x:row r="170" ht="19" customHeight="1">
      <x:c r="D170" s="78"/>
      <x:c r="E170" s="79"/>
    </x:row>
    <x:row r="171" ht="19" customHeight="1">
      <x:c r="D171" s="78"/>
      <x:c r="E171" s="79"/>
    </x:row>
    <x:row r="172" ht="19" customHeight="1">
      <x:c r="D172" s="78"/>
      <x:c r="E172" s="79"/>
    </x:row>
    <x:row r="173" ht="19" customHeight="1">
      <x:c r="D173" s="78"/>
      <x:c r="E173" s="79"/>
    </x:row>
    <x:row r="174" ht="19" customHeight="1">
      <x:c r="D174" s="78"/>
      <x:c r="E174" s="79"/>
    </x:row>
    <x:row r="175" ht="19" customHeight="1">
      <x:c r="D175" s="78"/>
      <x:c r="E175" s="79"/>
    </x:row>
    <x:row r="176" ht="19" customHeight="1">
      <x:c r="D176" s="78"/>
      <x:c r="E176" s="79"/>
    </x:row>
    <x:row r="177" ht="19" customHeight="1">
      <x:c r="D177" s="78"/>
      <x:c r="E177" s="79"/>
    </x:row>
    <x:row r="178" ht="19" customHeight="1">
      <x:c r="D178" s="78"/>
      <x:c r="E178" s="79"/>
    </x:row>
    <x:row r="179" ht="19" customHeight="1">
      <x:c r="D179" s="78"/>
      <x:c r="E179" s="79"/>
    </x:row>
    <x:row r="180" ht="19" customHeight="1">
      <x:c r="D180" s="78"/>
      <x:c r="E180" s="79"/>
    </x:row>
    <x:row r="181" ht="19" customHeight="1">
      <x:c r="D181" s="78"/>
      <x:c r="E181" s="79"/>
    </x:row>
    <x:row r="182" ht="19" customHeight="1">
      <x:c r="D182" s="78"/>
      <x:c r="E182" s="79"/>
    </x:row>
    <x:row r="183" ht="19" customHeight="1">
      <x:c r="D183" s="78"/>
      <x:c r="E183" s="79"/>
    </x:row>
    <x:row r="184" ht="19" customHeight="1">
      <x:c r="D184" s="78"/>
      <x:c r="E184" s="79"/>
    </x:row>
    <x:row r="185" ht="19" customHeight="1">
      <x:c r="D185" s="78"/>
      <x:c r="E185" s="79"/>
    </x:row>
    <x:row r="186" ht="19" customHeight="1">
      <x:c r="D186" s="78"/>
      <x:c r="E186" s="79"/>
    </x:row>
    <x:row r="187" ht="19" customHeight="1">
      <x:c r="D187" s="78"/>
      <x:c r="E187" s="79"/>
    </x:row>
    <x:row r="188" ht="19" customHeight="1">
      <x:c r="D188" s="78"/>
      <x:c r="E188" s="79"/>
    </x:row>
    <x:row r="189" ht="19" customHeight="1">
      <x:c r="D189" s="78"/>
      <x:c r="E189" s="79"/>
    </x:row>
    <x:row r="190" ht="19" customHeight="1">
      <x:c r="D190" s="78"/>
      <x:c r="E190" s="79"/>
    </x:row>
    <x:row r="191" ht="19" customHeight="1">
      <x:c r="D191" s="78"/>
      <x:c r="E191" s="79"/>
    </x:row>
    <x:row r="192" ht="19" customHeight="1">
      <x:c r="D192" s="78"/>
      <x:c r="E192" s="79"/>
    </x:row>
    <x:row r="193" ht="19" customHeight="1">
      <x:c r="D193" s="78"/>
      <x:c r="E193" s="79"/>
    </x:row>
    <x:row r="194" ht="19" customHeight="1">
      <x:c r="D194" s="78"/>
      <x:c r="E194" s="79"/>
    </x:row>
    <x:row r="195" ht="19" customHeight="1">
      <x:c r="D195" s="78"/>
      <x:c r="E195" s="79"/>
    </x:row>
    <x:row r="196" ht="19" customHeight="1">
      <x:c r="D196" s="78"/>
      <x:c r="E196" s="79"/>
    </x:row>
    <x:row r="197" ht="19" customHeight="1">
      <x:c r="D197" s="78"/>
      <x:c r="E197" s="79"/>
    </x:row>
    <x:row r="198" ht="19" customHeight="1">
      <x:c r="D198" s="78"/>
      <x:c r="E198" s="79"/>
    </x:row>
    <x:row r="199" ht="19" customHeight="1">
      <x:c r="D199" s="78"/>
      <x:c r="E199" s="79"/>
    </x:row>
    <x:row r="200" ht="19" customHeight="1">
      <x:c r="D200" s="78"/>
      <x:c r="E200" s="7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3" max="3" width="20" hidden="0" customWidth="1"/>
    <x:col min="7" max="7" width="8" hidden="0" customWidth="1"/>
    <x:col min="11" max="11" width="8" hidden="0" customWidth="1"/>
    <x:col min="15" max="15" width="8" hidden="0" customWidth="1"/>
    <x:col min="19" max="19" width="8" hidden="0" customWidth="1"/>
    <x:col min="2" max="2" width="25" hidden="0" customWidth="1"/>
    <x:col min="6" max="6" width="8" hidden="0" customWidth="1"/>
    <x:col min="10" max="10" width="8" hidden="0" customWidth="1"/>
    <x:col min="14" max="14" width="8" hidden="0" customWidth="1"/>
    <x:col min="18" max="18" width="8" hidden="0" customWidth="1"/>
    <x:col min="1" max="1" width="11" hidden="0" customWidth="1"/>
    <x:col min="5" max="5" width="8" hidden="0" customWidth="1"/>
    <x:col min="9" max="9" width="8" hidden="0" customWidth="1"/>
    <x:col min="13" max="13" width="8" hidden="0" customWidth="1"/>
    <x:col min="17" max="17" width="8" hidden="0" customWidth="1"/>
    <x:col min="4" max="4" width="40" hidden="0" customWidth="1"/>
    <x:col min="8" max="8" width="8" hidden="0" customWidth="1"/>
    <x:col min="12" max="12" width="8" hidden="0" customWidth="1"/>
    <x:col min="16" max="16" width="8" hidden="0" customWidth="1"/>
    <x:col min="20" max="20" width="8" hidden="0" customWidth="1"/>
  </x:cols>
  <x:sheetData>
    <x:row r="1">
      <x:c r="A1" s="80" t="s">
        <x:v>222</x:v>
      </x:c>
      <x:c r="B1" s="80" t="s">
        <x:v>223</x:v>
      </x:c>
      <x:c r="C1" s="80" t="s">
        <x:v>224</x:v>
      </x:c>
      <x:c r="D1" s="80" t="s">
        <x:v>225</x:v>
      </x:c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</x:row>
    <x:row r="2">
      <x:c r="A2" s="82" t="s">
        <x:v>226</x:v>
      </x:c>
      <x:c r="B2" s="83" t="s">
        <x:v>227</x:v>
      </x:c>
      <x:c r="C2" s="82" t="s">
        <x:v>228</x:v>
      </x:c>
      <x:c r="D2" s="83" t="s">
        <x:v>229</x:v>
      </x:c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</x:row>
    <x:row r="3">
      <x:c r="A3" s="82" t="s">
        <x:v>228</x:v>
      </x:c>
      <x:c r="B3" s="83" t="s">
        <x:v>230</x:v>
      </x:c>
      <x:c r="C3" s="82" t="s">
        <x:v>231</x:v>
      </x:c>
      <x:c r="D3" s="83" t="s">
        <x:v>229</x:v>
      </x:c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</x:row>
    <x:row r="4">
      <x:c r="A4" s="82" t="s">
        <x:v>231</x:v>
      </x:c>
      <x:c r="B4" s="83" t="s">
        <x:v>232</x:v>
      </x:c>
      <x:c r="C4" s="82" t="s">
        <x:v>233</x:v>
      </x:c>
      <x:c r="D4" s="83" t="s">
        <x:v>234</x:v>
      </x:c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</x:row>
    <x:row r="5">
      <x:c r="A5" s="82" t="s">
        <x:v>235</x:v>
      </x:c>
      <x:c r="B5" s="83" t="s">
        <x:v>236</x:v>
      </x:c>
      <x:c r="C5" s="82" t="s">
        <x:v>237</x:v>
      </x:c>
      <x:c r="D5" s="83" t="s">
        <x:v>238</x:v>
      </x:c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</x:row>
    <x:row r="6">
      <x:c r="A6" s="82" t="s">
        <x:v>239</x:v>
      </x:c>
      <x:c r="B6" s="83" t="s">
        <x:v>240</x:v>
      </x:c>
      <x:c r="C6" s="82" t="s">
        <x:v>241</x:v>
      </x:c>
      <x:c r="D6" s="83" t="s">
        <x:v>238</x:v>
      </x:c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</x:row>
    <x:row r="7">
      <x:c r="A7" s="82" t="s">
        <x:v>242</x:v>
      </x:c>
      <x:c r="B7" s="83" t="s">
        <x:v>243</x:v>
      </x:c>
      <x:c r="C7" s="82" t="s">
        <x:v>244</x:v>
      </x:c>
      <x:c r="D7" s="83" t="s">
        <x:v>238</x:v>
      </x:c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</x:row>
    <x:row r="8">
      <x:c r="A8" s="82" t="s">
        <x:v>244</x:v>
      </x:c>
      <x:c r="B8" s="83" t="s">
        <x:v>245</x:v>
      </x:c>
      <x:c r="C8" s="82" t="s">
        <x:v>242</x:v>
      </x:c>
      <x:c r="D8" s="83" t="s">
        <x:v>238</x:v>
      </x:c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</x:row>
    <x:row r="9">
      <x:c r="A9" s="82" t="s">
        <x:v>246</x:v>
      </x:c>
      <x:c r="B9" s="83" t="s">
        <x:v>247</x:v>
      </x:c>
      <x:c r="C9" s="82" t="s">
        <x:v>248</x:v>
      </x:c>
      <x:c r="D9" s="83" t="s">
        <x:v>238</x:v>
      </x:c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</x:row>
    <x:row r="10">
      <x:c r="A10" s="82" t="s">
        <x:v>249</x:v>
      </x:c>
      <x:c r="B10" s="83" t="s">
        <x:v>250</x:v>
      </x:c>
      <x:c r="C10" s="82" t="s">
        <x:v>244</x:v>
      </x:c>
      <x:c r="D10" s="83" t="s">
        <x:v>251</x:v>
      </x:c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</x:row>
    <x:row r="11">
      <x:c r="A11" s="82" t="s">
        <x:v>252</x:v>
      </x:c>
      <x:c r="B11" s="83" t="s">
        <x:v>253</x:v>
      </x:c>
      <x:c r="C11" s="82" t="s">
        <x:v>231</x:v>
      </x:c>
      <x:c r="D11" s="83" t="s">
        <x:v>251</x:v>
      </x:c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</x:row>
    <x:row r="12">
      <x:c r="A12" s="82" t="s">
        <x:v>254</x:v>
      </x:c>
      <x:c r="B12" s="83" t="s">
        <x:v>255</x:v>
      </x:c>
      <x:c r="C12" s="82" t="s">
        <x:v>231</x:v>
      </x:c>
      <x:c r="D12" s="83" t="s">
        <x:v>251</x:v>
      </x:c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</x:row>
    <x:row r="13">
      <x:c r="A13" s="82" t="s">
        <x:v>256</x:v>
      </x:c>
      <x:c r="B13" s="83" t="s">
        <x:v>257</x:v>
      </x:c>
      <x:c r="C13" s="82" t="s">
        <x:v>242</x:v>
      </x:c>
      <x:c r="D13" s="83" t="s">
        <x:v>251</x:v>
      </x:c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</x:row>
    <x:row r="14">
      <x:c r="A14" s="82" t="s">
        <x:v>258</x:v>
      </x:c>
      <x:c r="B14" s="83" t="s">
        <x:v>259</x:v>
      </x:c>
      <x:c r="C14" s="82" t="s">
        <x:v>252</x:v>
      </x:c>
      <x:c r="D14" s="83" t="s">
        <x:v>251</x:v>
      </x:c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</x:row>
    <x:row r="15">
      <x:c r="A15" s="82" t="s">
        <x:v>260</x:v>
      </x:c>
      <x:c r="B15" s="83" t="s">
        <x:v>261</x:v>
      </x:c>
      <x:c r="C15" s="82" t="s">
        <x:v>252</x:v>
      </x:c>
      <x:c r="D15" s="83" t="s">
        <x:v>251</x:v>
      </x:c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</x:row>
    <x:row r="16">
      <x:c r="A16" s="82" t="s">
        <x:v>262</x:v>
      </x:c>
      <x:c r="B16" s="83" t="s">
        <x:v>263</x:v>
      </x:c>
      <x:c r="C16" s="82" t="s">
        <x:v>228</x:v>
      </x:c>
      <x:c r="D16" s="83" t="s">
        <x:v>251</x:v>
      </x:c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</x:row>
    <x:row r="17">
      <x:c r="A17" s="82" t="s">
        <x:v>264</x:v>
      </x:c>
      <x:c r="B17" s="83" t="s">
        <x:v>265</x:v>
      </x:c>
      <x:c r="C17" s="82" t="s">
        <x:v>239</x:v>
      </x:c>
      <x:c r="D17" s="83" t="s">
        <x:v>234</x:v>
      </x:c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</x:row>
    <x:row r="18">
      <x:c r="A18" s="82" t="s">
        <x:v>266</x:v>
      </x:c>
      <x:c r="B18" s="83" t="s">
        <x:v>267</x:v>
      </x:c>
      <x:c r="C18" s="82" t="s">
        <x:v>239</x:v>
      </x:c>
      <x:c r="D18" s="83" t="s">
        <x:v>251</x:v>
      </x:c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</x:row>
    <x:row r="19">
      <x:c r="A19" s="82" t="s">
        <x:v>268</x:v>
      </x:c>
      <x:c r="B19" s="83" t="s">
        <x:v>269</x:v>
      </x:c>
      <x:c r="C19" s="82" t="s">
        <x:v>268</x:v>
      </x:c>
      <x:c r="D19" s="83" t="s">
        <x:v>251</x:v>
      </x:c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</x:row>
    <x:row r="20">
      <x:c r="A20" s="82" t="s">
        <x:v>270</x:v>
      </x:c>
      <x:c r="B20" s="83" t="s">
        <x:v>271</x:v>
      </x:c>
      <x:c r="C20" s="82" t="s">
        <x:v>249</x:v>
      </x:c>
      <x:c r="D20" s="83" t="s">
        <x:v>251</x:v>
      </x:c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</x:row>
    <x:row r="21">
      <x:c r="A21" s="82" t="s">
        <x:v>272</x:v>
      </x:c>
      <x:c r="B21" s="83" t="s">
        <x:v>273</x:v>
      </x:c>
      <x:c r="C21" s="82" t="s">
        <x:v>231</x:v>
      </x:c>
      <x:c r="D21" s="83" t="s">
        <x:v>251</x:v>
      </x:c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</x:row>
    <x:row r="22">
      <x:c r="A22" s="82" t="s">
        <x:v>274</x:v>
      </x:c>
      <x:c r="B22" s="83" t="s">
        <x:v>275</x:v>
      </x:c>
      <x:c r="C22" s="82" t="s">
        <x:v>239</x:v>
      </x:c>
      <x:c r="D22" s="83" t="s">
        <x:v>234</x:v>
      </x:c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</x:row>
    <x:row r="23">
      <x:c r="A23" s="82" t="s">
        <x:v>276</x:v>
      </x:c>
      <x:c r="B23" s="83" t="s">
        <x:v>277</x:v>
      </x:c>
      <x:c r="C23" s="82" t="s">
        <x:v>228</x:v>
      </x:c>
      <x:c r="D23" s="83" t="s">
        <x:v>278</x:v>
      </x:c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</x:row>
    <x:row r="24">
      <x:c r="A24" s="82" t="s">
        <x:v>279</x:v>
      </x:c>
      <x:c r="B24" s="83" t="s">
        <x:v>280</x:v>
      </x:c>
      <x:c r="C24" s="82" t="s">
        <x:v>228</x:v>
      </x:c>
      <x:c r="D24" s="83" t="s">
        <x:v>281</x:v>
      </x:c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</x:row>
    <x:row r="25">
      <x:c r="A25" s="82" t="s">
        <x:v>282</x:v>
      </x:c>
      <x:c r="B25" s="83" t="s">
        <x:v>283</x:v>
      </x:c>
      <x:c r="C25" s="82" t="s">
        <x:v>228</x:v>
      </x:c>
      <x:c r="D25" s="83" t="s">
        <x:v>281</x:v>
      </x:c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</x:row>
    <x:row r="26">
      <x:c r="A26" s="82" t="s">
        <x:v>284</x:v>
      </x:c>
      <x:c r="B26" s="83" t="s">
        <x:v>285</x:v>
      </x:c>
      <x:c r="C26" s="82" t="s">
        <x:v>239</x:v>
      </x:c>
      <x:c r="D26" s="83" t="s">
        <x:v>286</x:v>
      </x:c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</x:row>
    <x:row r="27">
      <x:c r="A27" s="82" t="s">
        <x:v>287</x:v>
      </x:c>
      <x:c r="B27" s="83" t="s">
        <x:v>288</x:v>
      </x:c>
      <x:c r="C27" s="82" t="s">
        <x:v>256</x:v>
      </x:c>
      <x:c r="D27" s="83" t="s">
        <x:v>234</x:v>
      </x:c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</x:row>
    <x:row r="28">
      <x:c r="A28" s="82" t="s">
        <x:v>289</x:v>
      </x:c>
      <x:c r="B28" s="83" t="s">
        <x:v>290</x:v>
      </x:c>
      <x:c r="C28" s="82" t="s">
        <x:v>228</x:v>
      </x:c>
      <x:c r="D28" s="83" t="s">
        <x:v>278</x:v>
      </x:c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</x:row>
    <x:row r="29">
      <x:c r="A29" s="82" t="s">
        <x:v>291</x:v>
      </x:c>
      <x:c r="B29" s="83" t="s">
        <x:v>292</x:v>
      </x:c>
      <x:c r="C29" s="82" t="s">
        <x:v>293</x:v>
      </x:c>
      <x:c r="D29" s="83" t="s">
        <x:v>278</x:v>
      </x:c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</x:row>
    <x:row r="30">
      <x:c r="A30" s="82" t="s">
        <x:v>294</x:v>
      </x:c>
      <x:c r="B30" s="83" t="s">
        <x:v>295</x:v>
      </x:c>
      <x:c r="C30" s="82" t="s">
        <x:v>293</x:v>
      </x:c>
      <x:c r="D30" s="83" t="s">
        <x:v>278</x:v>
      </x:c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</x:row>
    <x:row r="31">
      <x:c r="A31" s="82" t="s">
        <x:v>296</x:v>
      </x:c>
      <x:c r="B31" s="83" t="s">
        <x:v>297</x:v>
      </x:c>
      <x:c r="C31" s="82" t="s">
        <x:v>298</x:v>
      </x:c>
      <x:c r="D31" s="83" t="s">
        <x:v>299</x:v>
      </x:c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</x:row>
    <x:row r="32">
      <x:c r="A32" s="82" t="s">
        <x:v>293</x:v>
      </x:c>
      <x:c r="B32" s="83" t="s">
        <x:v>300</x:v>
      </x:c>
      <x:c r="C32" s="82" t="s">
        <x:v>298</x:v>
      </x:c>
      <x:c r="D32" s="83" t="s">
        <x:v>299</x:v>
      </x:c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</x:row>
    <x:row r="33">
      <x:c r="A33" s="82" t="s">
        <x:v>301</x:v>
      </x:c>
      <x:c r="B33" s="83" t="s">
        <x:v>302</x:v>
      </x:c>
      <x:c r="C33" s="82" t="s">
        <x:v>298</x:v>
      </x:c>
      <x:c r="D33" s="83" t="s">
        <x:v>299</x:v>
      </x:c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</x:row>
    <x:row r="34">
      <x:c r="A34" s="82" t="s">
        <x:v>298</x:v>
      </x:c>
      <x:c r="B34" s="83" t="s">
        <x:v>303</x:v>
      </x:c>
      <x:c r="C34" s="82" t="s">
        <x:v>298</x:v>
      </x:c>
      <x:c r="D34" s="83" t="s">
        <x:v>299</x:v>
      </x:c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</x:row>
    <x:row r="35">
      <x:c r="A35" s="82" t="s">
        <x:v>304</x:v>
      </x:c>
      <x:c r="B35" s="83" t="s">
        <x:v>305</x:v>
      </x:c>
      <x:c r="C35" s="82" t="s">
        <x:v>298</x:v>
      </x:c>
      <x:c r="D35" s="83" t="s">
        <x:v>299</x:v>
      </x:c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</x:row>
    <x:row r="36">
      <x:c r="A36" s="82" t="s">
        <x:v>306</x:v>
      </x:c>
      <x:c r="B36" s="83" t="s">
        <x:v>307</x:v>
      </x:c>
      <x:c r="C36" s="82" t="s">
        <x:v>298</x:v>
      </x:c>
      <x:c r="D36" s="83" t="s">
        <x:v>299</x:v>
      </x:c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</x:row>
    <x:row r="37">
      <x:c r="A37" s="82" t="s">
        <x:v>308</x:v>
      </x:c>
      <x:c r="B37" s="83" t="s">
        <x:v>309</x:v>
      </x:c>
      <x:c r="C37" s="82" t="s">
        <x:v>298</x:v>
      </x:c>
      <x:c r="D37" s="83" t="s">
        <x:v>299</x:v>
      </x:c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</x:row>
    <x:row r="38">
      <x:c r="A38" s="82" t="s">
        <x:v>310</x:v>
      </x:c>
      <x:c r="B38" s="83" t="s">
        <x:v>311</x:v>
      </x:c>
      <x:c r="C38" s="82" t="s">
        <x:v>298</x:v>
      </x:c>
      <x:c r="D38" s="83" t="s">
        <x:v>299</x:v>
      </x:c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</x:row>
    <x:row r="39">
      <x:c r="A39" s="82" t="s">
        <x:v>312</x:v>
      </x:c>
      <x:c r="B39" s="83" t="s">
        <x:v>313</x:v>
      </x:c>
      <x:c r="C39" s="82" t="s">
        <x:v>298</x:v>
      </x:c>
      <x:c r="D39" s="83" t="s">
        <x:v>299</x:v>
      </x:c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</x:row>
    <x:row r="40">
      <x:c r="A40" s="82" t="s">
        <x:v>314</x:v>
      </x:c>
      <x:c r="B40" s="83" t="s">
        <x:v>315</x:v>
      </x:c>
      <x:c r="C40" s="82" t="s">
        <x:v>298</x:v>
      </x:c>
      <x:c r="D40" s="83" t="s">
        <x:v>299</x:v>
      </x:c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</x:row>
    <x:row r="41">
      <x:c r="A41" s="82" t="s">
        <x:v>316</x:v>
      </x:c>
      <x:c r="B41" s="83" t="s">
        <x:v>317</x:v>
      </x:c>
      <x:c r="C41" s="82" t="s">
        <x:v>298</x:v>
      </x:c>
      <x:c r="D41" s="83" t="s">
        <x:v>299</x:v>
      </x:c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</x:row>
    <x:row r="42">
      <x:c r="A42" s="82" t="s">
        <x:v>248</x:v>
      </x:c>
      <x:c r="B42" s="83" t="s">
        <x:v>318</x:v>
      </x:c>
      <x:c r="C42" s="82" t="s">
        <x:v>298</x:v>
      </x:c>
      <x:c r="D42" s="83" t="s">
        <x:v>299</x:v>
      </x:c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</x:row>
    <x:row r="43">
      <x:c r="A43" s="82" t="s">
        <x:v>319</x:v>
      </x:c>
      <x:c r="B43" s="83" t="s">
        <x:v>320</x:v>
      </x:c>
      <x:c r="C43" s="82" t="s">
        <x:v>298</x:v>
      </x:c>
      <x:c r="D43" s="83" t="s">
        <x:v>299</x:v>
      </x:c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</x:row>
    <x:row r="44">
      <x:c r="A44" s="82" t="s">
        <x:v>321</x:v>
      </x:c>
      <x:c r="B44" s="83" t="s">
        <x:v>322</x:v>
      </x:c>
      <x:c r="C44" s="82" t="s">
        <x:v>298</x:v>
      </x:c>
      <x:c r="D44" s="83" t="s">
        <x:v>299</x:v>
      </x:c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</x:row>
    <x:row r="45">
      <x:c r="A45" s="82" t="s">
        <x:v>323</x:v>
      </x:c>
      <x:c r="B45" s="83" t="s">
        <x:v>324</x:v>
      </x:c>
      <x:c r="C45" s="82" t="s">
        <x:v>298</x:v>
      </x:c>
      <x:c r="D45" s="83" t="s">
        <x:v>299</x:v>
      </x:c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</x:row>
    <x:row r="46">
      <x:c r="A46" s="82" t="s">
        <x:v>241</x:v>
      </x:c>
      <x:c r="B46" s="83" t="s">
        <x:v>325</x:v>
      </x:c>
      <x:c r="C46" s="82" t="s">
        <x:v>298</x:v>
      </x:c>
      <x:c r="D46" s="83" t="s">
        <x:v>299</x:v>
      </x:c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</x:row>
    <x:row r="47">
      <x:c r="A47" s="82" t="s">
        <x:v>326</x:v>
      </x:c>
      <x:c r="B47" s="83" t="s">
        <x:v>327</x:v>
      </x:c>
      <x:c r="C47" s="82" t="s">
        <x:v>298</x:v>
      </x:c>
      <x:c r="D47" s="83" t="s">
        <x:v>299</x:v>
      </x:c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</x:row>
    <x:row r="48">
      <x:c r="A48" s="82" t="s">
        <x:v>328</x:v>
      </x:c>
      <x:c r="B48" s="83" t="s">
        <x:v>329</x:v>
      </x:c>
      <x:c r="C48" s="82" t="s">
        <x:v>298</x:v>
      </x:c>
      <x:c r="D48" s="83" t="s">
        <x:v>299</x:v>
      </x:c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</x:row>
    <x:row r="49">
      <x:c r="A49" s="82" t="s">
        <x:v>330</x:v>
      </x:c>
      <x:c r="B49" s="83" t="s">
        <x:v>331</x:v>
      </x:c>
      <x:c r="C49" s="82" t="s">
        <x:v>298</x:v>
      </x:c>
      <x:c r="D49" s="83" t="s">
        <x:v>299</x:v>
      </x:c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</x:row>
    <x:row r="50">
      <x:c r="A50" s="82" t="s">
        <x:v>332</x:v>
      </x:c>
      <x:c r="B50" s="83" t="s">
        <x:v>333</x:v>
      </x:c>
      <x:c r="C50" s="82" t="s">
        <x:v>298</x:v>
      </x:c>
      <x:c r="D50" s="83" t="s">
        <x:v>299</x:v>
      </x:c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</x:row>
    <x:row r="51">
      <x:c r="A51" s="82" t="s">
        <x:v>334</x:v>
      </x:c>
      <x:c r="B51" s="83" t="s">
        <x:v>335</x:v>
      </x:c>
      <x:c r="C51" s="82" t="s">
        <x:v>266</x:v>
      </x:c>
      <x:c r="D51" s="83" t="s">
        <x:v>299</x:v>
      </x:c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</x:row>
    <x:row r="52">
      <x:c r="A52" s="82" t="s">
        <x:v>336</x:v>
      </x:c>
      <x:c r="B52" s="83" t="s">
        <x:v>337</x:v>
      </x:c>
      <x:c r="C52" s="82" t="s">
        <x:v>332</x:v>
      </x:c>
      <x:c r="D52" s="83" t="s">
        <x:v>299</x:v>
      </x:c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</x:row>
    <x:row r="53">
      <x:c r="A53" s="82" t="s">
        <x:v>338</x:v>
      </x:c>
      <x:c r="B53" s="83" t="s">
        <x:v>339</x:v>
      </x:c>
      <x:c r="C53" s="82" t="s">
        <x:v>332</x:v>
      </x:c>
      <x:c r="D53" s="83" t="s">
        <x:v>299</x:v>
      </x:c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</x:row>
    <x:row r="54">
      <x:c r="A54" s="82" t="s">
        <x:v>340</x:v>
      </x:c>
      <x:c r="B54" s="83" t="s">
        <x:v>341</x:v>
      </x:c>
      <x:c r="C54" s="82" t="s">
        <x:v>332</x:v>
      </x:c>
      <x:c r="D54" s="83" t="s">
        <x:v>299</x:v>
      </x:c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</x:row>
    <x:row r="55">
      <x:c r="A55" s="82" t="s">
        <x:v>342</x:v>
      </x:c>
      <x:c r="B55" s="83" t="s">
        <x:v>343</x:v>
      </x:c>
      <x:c r="C55" s="82" t="s">
        <x:v>332</x:v>
      </x:c>
      <x:c r="D55" s="83" t="s">
        <x:v>299</x:v>
      </x:c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</x:row>
    <x:row r="56">
      <x:c r="A56" s="82" t="s">
        <x:v>344</x:v>
      </x:c>
      <x:c r="B56" s="83" t="s">
        <x:v>345</x:v>
      </x:c>
      <x:c r="C56" s="82" t="s">
        <x:v>332</x:v>
      </x:c>
      <x:c r="D56" s="83" t="s">
        <x:v>299</x:v>
      </x:c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</x:row>
    <x:row r="57">
      <x:c r="A57" s="82" t="s">
        <x:v>346</x:v>
      </x:c>
      <x:c r="B57" s="83" t="s">
        <x:v>347</x:v>
      </x:c>
      <x:c r="C57" s="82" t="s">
        <x:v>332</x:v>
      </x:c>
      <x:c r="D57" s="83" t="s">
        <x:v>299</x:v>
      </x:c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</x:row>
    <x:row r="58">
      <x:c r="A58" s="82" t="s">
        <x:v>348</x:v>
      </x:c>
      <x:c r="B58" s="83" t="s">
        <x:v>349</x:v>
      </x:c>
      <x:c r="C58" s="82" t="s">
        <x:v>332</x:v>
      </x:c>
      <x:c r="D58" s="83" t="s">
        <x:v>299</x:v>
      </x:c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</x:row>
    <x:row r="59">
      <x:c r="A59" s="82" t="s">
        <x:v>350</x:v>
      </x:c>
      <x:c r="B59" s="83" t="s">
        <x:v>351</x:v>
      </x:c>
      <x:c r="C59" s="82" t="s">
        <x:v>332</x:v>
      </x:c>
      <x:c r="D59" s="83" t="s">
        <x:v>299</x:v>
      </x:c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</x:row>
    <x:row r="60">
      <x:c r="A60" s="82" t="s">
        <x:v>352</x:v>
      </x:c>
      <x:c r="B60" s="83" t="s">
        <x:v>353</x:v>
      </x:c>
      <x:c r="C60" s="82" t="s">
        <x:v>332</x:v>
      </x:c>
      <x:c r="D60" s="83" t="s">
        <x:v>299</x:v>
      </x:c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</x:row>
    <x:row r="61">
      <x:c r="A61" s="82" t="s">
        <x:v>354</x:v>
      </x:c>
      <x:c r="B61" s="83" t="s">
        <x:v>355</x:v>
      </x:c>
      <x:c r="C61" s="82" t="s">
        <x:v>332</x:v>
      </x:c>
      <x:c r="D61" s="83" t="s">
        <x:v>299</x:v>
      </x:c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</x:row>
    <x:row r="62">
      <x:c r="A62" s="82" t="s">
        <x:v>356</x:v>
      </x:c>
      <x:c r="B62" s="83" t="s">
        <x:v>357</x:v>
      </x:c>
      <x:c r="C62" s="82" t="s">
        <x:v>332</x:v>
      </x:c>
      <x:c r="D62" s="83" t="s">
        <x:v>299</x:v>
      </x:c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</x:row>
    <x:row r="63">
      <x:c r="A63" s="82" t="s">
        <x:v>358</x:v>
      </x:c>
      <x:c r="B63" s="83" t="s">
        <x:v>359</x:v>
      </x:c>
      <x:c r="C63" s="82" t="s">
        <x:v>332</x:v>
      </x:c>
      <x:c r="D63" s="83" t="s">
        <x:v>299</x:v>
      </x:c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</x:row>
    <x:row r="64">
      <x:c r="A64" s="82" t="s">
        <x:v>360</x:v>
      </x:c>
      <x:c r="B64" s="83" t="s">
        <x:v>361</x:v>
      </x:c>
      <x:c r="C64" s="82" t="s">
        <x:v>332</x:v>
      </x:c>
      <x:c r="D64" s="83" t="s">
        <x:v>299</x:v>
      </x:c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</x:row>
    <x:row r="65">
      <x:c r="A65" s="82" t="s">
        <x:v>362</x:v>
      </x:c>
      <x:c r="B65" s="83" t="s">
        <x:v>363</x:v>
      </x:c>
      <x:c r="C65" s="82" t="s">
        <x:v>332</x:v>
      </x:c>
      <x:c r="D65" s="83" t="s">
        <x:v>299</x:v>
      </x:c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</x:row>
    <x:row r="66">
      <x:c r="A66" s="82" t="s">
        <x:v>364</x:v>
      </x:c>
      <x:c r="B66" s="83" t="s">
        <x:v>365</x:v>
      </x:c>
      <x:c r="C66" s="82" t="s">
        <x:v>332</x:v>
      </x:c>
      <x:c r="D66" s="83" t="s">
        <x:v>299</x:v>
      </x:c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</x:row>
    <x:row r="67">
      <x:c r="A67" s="82" t="s">
        <x:v>366</x:v>
      </x:c>
      <x:c r="B67" s="83" t="s">
        <x:v>367</x:v>
      </x:c>
      <x:c r="C67" s="82" t="s">
        <x:v>332</x:v>
      </x:c>
      <x:c r="D67" s="83" t="s">
        <x:v>299</x:v>
      </x:c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</x:row>
    <x:row r="68">
      <x:c r="A68" s="82" t="s">
        <x:v>368</x:v>
      </x:c>
      <x:c r="B68" s="83" t="s">
        <x:v>369</x:v>
      </x:c>
      <x:c r="C68" s="82" t="s">
        <x:v>332</x:v>
      </x:c>
      <x:c r="D68" s="83" t="s">
        <x:v>299</x:v>
      </x:c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</x:row>
    <x:row r="69">
      <x:c r="A69" s="82" t="s">
        <x:v>370</x:v>
      </x:c>
      <x:c r="B69" s="83" t="s">
        <x:v>371</x:v>
      </x:c>
      <x:c r="C69" s="82" t="s">
        <x:v>332</x:v>
      </x:c>
      <x:c r="D69" s="83" t="s">
        <x:v>299</x:v>
      </x:c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</x:row>
    <x:row r="70">
      <x:c r="A70" s="82" t="s">
        <x:v>372</x:v>
      </x:c>
      <x:c r="B70" s="83" t="s">
        <x:v>373</x:v>
      </x:c>
      <x:c r="C70" s="82" t="s">
        <x:v>332</x:v>
      </x:c>
      <x:c r="D70" s="83" t="s">
        <x:v>299</x:v>
      </x:c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</x:row>
    <x:row r="71">
      <x:c r="A71" s="82" t="s">
        <x:v>374</x:v>
      </x:c>
      <x:c r="B71" s="83" t="s">
        <x:v>375</x:v>
      </x:c>
      <x:c r="C71" s="82" t="s">
        <x:v>332</x:v>
      </x:c>
      <x:c r="D71" s="83" t="s">
        <x:v>299</x:v>
      </x:c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</x:row>
    <x:row r="72">
      <x:c r="A72" s="82" t="s">
        <x:v>376</x:v>
      </x:c>
      <x:c r="B72" s="83" t="s">
        <x:v>377</x:v>
      </x:c>
      <x:c r="C72" s="82" t="s">
        <x:v>332</x:v>
      </x:c>
      <x:c r="D72" s="83" t="s">
        <x:v>299</x:v>
      </x:c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</x:row>
    <x:row r="73">
      <x:c r="A73" s="82" t="s">
        <x:v>378</x:v>
      </x:c>
      <x:c r="B73" s="83" t="s">
        <x:v>379</x:v>
      </x:c>
      <x:c r="C73" s="82" t="s">
        <x:v>332</x:v>
      </x:c>
      <x:c r="D73" s="83" t="s">
        <x:v>299</x:v>
      </x:c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</x:row>
    <x:row r="74">
      <x:c r="A74" s="82" t="s">
        <x:v>380</x:v>
      </x:c>
      <x:c r="B74" s="83" t="s">
        <x:v>381</x:v>
      </x:c>
      <x:c r="C74" s="82" t="s">
        <x:v>332</x:v>
      </x:c>
      <x:c r="D74" s="83" t="s">
        <x:v>299</x:v>
      </x:c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</x:row>
    <x:row r="75">
      <x:c r="A75" s="82" t="s">
        <x:v>382</x:v>
      </x:c>
      <x:c r="B75" s="83" t="s">
        <x:v>383</x:v>
      </x:c>
      <x:c r="C75" s="82" t="s">
        <x:v>332</x:v>
      </x:c>
      <x:c r="D75" s="83" t="s">
        <x:v>299</x:v>
      </x:c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</x:row>
    <x:row r="76">
      <x:c r="A76" s="82" t="s">
        <x:v>384</x:v>
      </x:c>
      <x:c r="B76" s="83" t="s">
        <x:v>385</x:v>
      </x:c>
      <x:c r="C76" s="82" t="s">
        <x:v>332</x:v>
      </x:c>
      <x:c r="D76" s="83" t="s">
        <x:v>299</x:v>
      </x:c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</x:row>
    <x:row r="77">
      <x:c r="A77" s="82" t="s">
        <x:v>386</x:v>
      </x:c>
      <x:c r="B77" s="83" t="s">
        <x:v>387</x:v>
      </x:c>
      <x:c r="C77" s="82" t="s">
        <x:v>332</x:v>
      </x:c>
      <x:c r="D77" s="83" t="s">
        <x:v>299</x:v>
      </x:c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</x:row>
    <x:row r="78">
      <x:c r="A78" s="82" t="s">
        <x:v>388</x:v>
      </x:c>
      <x:c r="B78" s="83" t="s">
        <x:v>389</x:v>
      </x:c>
      <x:c r="C78" s="82" t="s">
        <x:v>332</x:v>
      </x:c>
      <x:c r="D78" s="83" t="s">
        <x:v>299</x:v>
      </x:c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</x:row>
    <x:row r="79">
      <x:c r="A79" s="82" t="s">
        <x:v>390</x:v>
      </x:c>
      <x:c r="B79" s="83" t="s">
        <x:v>391</x:v>
      </x:c>
      <x:c r="C79" s="82" t="s">
        <x:v>332</x:v>
      </x:c>
      <x:c r="D79" s="83" t="s">
        <x:v>299</x:v>
      </x:c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</x:row>
    <x:row r="80">
      <x:c r="A80" s="82" t="s">
        <x:v>392</x:v>
      </x:c>
      <x:c r="B80" s="83" t="s">
        <x:v>393</x:v>
      </x:c>
      <x:c r="C80" s="82" t="s">
        <x:v>332</x:v>
      </x:c>
      <x:c r="D80" s="83" t="s">
        <x:v>299</x:v>
      </x:c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</x:row>
    <x:row r="81">
      <x:c r="A81" s="82" t="s">
        <x:v>394</x:v>
      </x:c>
      <x:c r="B81" s="83" t="s">
        <x:v>395</x:v>
      </x:c>
      <x:c r="C81" s="82" t="s">
        <x:v>332</x:v>
      </x:c>
      <x:c r="D81" s="83" t="s">
        <x:v>299</x:v>
      </x:c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</x:row>
    <x:row r="82">
      <x:c r="A82" s="82" t="s">
        <x:v>396</x:v>
      </x:c>
      <x:c r="B82" s="83" t="s">
        <x:v>397</x:v>
      </x:c>
      <x:c r="C82" s="82" t="s">
        <x:v>332</x:v>
      </x:c>
      <x:c r="D82" s="83" t="s">
        <x:v>299</x:v>
      </x:c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</x:row>
    <x:row r="83">
      <x:c r="A83" s="82" t="s">
        <x:v>398</x:v>
      </x:c>
      <x:c r="B83" s="83" t="s">
        <x:v>399</x:v>
      </x:c>
      <x:c r="C83" s="82" t="s">
        <x:v>332</x:v>
      </x:c>
      <x:c r="D83" s="83" t="s">
        <x:v>299</x:v>
      </x:c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</x:row>
    <x:row r="84">
      <x:c r="A84" s="82" t="s">
        <x:v>400</x:v>
      </x:c>
      <x:c r="B84" s="83" t="s">
        <x:v>401</x:v>
      </x:c>
      <x:c r="C84" s="82" t="s">
        <x:v>332</x:v>
      </x:c>
      <x:c r="D84" s="83" t="s">
        <x:v>299</x:v>
      </x:c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</x:row>
    <x:row r="85">
      <x:c r="A85" s="82" t="s">
        <x:v>402</x:v>
      </x:c>
      <x:c r="B85" s="83" t="s">
        <x:v>403</x:v>
      </x:c>
      <x:c r="C85" s="82" t="s">
        <x:v>332</x:v>
      </x:c>
      <x:c r="D85" s="83" t="s">
        <x:v>299</x:v>
      </x:c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</x:row>
    <x:row r="86">
      <x:c r="A86" s="82" t="s">
        <x:v>404</x:v>
      </x:c>
      <x:c r="B86" s="83" t="s">
        <x:v>405</x:v>
      </x:c>
      <x:c r="C86" s="82" t="s">
        <x:v>332</x:v>
      </x:c>
      <x:c r="D86" s="83" t="s">
        <x:v>299</x:v>
      </x:c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</x:row>
    <x:row r="87">
      <x:c r="A87" s="82" t="s">
        <x:v>406</x:v>
      </x:c>
      <x:c r="B87" s="83" t="s">
        <x:v>407</x:v>
      </x:c>
      <x:c r="C87" s="82" t="s">
        <x:v>332</x:v>
      </x:c>
      <x:c r="D87" s="83" t="s">
        <x:v>299</x:v>
      </x:c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</x:row>
    <x:row r="88">
      <x:c r="A88" s="82" t="s">
        <x:v>408</x:v>
      </x:c>
      <x:c r="B88" s="83" t="s">
        <x:v>409</x:v>
      </x:c>
      <x:c r="C88" s="82" t="s">
        <x:v>332</x:v>
      </x:c>
      <x:c r="D88" s="83" t="s">
        <x:v>299</x:v>
      </x:c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</x:row>
    <x:row r="89">
      <x:c r="A89" s="82" t="s">
        <x:v>410</x:v>
      </x:c>
      <x:c r="B89" s="83" t="s">
        <x:v>411</x:v>
      </x:c>
      <x:c r="C89" s="82" t="s">
        <x:v>332</x:v>
      </x:c>
      <x:c r="D89" s="83" t="s">
        <x:v>299</x:v>
      </x:c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</x:row>
    <x:row r="90">
      <x:c r="A90" s="82" t="s">
        <x:v>412</x:v>
      </x:c>
      <x:c r="B90" s="83" t="s">
        <x:v>413</x:v>
      </x:c>
      <x:c r="C90" s="82" t="s">
        <x:v>332</x:v>
      </x:c>
      <x:c r="D90" s="83" t="s">
        <x:v>299</x:v>
      </x:c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</x:row>
    <x:row r="91">
      <x:c r="A91" s="82" t="s">
        <x:v>414</x:v>
      </x:c>
      <x:c r="B91" s="83" t="s">
        <x:v>415</x:v>
      </x:c>
      <x:c r="C91" s="82" t="s">
        <x:v>332</x:v>
      </x:c>
      <x:c r="D91" s="83" t="s">
        <x:v>299</x:v>
      </x:c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</x:row>
    <x:row r="92">
      <x:c r="A92" s="82" t="s">
        <x:v>416</x:v>
      </x:c>
      <x:c r="B92" s="83" t="s">
        <x:v>417</x:v>
      </x:c>
      <x:c r="C92" s="82" t="s">
        <x:v>418</x:v>
      </x:c>
      <x:c r="D92" s="83" t="s">
        <x:v>299</x:v>
      </x:c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</x:row>
    <x:row r="93">
      <x:c r="A93" s="82" t="s">
        <x:v>419</x:v>
      </x:c>
      <x:c r="B93" s="83" t="s">
        <x:v>420</x:v>
      </x:c>
      <x:c r="C93" s="82" t="s">
        <x:v>228</x:v>
      </x:c>
      <x:c r="D93" s="83" t="s">
        <x:v>234</x:v>
      </x:c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</x:row>
    <x:row r="94">
      <x:c r="A94" s="82" t="s">
        <x:v>421</x:v>
      </x:c>
      <x:c r="B94" s="83" t="s">
        <x:v>422</x:v>
      </x:c>
      <x:c r="C94" s="82" t="s">
        <x:v>228</x:v>
      </x:c>
      <x:c r="D94" s="83" t="s">
        <x:v>286</x:v>
      </x:c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</x:row>
    <x:row r="95">
      <x:c r="A95" s="82" t="s">
        <x:v>423</x:v>
      </x:c>
      <x:c r="B95" s="83" t="s">
        <x:v>424</x:v>
      </x:c>
      <x:c r="C95" s="82" t="s">
        <x:v>235</x:v>
      </x:c>
      <x:c r="D95" s="83" t="s">
        <x:v>251</x:v>
      </x:c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</x:row>
    <x:row r="96">
      <x:c r="A96" s="82" t="s">
        <x:v>425</x:v>
      </x:c>
      <x:c r="B96" s="83" t="s">
        <x:v>426</x:v>
      </x:c>
      <x:c r="C96" s="82" t="s">
        <x:v>252</x:v>
      </x:c>
      <x:c r="D96" s="83" t="s">
        <x:v>251</x:v>
      </x:c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</x:row>
    <x:row r="97">
      <x:c r="A97" s="82" t="s">
        <x:v>427</x:v>
      </x:c>
      <x:c r="B97" s="83" t="s">
        <x:v>428</x:v>
      </x:c>
      <x:c r="C97" s="82" t="s">
        <x:v>239</x:v>
      </x:c>
      <x:c r="D97" s="83" t="s">
        <x:v>286</x:v>
      </x:c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</x:row>
    <x:row r="98">
      <x:c r="A98" s="82" t="s">
        <x:v>429</x:v>
      </x:c>
      <x:c r="B98" s="83" t="s">
        <x:v>430</x:v>
      </x:c>
      <x:c r="C98" s="82" t="s">
        <x:v>228</x:v>
      </x:c>
      <x:c r="D98" s="83" t="s">
        <x:v>238</x:v>
      </x:c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</x:row>
    <x:row r="99">
      <x:c r="A99" s="82" t="s">
        <x:v>431</x:v>
      </x:c>
      <x:c r="B99" s="83" t="s">
        <x:v>432</x:v>
      </x:c>
      <x:c r="C99" s="82" t="s">
        <x:v>228</x:v>
      </x:c>
      <x:c r="D99" s="83" t="s">
        <x:v>286</x:v>
      </x:c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</x:row>
    <x:row r="100">
      <x:c r="A100" s="82" t="s">
        <x:v>433</x:v>
      </x:c>
      <x:c r="B100" s="83" t="s">
        <x:v>434</x:v>
      </x:c>
      <x:c r="C100" s="82" t="s">
        <x:v>239</x:v>
      </x:c>
      <x:c r="D100" s="83" t="s">
        <x:v>278</x:v>
      </x:c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</x:row>
    <x:row r="101">
      <x:c r="A101" s="82" t="s">
        <x:v>435</x:v>
      </x:c>
      <x:c r="B101" s="83" t="s">
        <x:v>436</x:v>
      </x:c>
      <x:c r="C101" s="82" t="s">
        <x:v>437</x:v>
      </x:c>
      <x:c r="D101" s="83" t="s">
        <x:v>438</x:v>
      </x:c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</x:row>
    <x:row r="102">
      <x:c r="A102" s="82" t="s">
        <x:v>439</x:v>
      </x:c>
      <x:c r="B102" s="83" t="s">
        <x:v>440</x:v>
      </x:c>
      <x:c r="C102" s="82" t="s">
        <x:v>437</x:v>
      </x:c>
      <x:c r="D102" s="83" t="s">
        <x:v>438</x:v>
      </x:c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</x:row>
    <x:row r="103">
      <x:c r="A103" s="82" t="s">
        <x:v>441</x:v>
      </x:c>
      <x:c r="B103" s="83" t="s">
        <x:v>442</x:v>
      </x:c>
      <x:c r="C103" s="82" t="s">
        <x:v>231</x:v>
      </x:c>
      <x:c r="D103" s="83" t="s">
        <x:v>438</x:v>
      </x:c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</x:row>
    <x:row r="104">
      <x:c r="A104" s="82" t="s">
        <x:v>443</x:v>
      </x:c>
      <x:c r="B104" s="83" t="s">
        <x:v>444</x:v>
      </x:c>
      <x:c r="C104" s="82" t="s">
        <x:v>298</x:v>
      </x:c>
      <x:c r="D104" s="83" t="s">
        <x:v>299</x:v>
      </x:c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</x:row>
    <x:row r="105">
      <x:c r="A105" s="82" t="s">
        <x:v>445</x:v>
      </x:c>
      <x:c r="B105" s="83" t="s">
        <x:v>446</x:v>
      </x:c>
      <x:c r="C105" s="82" t="s">
        <x:v>447</x:v>
      </x:c>
      <x:c r="D105" s="83" t="s">
        <x:v>299</x:v>
      </x:c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</x:row>
    <x:row r="106">
      <x:c r="A106" s="82" t="s">
        <x:v>448</x:v>
      </x:c>
      <x:c r="B106" s="83" t="s">
        <x:v>449</x:v>
      </x:c>
      <x:c r="C106" s="82" t="s">
        <x:v>298</x:v>
      </x:c>
      <x:c r="D106" s="83" t="s">
        <x:v>281</x:v>
      </x:c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11" max="11" width="8" hidden="0" customWidth="1"/>
    <x:col min="15" max="15" width="8" hidden="0" customWidth="1"/>
    <x:col min="19" max="19" width="8" hidden="0" customWidth="1"/>
    <x:col min="3" max="3" width="12" hidden="0" customWidth="1"/>
    <x:col min="7" max="7" width="24" hidden="0" customWidth="1"/>
    <x:col min="10" max="10" width="8" hidden="0" customWidth="1"/>
    <x:col min="14" max="14" width="8" hidden="0" customWidth="1"/>
    <x:col min="2" max="2" width="24" hidden="0" customWidth="1"/>
    <x:col min="6" max="6" width="24" hidden="0" customWidth="1"/>
    <x:col min="9" max="9" width="8" hidden="0" customWidth="1"/>
    <x:col min="13" max="13" width="8" hidden="0" customWidth="1"/>
    <x:col min="17" max="17" width="8" hidden="0" customWidth="1"/>
    <x:col min="18" max="18" width="8" hidden="0" customWidth="1"/>
    <x:col min="1" max="1" width="14" hidden="0" customWidth="1"/>
    <x:col min="5" max="5" width="42" hidden="0" customWidth="1"/>
    <x:col min="12" max="12" width="8" hidden="0" customWidth="1"/>
    <x:col min="16" max="16" width="8" hidden="0" customWidth="1"/>
    <x:col min="20" max="20" width="8" hidden="0" customWidth="1"/>
    <x:col min="4" max="4" width="33" hidden="0" customWidth="1"/>
    <x:col min="8" max="8" width="8" hidden="0" customWidth="1"/>
  </x:cols>
  <x:sheetData>
    <x:row r="1">
      <x:c r="A1" s="84" t="s">
        <x:v>450</x:v>
      </x:c>
      <x:c r="B1" s="84" t="s">
        <x:v>451</x:v>
      </x:c>
      <x:c r="C1" s="85" t="s">
        <x:v>452</x:v>
      </x:c>
      <x:c r="D1" s="84" t="s">
        <x:v>453</x:v>
      </x:c>
      <x:c r="E1" s="84" t="s">
        <x:v>454</x:v>
      </x:c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</x:row>
    <x:row r="2">
      <x:c r="A2" s="87" t="s">
        <x:v>455</x:v>
      </x:c>
      <x:c r="B2" s="87" t="s">
        <x:v>456</x:v>
      </x:c>
      <x:c r="C2" s="88" t="s">
        <x:v>268</x:v>
      </x:c>
      <x:c r="D2" s="87" t="s">
        <x:v>457</x:v>
      </x:c>
      <x:c r="E2" s="87" t="s">
        <x:v>458</x:v>
      </x:c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</x:row>
    <x:row r="3">
      <x:c r="A3" s="87" t="s">
        <x:v>455</x:v>
      </x:c>
      <x:c r="B3" s="87" t="s">
        <x:v>459</x:v>
      </x:c>
      <x:c r="C3" s="88" t="s">
        <x:v>268</x:v>
      </x:c>
      <x:c r="D3" s="87" t="s">
        <x:v>460</x:v>
      </x:c>
      <x:c r="E3" s="87" t="s">
        <x:v>458</x:v>
      </x:c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</x:row>
    <x:row r="4">
      <x:c r="A4" s="87" t="s">
        <x:v>455</x:v>
      </x:c>
      <x:c r="B4" s="87" t="s">
        <x:v>461</x:v>
      </x:c>
      <x:c r="C4" s="88" t="s">
        <x:v>268</x:v>
      </x:c>
      <x:c r="D4" s="87" t="s">
        <x:v>462</x:v>
      </x:c>
      <x:c r="E4" s="87" t="s">
        <x:v>458</x:v>
      </x:c>
      <x:c r="F4" s="86"/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</x:row>
    <x:row r="5">
      <x:c r="A5" s="87" t="s">
        <x:v>463</x:v>
      </x:c>
      <x:c r="B5" s="87" t="s">
        <x:v>464</x:v>
      </x:c>
      <x:c r="C5" s="88" t="s">
        <x:v>228</x:v>
      </x:c>
      <x:c r="D5" s="87" t="s">
        <x:v>465</x:v>
      </x:c>
      <x:c r="E5" s="87" t="s">
        <x:v>466</x:v>
      </x:c>
      <x:c r="F5" s="86"/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</x:row>
    <x:row r="6">
      <x:c r="A6" s="87" t="s">
        <x:v>463</x:v>
      </x:c>
      <x:c r="B6" s="87" t="s">
        <x:v>467</x:v>
      </x:c>
      <x:c r="C6" s="88" t="s">
        <x:v>231</x:v>
      </x:c>
      <x:c r="D6" s="87" t="s">
        <x:v>468</x:v>
      </x:c>
      <x:c r="E6" s="87" t="s">
        <x:v>469</x:v>
      </x:c>
      <x:c r="F6" s="86"/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</x:row>
    <x:row r="7">
      <x:c r="A7" s="87" t="s">
        <x:v>463</x:v>
      </x:c>
      <x:c r="B7" s="87" t="s">
        <x:v>470</x:v>
      </x:c>
      <x:c r="C7" s="88" t="s">
        <x:v>242</x:v>
      </x:c>
      <x:c r="D7" s="87" t="s">
        <x:v>471</x:v>
      </x:c>
      <x:c r="E7" s="87" t="s">
        <x:v>472</x:v>
      </x:c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</x:row>
    <x:row r="8">
      <x:c r="A8" s="87" t="s">
        <x:v>463</x:v>
      </x:c>
      <x:c r="B8" s="87" t="s">
        <x:v>473</x:v>
      </x:c>
      <x:c r="C8" s="88" t="s">
        <x:v>242</x:v>
      </x:c>
      <x:c r="D8" s="87" t="s">
        <x:v>474</x:v>
      </x:c>
      <x:c r="E8" s="87" t="s">
        <x:v>475</x:v>
      </x:c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</x:row>
    <x:row r="9">
      <x:c r="A9" s="87" t="s">
        <x:v>463</x:v>
      </x:c>
      <x:c r="B9" s="87" t="s">
        <x:v>476</x:v>
      </x:c>
      <x:c r="C9" s="88" t="s">
        <x:v>264</x:v>
      </x:c>
      <x:c r="D9" s="87" t="s">
        <x:v>477</x:v>
      </x:c>
      <x:c r="E9" s="87" t="s">
        <x:v>478</x:v>
      </x:c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</x:row>
    <x:row r="10">
      <x:c r="A10" s="87" t="s">
        <x:v>463</x:v>
      </x:c>
      <x:c r="B10" s="87" t="s">
        <x:v>479</x:v>
      </x:c>
      <x:c r="C10" s="88" t="s">
        <x:v>264</x:v>
      </x:c>
      <x:c r="D10" s="87" t="s">
        <x:v>480</x:v>
      </x:c>
      <x:c r="E10" s="87" t="s">
        <x:v>481</x:v>
      </x:c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</x:row>
    <x:row r="11">
      <x:c r="A11" s="87" t="s">
        <x:v>463</x:v>
      </x:c>
      <x:c r="B11" s="87" t="s">
        <x:v>482</x:v>
      </x:c>
      <x:c r="C11" s="88" t="s">
        <x:v>264</x:v>
      </x:c>
      <x:c r="D11" s="87" t="s">
        <x:v>483</x:v>
      </x:c>
      <x:c r="E11" s="87" t="s">
        <x:v>484</x:v>
      </x:c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</x:row>
    <x:row r="12">
      <x:c r="A12" s="87" t="s">
        <x:v>463</x:v>
      </x:c>
      <x:c r="B12" s="87" t="s">
        <x:v>485</x:v>
      </x:c>
      <x:c r="C12" s="88" t="s">
        <x:v>264</x:v>
      </x:c>
      <x:c r="D12" s="87" t="s">
        <x:v>486</x:v>
      </x:c>
      <x:c r="E12" s="87" t="s">
        <x:v>487</x:v>
      </x:c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</x:row>
    <x:row r="13">
      <x:c r="A13" s="87" t="s">
        <x:v>463</x:v>
      </x:c>
      <x:c r="B13" s="87" t="s">
        <x:v>488</x:v>
      </x:c>
      <x:c r="C13" s="88" t="s">
        <x:v>264</x:v>
      </x:c>
      <x:c r="D13" s="87" t="s">
        <x:v>489</x:v>
      </x:c>
      <x:c r="E13" s="87" t="s">
        <x:v>490</x:v>
      </x:c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</x:row>
    <x:row r="14">
      <x:c r="A14" s="87" t="s">
        <x:v>463</x:v>
      </x:c>
      <x:c r="B14" s="87" t="s">
        <x:v>491</x:v>
      </x:c>
      <x:c r="C14" s="88" t="s">
        <x:v>266</x:v>
      </x:c>
      <x:c r="D14" s="87" t="s">
        <x:v>492</x:v>
      </x:c>
      <x:c r="E14" s="87" t="s">
        <x:v>493</x:v>
      </x:c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12" defaultRowHeight="18"/>
  <x:cols>
    <x:col min="11" max="11" width="40" hidden="0" customWidth="1"/>
    <x:col min="2" max="2" width="22" hidden="0" customWidth="1"/>
    <x:col min="3" max="3" width="55" hidden="0" customWidth="1"/>
    <x:col min="5" max="5" width="25" hidden="0" customWidth="1"/>
    <x:col min="6" max="6" width="14" hidden="0" customWidth="1"/>
    <x:col min="9" max="9" width="12" hidden="0" customWidth="1"/>
  </x:cols>
  <x:sheetData>
    <x:row r="1">
      <x:c r="A1" s="89" t="s">
        <x:v>494</x:v>
      </x:c>
      <x:c r="B1" s="89" t="s">
        <x:v>495</x:v>
      </x:c>
      <x:c r="C1" s="90" t="s">
        <x:v>496</x:v>
      </x:c>
      <x:c r="D1" s="89" t="s">
        <x:v>497</x:v>
      </x:c>
      <x:c r="E1" s="91" t="s">
        <x:v>498</x:v>
      </x:c>
      <x:c r="F1" s="91" t="s">
        <x:v>499</x:v>
      </x:c>
      <x:c r="G1" s="92" t="s">
        <x:v>500</x:v>
      </x:c>
      <x:c r="H1" s="92" t="s">
        <x:v>501</x:v>
      </x:c>
      <x:c r="I1" s="89" t="s">
        <x:v>502</x:v>
      </x:c>
      <x:c r="J1" s="93" t="s">
        <x:v>503</x:v>
      </x:c>
      <x:c r="K1" s="90" t="s">
        <x:v>189</x:v>
      </x:c>
      <x:c r="L1" s="94"/>
      <x:c r="M1" s="94"/>
      <x:c r="N1" s="94"/>
      <x:c r="O1" s="94"/>
      <x:c r="P1" s="94"/>
      <x:c r="Q1" s="94"/>
      <x:c r="R1" s="94"/>
      <x:c r="S1" s="94"/>
      <x:c r="T1" s="94"/>
      <x:c r="U1" s="94"/>
      <x:c r="V1" s="94"/>
    </x:row>
    <x:row r="2">
      <x:c r="A2" s="95">
        <x:v>1</x:v>
      </x:c>
      <x:c r="B2" s="96" t="s">
        <x:v>504</x:v>
      </x:c>
      <x:c r="C2" s="96"/>
      <x:c r="D2" s="96" t="s">
        <x:v>505</x:v>
      </x:c>
      <x:c r="E2" s="97" t="s">
        <x:v>506</x:v>
      </x:c>
      <x:c r="F2" s="97" t="s">
        <x:v>507</x:v>
      </x:c>
      <x:c r="G2" s="97" t="n">
        <x:f>MIN(G3:G17)</x:f>
        <x:v>46213</x:v>
      </x:c>
      <x:c r="H2" s="98" t="n">
        <x:f>MAX(H3:H17)</x:f>
        <x:v>46262</x:v>
      </x:c>
      <x:c r="I2" s="99" t="str">
        <x:f>IF(COUNTIF($I$4:$I$17,"未开始")=COUNTA($I$4:$I$17),"未开始",IF(COUNTIF($I$4:$I$17,"进行中")&gt;0,"进行中","已完成"))</x:f>
        <x:v>未开始</x:v>
      </x:c>
      <x:c r="J2" s="100" t="n">
        <x:f>SUM($J$4:$J$12)/COUNT($J$4:$J$12)</x:f>
        <x:v>0</x:v>
      </x:c>
      <x:c r="K2" s="94"/>
      <x:c r="L2" s="94"/>
      <x:c r="M2" s="94"/>
      <x:c r="N2" s="94"/>
      <x:c r="O2" s="94"/>
      <x:c r="P2" s="94"/>
      <x:c r="Q2" s="94"/>
      <x:c r="R2" s="94"/>
      <x:c r="S2" s="94"/>
      <x:c r="T2" s="94"/>
      <x:c r="U2" s="94"/>
      <x:c r="V2" s="94"/>
    </x:row>
    <x:row r="3" ht="18" customHeight="1">
      <x:c r="A3" s="101">
        <x:v>1.1</x:v>
      </x:c>
      <x:c r="B3" s="102" t="s">
        <x:v>508</x:v>
      </x:c>
      <x:c r="C3" s="102"/>
      <x:c r="D3" s="102"/>
      <x:c r="E3" s="103" t="s">
        <x:v>509</x:v>
      </x:c>
      <x:c r="F3" s="104"/>
      <x:c r="G3" s="104">
        <x:v>46213</x:v>
      </x:c>
      <x:c r="H3" s="105">
        <x:v>46224</x:v>
      </x:c>
      <x:c r="I3" s="106"/>
      <x:c r="J3" s="107">
        <x:v>0</x:v>
      </x:c>
      <x:c r="K3" s="94"/>
      <x:c r="L3" s="94"/>
      <x:c r="M3" s="94"/>
      <x:c r="N3" s="94"/>
      <x:c r="O3" s="94"/>
      <x:c r="P3" s="94"/>
      <x:c r="Q3" s="94"/>
      <x:c r="R3" s="94"/>
      <x:c r="S3" s="94"/>
      <x:c r="T3" s="94"/>
      <x:c r="U3" s="94"/>
      <x:c r="V3" s="94"/>
    </x:row>
    <x:row r="4">
      <x:c r="A4" s="101">
        <x:v>1.2</x:v>
      </x:c>
      <x:c r="B4" s="102" t="s">
        <x:v>510</x:v>
      </x:c>
      <x:c r="C4" s="102" t="s">
        <x:v>511</x:v>
      </x:c>
      <x:c r="D4" s="102"/>
      <x:c r="E4" s="103"/>
      <x:c r="F4" s="104"/>
      <x:c r="G4" s="104">
        <x:v>46220</x:v>
      </x:c>
      <x:c r="H4" s="105">
        <x:v>46226</x:v>
      </x:c>
      <x:c r="I4" s="106"/>
      <x:c r="J4" s="108">
        <x:v>0</x:v>
      </x:c>
      <x:c r="K4" s="94"/>
      <x:c r="L4" s="94"/>
      <x:c r="M4" s="94"/>
      <x:c r="N4" s="94"/>
      <x:c r="O4" s="94"/>
      <x:c r="P4" s="94"/>
      <x:c r="Q4" s="94"/>
      <x:c r="R4" s="94"/>
      <x:c r="S4" s="94"/>
      <x:c r="T4" s="94"/>
      <x:c r="U4" s="94"/>
      <x:c r="V4" s="94"/>
    </x:row>
    <x:row r="5">
      <x:c r="A5" s="109">
        <x:v>1.3</x:v>
      </x:c>
      <x:c r="B5" s="102" t="s">
        <x:v>512</x:v>
      </x:c>
      <x:c r="C5" s="102"/>
      <x:c r="D5" s="102"/>
      <x:c r="E5" s="110" t="s">
        <x:v>513</x:v>
      </x:c>
      <x:c r="F5" s="105">
        <x:v>46234</x:v>
      </x:c>
      <x:c r="G5" s="105">
        <x:v>46225</x:v>
      </x:c>
      <x:c r="H5" s="105">
        <x:v>46239</x:v>
      </x:c>
      <x:c r="I5" s="111" t="s">
        <x:v>514</x:v>
      </x:c>
      <x:c r="J5" s="108">
        <x:v>0</x:v>
      </x:c>
      <x:c r="K5" s="94"/>
      <x:c r="L5" s="94"/>
      <x:c r="M5" s="94"/>
      <x:c r="N5" s="94"/>
      <x:c r="O5" s="94"/>
      <x:c r="P5" s="94"/>
      <x:c r="Q5" s="94"/>
      <x:c r="R5" s="94"/>
      <x:c r="S5" s="94"/>
      <x:c r="T5" s="94"/>
      <x:c r="U5" s="94"/>
      <x:c r="V5" s="94"/>
    </x:row>
    <x:row r="6">
      <x:c r="A6" s="101">
        <x:v>1.4</x:v>
      </x:c>
      <x:c r="B6" s="102" t="s">
        <x:v>515</x:v>
      </x:c>
      <x:c r="C6" s="112" t="s">
        <x:v>516</x:v>
      </x:c>
      <x:c r="D6" s="102"/>
      <x:c r="E6" s="103"/>
      <x:c r="F6" s="104"/>
      <x:c r="G6" s="105">
        <x:v>46223</x:v>
      </x:c>
      <x:c r="H6" s="105">
        <x:v>46227</x:v>
      </x:c>
      <x:c r="I6" s="111" t="s">
        <x:v>514</x:v>
      </x:c>
      <x:c r="J6" s="108">
        <x:v>0</x:v>
      </x:c>
      <x:c r="K6" s="94"/>
      <x:c r="L6" s="94"/>
      <x:c r="M6" s="94"/>
      <x:c r="N6" s="94"/>
      <x:c r="O6" s="94"/>
      <x:c r="P6" s="94"/>
      <x:c r="Q6" s="94"/>
      <x:c r="R6" s="94"/>
      <x:c r="S6" s="94"/>
      <x:c r="T6" s="94"/>
      <x:c r="U6" s="94"/>
      <x:c r="V6" s="94"/>
    </x:row>
    <x:row r="7">
      <x:c r="A7" s="101"/>
      <x:c r="B7" s="102"/>
      <x:c r="C7" s="112" t="s">
        <x:v>517</x:v>
      </x:c>
      <x:c r="D7" s="102"/>
      <x:c r="E7" s="103"/>
      <x:c r="F7" s="104"/>
      <x:c r="G7" s="104">
        <x:v>46227</x:v>
      </x:c>
      <x:c r="H7" s="104">
        <x:v>46233</x:v>
      </x:c>
      <x:c r="I7" s="111" t="s">
        <x:v>514</x:v>
      </x:c>
      <x:c r="J7" s="108">
        <x:v>0</x:v>
      </x:c>
      <x:c r="K7" s="94"/>
      <x:c r="L7" s="94"/>
      <x:c r="M7" s="94"/>
      <x:c r="N7" s="94"/>
      <x:c r="O7" s="94"/>
      <x:c r="P7" s="94"/>
      <x:c r="Q7" s="94"/>
      <x:c r="R7" s="94"/>
      <x:c r="S7" s="94"/>
      <x:c r="T7" s="94"/>
      <x:c r="U7" s="94"/>
      <x:c r="V7" s="94"/>
    </x:row>
    <x:row r="8">
      <x:c r="A8" s="101"/>
      <x:c r="B8" s="102"/>
      <x:c r="C8" s="112" t="s">
        <x:v>518</x:v>
      </x:c>
      <x:c r="D8" s="102"/>
      <x:c r="E8" s="110" t="s">
        <x:v>519</x:v>
      </x:c>
      <x:c r="F8" s="104"/>
      <x:c r="G8" s="105">
        <x:v>46230</x:v>
      </x:c>
      <x:c r="H8" s="105">
        <x:v>46237</x:v>
      </x:c>
      <x:c r="I8" s="111" t="s">
        <x:v>514</x:v>
      </x:c>
      <x:c r="J8" s="108">
        <x:v>0</x:v>
      </x:c>
      <x:c r="K8" s="94"/>
      <x:c r="L8" s="94"/>
      <x:c r="M8" s="94"/>
      <x:c r="N8" s="94"/>
      <x:c r="O8" s="94"/>
      <x:c r="P8" s="94"/>
      <x:c r="Q8" s="94"/>
      <x:c r="R8" s="94"/>
      <x:c r="S8" s="94"/>
      <x:c r="T8" s="94"/>
      <x:c r="U8" s="94"/>
      <x:c r="V8" s="94"/>
    </x:row>
    <x:row r="9">
      <x:c r="A9" s="101"/>
      <x:c r="B9" s="102"/>
      <x:c r="C9" s="112" t="s">
        <x:v>520</x:v>
      </x:c>
      <x:c r="D9" s="102"/>
      <x:c r="E9" s="110" t="s">
        <x:v>521</x:v>
      </x:c>
      <x:c r="F9" s="104">
        <x:v>46233</x:v>
      </x:c>
      <x:c r="G9" s="105">
        <x:v>46233</x:v>
      </x:c>
      <x:c r="H9" s="105">
        <x:v>46240</x:v>
      </x:c>
      <x:c r="I9" s="111" t="s">
        <x:v>514</x:v>
      </x:c>
      <x:c r="J9" s="107">
        <x:v>0</x:v>
      </x:c>
      <x:c r="K9" s="94"/>
      <x:c r="L9" s="94"/>
      <x:c r="M9" s="94"/>
      <x:c r="N9" s="94"/>
      <x:c r="O9" s="94"/>
      <x:c r="P9" s="94"/>
      <x:c r="Q9" s="94"/>
      <x:c r="R9" s="94"/>
      <x:c r="S9" s="94"/>
      <x:c r="T9" s="94"/>
      <x:c r="U9" s="94"/>
      <x:c r="V9" s="94"/>
    </x:row>
    <x:row r="10">
      <x:c r="A10" s="101"/>
      <x:c r="B10" s="102"/>
      <x:c r="C10" s="112" t="s">
        <x:v>522</x:v>
      </x:c>
      <x:c r="D10" s="102"/>
      <x:c r="E10" s="110" t="s">
        <x:v>523</x:v>
      </x:c>
      <x:c r="F10" s="104">
        <x:v>46227</x:v>
      </x:c>
      <x:c r="G10" s="105">
        <x:v>46230</x:v>
      </x:c>
      <x:c r="H10" s="105">
        <x:v>46237</x:v>
      </x:c>
      <x:c r="I10" s="111" t="s">
        <x:v>514</x:v>
      </x:c>
      <x:c r="J10" s="107">
        <x:v>0</x:v>
      </x:c>
      <x:c r="K10" s="94"/>
      <x:c r="L10" s="94"/>
      <x:c r="M10" s="94"/>
      <x:c r="N10" s="94"/>
      <x:c r="O10" s="94"/>
      <x:c r="P10" s="94"/>
      <x:c r="Q10" s="94"/>
      <x:c r="R10" s="94"/>
      <x:c r="S10" s="94"/>
      <x:c r="T10" s="94"/>
      <x:c r="U10" s="94"/>
      <x:c r="V10" s="94"/>
    </x:row>
    <x:row r="11" ht="18" customHeight="1">
      <x:c r="A11" s="101">
        <x:v>1.5</x:v>
      </x:c>
      <x:c r="B11" s="102" t="s">
        <x:v>524</x:v>
      </x:c>
      <x:c r="C11" s="112" t="s">
        <x:v>525</x:v>
      </x:c>
      <x:c r="D11" s="102"/>
      <x:c r="E11" s="113"/>
      <x:c r="F11" s="104"/>
      <x:c r="G11" s="105">
        <x:v>46241</x:v>
      </x:c>
      <x:c r="H11" s="105">
        <x:v>46245</x:v>
      </x:c>
      <x:c r="I11" s="111" t="s">
        <x:v>514</x:v>
      </x:c>
      <x:c r="J11" s="107">
        <x:v>0</x:v>
      </x:c>
      <x:c r="K11" s="94"/>
      <x:c r="L11" s="94"/>
      <x:c r="M11" s="94"/>
      <x:c r="N11" s="94"/>
      <x:c r="O11" s="94"/>
      <x:c r="P11" s="94"/>
      <x:c r="Q11" s="94"/>
      <x:c r="R11" s="94"/>
      <x:c r="S11" s="94"/>
      <x:c r="T11" s="94"/>
      <x:c r="U11" s="94"/>
      <x:c r="V11" s="94"/>
    </x:row>
    <x:row r="12">
      <x:c r="A12" s="109">
        <x:v>1.6</x:v>
      </x:c>
      <x:c r="B12" s="102" t="s">
        <x:v>526</x:v>
      </x:c>
      <x:c r="C12" s="112" t="s">
        <x:v>527</x:v>
      </x:c>
      <x:c r="D12" s="102"/>
      <x:c r="E12" s="103"/>
      <x:c r="F12" s="104"/>
      <x:c r="G12" s="105">
        <x:v>46241</x:v>
      </x:c>
      <x:c r="H12" s="105">
        <x:v>46245</x:v>
      </x:c>
      <x:c r="I12" s="111" t="s">
        <x:v>514</x:v>
      </x:c>
      <x:c r="J12" s="107">
        <x:v>0</x:v>
      </x:c>
      <x:c r="K12" s="94"/>
      <x:c r="L12" s="94"/>
      <x:c r="M12" s="94"/>
      <x:c r="N12" s="94"/>
      <x:c r="O12" s="94"/>
      <x:c r="P12" s="94"/>
      <x:c r="Q12" s="94"/>
      <x:c r="R12" s="94"/>
      <x:c r="S12" s="94"/>
      <x:c r="T12" s="94"/>
      <x:c r="U12" s="94"/>
      <x:c r="V12" s="94"/>
    </x:row>
    <x:row r="13">
      <x:c r="A13" s="109"/>
      <x:c r="B13" s="102"/>
      <x:c r="C13" s="112" t="s">
        <x:v>528</x:v>
      </x:c>
      <x:c r="D13" s="102"/>
      <x:c r="E13" s="103"/>
      <x:c r="F13" s="104"/>
      <x:c r="G13" s="104">
        <x:v>46246</x:v>
      </x:c>
      <x:c r="H13" s="105">
        <x:v>46253</x:v>
      </x:c>
      <x:c r="I13" s="111" t="s">
        <x:v>514</x:v>
      </x:c>
      <x:c r="J13" s="107">
        <x:v>0</x:v>
      </x:c>
      <x:c r="K13" s="94"/>
      <x:c r="L13" s="94"/>
      <x:c r="M13" s="94"/>
      <x:c r="N13" s="94"/>
      <x:c r="O13" s="94"/>
      <x:c r="P13" s="94"/>
      <x:c r="Q13" s="94"/>
      <x:c r="R13" s="94"/>
      <x:c r="S13" s="94"/>
      <x:c r="T13" s="94"/>
      <x:c r="U13" s="94"/>
      <x:c r="V13" s="94"/>
    </x:row>
    <x:row r="14">
      <x:c r="A14" s="109"/>
      <x:c r="B14" s="102"/>
      <x:c r="C14" s="112" t="s">
        <x:v>529</x:v>
      </x:c>
      <x:c r="D14" s="102"/>
      <x:c r="E14" s="110"/>
      <x:c r="F14" s="105"/>
      <x:c r="G14" s="104">
        <x:v>46246</x:v>
      </x:c>
      <x:c r="H14" s="105">
        <x:v>46251</x:v>
      </x:c>
      <x:c r="I14" s="111" t="s">
        <x:v>514</x:v>
      </x:c>
      <x:c r="J14" s="107">
        <x:v>0</x:v>
      </x:c>
      <x:c r="K14" s="94"/>
      <x:c r="L14" s="94"/>
      <x:c r="M14" s="94"/>
      <x:c r="N14" s="94"/>
      <x:c r="O14" s="94"/>
      <x:c r="P14" s="94"/>
      <x:c r="Q14" s="94"/>
      <x:c r="R14" s="94"/>
      <x:c r="S14" s="94"/>
      <x:c r="T14" s="94"/>
      <x:c r="U14" s="94"/>
      <x:c r="V14" s="94"/>
    </x:row>
    <x:row r="15">
      <x:c r="A15" s="109"/>
      <x:c r="B15" s="102"/>
      <x:c r="C15" s="112" t="s">
        <x:v>530</x:v>
      </x:c>
      <x:c r="D15" s="102"/>
      <x:c r="E15" s="110" t="s">
        <x:v>531</x:v>
      </x:c>
      <x:c r="F15" s="105"/>
      <x:c r="G15" s="104">
        <x:v>46254</x:v>
      </x:c>
      <x:c r="H15" s="105">
        <x:v>46260</x:v>
      </x:c>
      <x:c r="I15" s="111" t="s">
        <x:v>514</x:v>
      </x:c>
      <x:c r="J15" s="107">
        <x:v>0</x:v>
      </x:c>
      <x:c r="K15" s="94"/>
      <x:c r="L15" s="94"/>
      <x:c r="M15" s="94"/>
      <x:c r="N15" s="94"/>
      <x:c r="O15" s="94"/>
      <x:c r="P15" s="94"/>
      <x:c r="Q15" s="94"/>
      <x:c r="R15" s="94"/>
      <x:c r="S15" s="94"/>
      <x:c r="T15" s="94"/>
      <x:c r="U15" s="94"/>
      <x:c r="V15" s="94"/>
    </x:row>
    <x:row r="16">
      <x:c r="A16" s="109"/>
      <x:c r="B16" s="102"/>
      <x:c r="C16" s="112" t="s">
        <x:v>532</x:v>
      </x:c>
      <x:c r="D16" s="102"/>
      <x:c r="E16" s="110" t="s">
        <x:v>533</x:v>
      </x:c>
      <x:c r="F16" s="105">
        <x:v>46234</x:v>
      </x:c>
      <x:c r="G16" s="104">
        <x:v>46246</x:v>
      </x:c>
      <x:c r="H16" s="105">
        <x:v>46260</x:v>
      </x:c>
      <x:c r="I16" s="111" t="s">
        <x:v>514</x:v>
      </x:c>
      <x:c r="J16" s="107">
        <x:v>0</x:v>
      </x:c>
      <x:c r="K16" s="94"/>
      <x:c r="L16" s="94"/>
      <x:c r="M16" s="94"/>
      <x:c r="N16" s="94"/>
      <x:c r="O16" s="94"/>
      <x:c r="P16" s="94"/>
      <x:c r="Q16" s="94"/>
      <x:c r="R16" s="94"/>
      <x:c r="S16" s="94"/>
      <x:c r="T16" s="94"/>
      <x:c r="U16" s="94"/>
      <x:c r="V16" s="94"/>
    </x:row>
    <x:row r="17">
      <x:c r="A17" s="109">
        <x:v>1.7</x:v>
      </x:c>
      <x:c r="B17" s="102" t="s">
        <x:v>534</x:v>
      </x:c>
      <x:c r="C17" s="112" t="s">
        <x:v>535</x:v>
      </x:c>
      <x:c r="D17" s="102"/>
      <x:c r="E17" s="103"/>
      <x:c r="F17" s="104"/>
      <x:c r="G17" s="105">
        <x:v>46261</x:v>
      </x:c>
      <x:c r="H17" s="105">
        <x:v>46262</x:v>
      </x:c>
      <x:c r="I17" s="111" t="s">
        <x:v>514</x:v>
      </x:c>
      <x:c r="J17" s="107">
        <x:v>0</x:v>
      </x:c>
      <x:c r="K17" s="94"/>
      <x:c r="L17" s="94"/>
      <x:c r="M17" s="94"/>
      <x:c r="N17" s="94"/>
      <x:c r="O17" s="94"/>
      <x:c r="P17" s="94"/>
      <x:c r="Q17" s="94"/>
      <x:c r="R17" s="94"/>
      <x:c r="S17" s="94"/>
      <x:c r="T17" s="94"/>
      <x:c r="U17" s="94"/>
      <x:c r="V17" s="94"/>
    </x:row>
    <x:row r="18">
      <x:c r="A18" s="114">
        <x:v>2</x:v>
      </x:c>
      <x:c r="B18" s="115" t="s">
        <x:v>199</x:v>
      </x:c>
      <x:c r="C18" s="96"/>
      <x:c r="D18" s="96" t="s">
        <x:v>505</x:v>
      </x:c>
      <x:c r="E18" s="116" t="s">
        <x:v>506</x:v>
      </x:c>
      <x:c r="F18" s="97" t="s">
        <x:v>507</x:v>
      </x:c>
      <x:c r="G18" s="97" t="n">
        <x:f>MIN(G19:G35)</x:f>
        <x:v>46265</x:v>
      </x:c>
      <x:c r="H18" s="98" t="n">
        <x:f>MAX(H19:H35)</x:f>
        <x:v>46295</x:v>
      </x:c>
      <x:c r="I18" s="99" t="str">
        <x:f>IF(COUNTIF($I$19:$I$35,"未开始")=COUNTA($I$19:$I$35),"未开始",IF(COUNTIF($I$19:$I$35,"进行中")&gt;0,"进行中","已完成"))</x:f>
        <x:v>未开始</x:v>
      </x:c>
      <x:c r="J18" s="100" t="n">
        <x:f>SUM($J$19:$J$35)/COUNT($J$19:$J$35)</x:f>
        <x:v>0</x:v>
      </x:c>
      <x:c r="K18" s="94"/>
      <x:c r="L18" s="94"/>
      <x:c r="M18" s="94"/>
      <x:c r="N18" s="94"/>
      <x:c r="O18" s="94"/>
      <x:c r="P18" s="94"/>
      <x:c r="Q18" s="94"/>
      <x:c r="R18" s="94"/>
      <x:c r="S18" s="94"/>
      <x:c r="T18" s="94"/>
      <x:c r="U18" s="94"/>
      <x:c r="V18" s="94"/>
    </x:row>
    <x:row r="19">
      <x:c r="A19" s="117">
        <x:v>2.1</x:v>
      </x:c>
      <x:c r="B19" s="118" t="s">
        <x:v>510</x:v>
      </x:c>
      <x:c r="C19" s="119" t="s">
        <x:v>536</x:v>
      </x:c>
      <x:c r="D19" s="120"/>
      <x:c r="E19" s="121"/>
      <x:c r="F19" s="122"/>
      <x:c r="G19" s="122">
        <x:v>46265</x:v>
      </x:c>
      <x:c r="H19" s="123"/>
      <x:c r="I19" s="124" t="s">
        <x:v>514</x:v>
      </x:c>
      <x:c r="J19" s="125">
        <x:v>0</x:v>
      </x:c>
      <x:c r="K19" s="94"/>
      <x:c r="L19" s="94"/>
      <x:c r="M19" s="94"/>
      <x:c r="N19" s="94"/>
      <x:c r="O19" s="94"/>
      <x:c r="P19" s="94"/>
      <x:c r="Q19" s="94"/>
      <x:c r="R19" s="94"/>
      <x:c r="S19" s="94"/>
      <x:c r="T19" s="94"/>
      <x:c r="U19" s="94"/>
      <x:c r="V19" s="94"/>
    </x:row>
    <x:row r="20" ht="18" customHeight="1">
      <x:c r="A20" s="117">
        <x:v>2.2</x:v>
      </x:c>
      <x:c r="B20" s="118" t="s">
        <x:v>515</x:v>
      </x:c>
      <x:c r="C20" s="126" t="s">
        <x:v>537</x:v>
      </x:c>
      <x:c r="D20" s="120"/>
      <x:c r="E20" s="127"/>
      <x:c r="F20" s="123"/>
      <x:c r="G20" s="123"/>
      <x:c r="H20" s="123"/>
      <x:c r="I20" s="124" t="s">
        <x:v>514</x:v>
      </x:c>
      <x:c r="J20" s="128">
        <x:v>0</x:v>
      </x:c>
      <x:c r="K20" s="94"/>
      <x:c r="L20" s="94"/>
      <x:c r="M20" s="94"/>
      <x:c r="N20" s="94"/>
      <x:c r="O20" s="94"/>
      <x:c r="P20" s="94"/>
      <x:c r="Q20" s="94"/>
      <x:c r="R20" s="94"/>
      <x:c r="S20" s="94"/>
      <x:c r="T20" s="94"/>
      <x:c r="U20" s="94"/>
      <x:c r="V20" s="94"/>
    </x:row>
    <x:row r="21">
      <x:c r="A21" s="117"/>
      <x:c r="B21" s="118"/>
      <x:c r="C21" s="119" t="s">
        <x:v>538</x:v>
      </x:c>
      <x:c r="D21" s="120"/>
      <x:c r="E21" s="127"/>
      <x:c r="F21" s="123"/>
      <x:c r="G21" s="123"/>
      <x:c r="H21" s="123"/>
      <x:c r="I21" s="124" t="s">
        <x:v>514</x:v>
      </x:c>
      <x:c r="J21" s="128">
        <x:v>0</x:v>
      </x:c>
      <x:c r="K21" s="94"/>
      <x:c r="L21" s="94"/>
      <x:c r="M21" s="94"/>
      <x:c r="N21" s="94"/>
      <x:c r="O21" s="94"/>
      <x:c r="P21" s="94"/>
      <x:c r="Q21" s="94"/>
      <x:c r="R21" s="94"/>
      <x:c r="S21" s="94"/>
      <x:c r="T21" s="94"/>
      <x:c r="U21" s="94"/>
      <x:c r="V21" s="94"/>
    </x:row>
    <x:row r="22">
      <x:c r="A22" s="117"/>
      <x:c r="B22" s="118"/>
      <x:c r="C22" s="119" t="s">
        <x:v>539</x:v>
      </x:c>
      <x:c r="D22" s="120"/>
      <x:c r="E22" s="127"/>
      <x:c r="F22" s="123"/>
      <x:c r="G22" s="123"/>
      <x:c r="H22" s="123"/>
      <x:c r="I22" s="124" t="s">
        <x:v>514</x:v>
      </x:c>
      <x:c r="J22" s="128">
        <x:v>0</x:v>
      </x:c>
      <x:c r="K22" s="94"/>
      <x:c r="L22" s="94"/>
      <x:c r="M22" s="94"/>
      <x:c r="N22" s="94"/>
      <x:c r="O22" s="94"/>
      <x:c r="P22" s="94"/>
      <x:c r="Q22" s="94"/>
      <x:c r="R22" s="94"/>
      <x:c r="S22" s="94"/>
      <x:c r="T22" s="94"/>
      <x:c r="U22" s="94"/>
      <x:c r="V22" s="94"/>
    </x:row>
    <x:row r="23">
      <x:c r="A23" s="117"/>
      <x:c r="B23" s="118"/>
      <x:c r="C23" s="119" t="s">
        <x:v>540</x:v>
      </x:c>
      <x:c r="D23" s="120"/>
      <x:c r="E23" s="121" t="s">
        <x:v>541</x:v>
      </x:c>
      <x:c r="F23" s="123"/>
      <x:c r="G23" s="123"/>
      <x:c r="H23" s="123"/>
      <x:c r="I23" s="124" t="s">
        <x:v>514</x:v>
      </x:c>
      <x:c r="J23" s="128">
        <x:v>0</x:v>
      </x:c>
      <x:c r="K23" s="94"/>
      <x:c r="L23" s="94"/>
      <x:c r="M23" s="94"/>
      <x:c r="N23" s="94"/>
      <x:c r="O23" s="94"/>
      <x:c r="P23" s="94"/>
      <x:c r="Q23" s="94"/>
      <x:c r="R23" s="94"/>
      <x:c r="S23" s="94"/>
      <x:c r="T23" s="94"/>
      <x:c r="U23" s="94"/>
      <x:c r="V23" s="94"/>
    </x:row>
    <x:row r="24" ht="18" customHeight="1">
      <x:c r="A24" s="117"/>
      <x:c r="B24" s="118"/>
      <x:c r="C24" s="119" t="s">
        <x:v>542</x:v>
      </x:c>
      <x:c r="D24" s="120"/>
      <x:c r="E24" s="121" t="s">
        <x:v>543</x:v>
      </x:c>
      <x:c r="F24" s="123"/>
      <x:c r="G24" s="123"/>
      <x:c r="H24" s="123"/>
      <x:c r="I24" s="124" t="s">
        <x:v>514</x:v>
      </x:c>
      <x:c r="J24" s="128">
        <x:v>0</x:v>
      </x:c>
      <x:c r="K24" s="94"/>
      <x:c r="L24" s="94"/>
      <x:c r="M24" s="94"/>
      <x:c r="N24" s="94"/>
      <x:c r="O24" s="94"/>
      <x:c r="P24" s="94"/>
      <x:c r="Q24" s="94"/>
      <x:c r="R24" s="94"/>
      <x:c r="S24" s="94"/>
      <x:c r="T24" s="94"/>
      <x:c r="U24" s="94"/>
      <x:c r="V24" s="94"/>
    </x:row>
    <x:row r="25" ht="18" customHeight="1">
      <x:c r="A25" s="117"/>
      <x:c r="B25" s="118"/>
      <x:c r="C25" s="119" t="s">
        <x:v>544</x:v>
      </x:c>
      <x:c r="D25" s="120"/>
      <x:c r="E25" s="127"/>
      <x:c r="F25" s="123"/>
      <x:c r="G25" s="123"/>
      <x:c r="H25" s="123"/>
      <x:c r="I25" s="124" t="s">
        <x:v>514</x:v>
      </x:c>
      <x:c r="J25" s="128">
        <x:v>0</x:v>
      </x:c>
      <x:c r="K25" s="94"/>
      <x:c r="L25" s="94"/>
      <x:c r="M25" s="94"/>
      <x:c r="N25" s="94"/>
      <x:c r="O25" s="94"/>
      <x:c r="P25" s="94"/>
      <x:c r="Q25" s="94"/>
      <x:c r="R25" s="94"/>
      <x:c r="S25" s="94"/>
      <x:c r="T25" s="94"/>
      <x:c r="U25" s="94"/>
      <x:c r="V25" s="94"/>
    </x:row>
    <x:row r="26" ht="18" customHeight="1">
      <x:c r="A26" s="117"/>
      <x:c r="B26" s="118"/>
      <x:c r="C26" s="119" t="s">
        <x:v>545</x:v>
      </x:c>
      <x:c r="D26" s="120"/>
      <x:c r="E26" s="123"/>
      <x:c r="F26" s="123"/>
      <x:c r="G26" s="123"/>
      <x:c r="H26" s="123"/>
      <x:c r="I26" s="124" t="s">
        <x:v>514</x:v>
      </x:c>
      <x:c r="J26" s="128">
        <x:v>0</x:v>
      </x:c>
      <x:c r="K26" s="94"/>
      <x:c r="L26" s="94"/>
      <x:c r="M26" s="94"/>
      <x:c r="N26" s="94"/>
      <x:c r="O26" s="94"/>
      <x:c r="P26" s="94"/>
      <x:c r="Q26" s="94"/>
      <x:c r="R26" s="94"/>
      <x:c r="S26" s="94"/>
      <x:c r="T26" s="94"/>
      <x:c r="U26" s="94"/>
      <x:c r="V26" s="94"/>
    </x:row>
    <x:row r="27">
      <x:c r="A27" s="117">
        <x:v>2.3</x:v>
      </x:c>
      <x:c r="B27" s="118" t="s">
        <x:v>526</x:v>
      </x:c>
      <x:c r="C27" s="119" t="s">
        <x:v>546</x:v>
      </x:c>
      <x:c r="D27" s="120"/>
      <x:c r="E27" s="123"/>
      <x:c r="F27" s="123"/>
      <x:c r="G27" s="123"/>
      <x:c r="H27" s="122"/>
      <x:c r="I27" s="124" t="s">
        <x:v>514</x:v>
      </x:c>
      <x:c r="J27" s="128">
        <x:v>0</x:v>
      </x:c>
      <x:c r="K27" s="94"/>
      <x:c r="L27" s="94"/>
      <x:c r="M27" s="94"/>
      <x:c r="N27" s="94"/>
      <x:c r="O27" s="94"/>
      <x:c r="P27" s="94"/>
      <x:c r="Q27" s="94"/>
      <x:c r="R27" s="94"/>
      <x:c r="S27" s="94"/>
      <x:c r="T27" s="94"/>
      <x:c r="U27" s="94"/>
      <x:c r="V27" s="94"/>
    </x:row>
    <x:row r="28">
      <x:c r="A28" s="117"/>
      <x:c r="B28" s="118"/>
      <x:c r="C28" s="119" t="s">
        <x:v>547</x:v>
      </x:c>
      <x:c r="D28" s="120"/>
      <x:c r="E28" s="123"/>
      <x:c r="F28" s="123"/>
      <x:c r="G28" s="123"/>
      <x:c r="H28" s="122"/>
      <x:c r="I28" s="124" t="s">
        <x:v>514</x:v>
      </x:c>
      <x:c r="J28" s="128">
        <x:v>0</x:v>
      </x:c>
      <x:c r="K28" s="94"/>
      <x:c r="L28" s="94"/>
      <x:c r="M28" s="94"/>
      <x:c r="N28" s="94"/>
      <x:c r="O28" s="94"/>
      <x:c r="P28" s="94"/>
      <x:c r="Q28" s="94"/>
      <x:c r="R28" s="94"/>
      <x:c r="S28" s="94"/>
      <x:c r="T28" s="94"/>
      <x:c r="U28" s="94"/>
      <x:c r="V28" s="94"/>
    </x:row>
    <x:row r="29">
      <x:c r="A29" s="117"/>
      <x:c r="B29" s="118"/>
      <x:c r="C29" s="119" t="s">
        <x:v>548</x:v>
      </x:c>
      <x:c r="D29" s="120"/>
      <x:c r="E29" s="123"/>
      <x:c r="F29" s="123"/>
      <x:c r="G29" s="123"/>
      <x:c r="H29" s="122"/>
      <x:c r="I29" s="124" t="s">
        <x:v>514</x:v>
      </x:c>
      <x:c r="J29" s="128">
        <x:v>0</x:v>
      </x:c>
      <x:c r="K29" s="94"/>
      <x:c r="L29" s="94"/>
      <x:c r="M29" s="94"/>
      <x:c r="N29" s="94"/>
      <x:c r="O29" s="94"/>
      <x:c r="P29" s="94"/>
      <x:c r="Q29" s="94"/>
      <x:c r="R29" s="94"/>
      <x:c r="S29" s="94"/>
      <x:c r="T29" s="94"/>
      <x:c r="U29" s="94"/>
      <x:c r="V29" s="94"/>
    </x:row>
    <x:row r="30">
      <x:c r="A30" s="117"/>
      <x:c r="B30" s="118"/>
      <x:c r="C30" s="119" t="s">
        <x:v>549</x:v>
      </x:c>
      <x:c r="D30" s="120"/>
      <x:c r="E30" s="123"/>
      <x:c r="F30" s="123"/>
      <x:c r="G30" s="123"/>
      <x:c r="H30" s="122"/>
      <x:c r="I30" s="124" t="s">
        <x:v>514</x:v>
      </x:c>
      <x:c r="J30" s="128">
        <x:v>0</x:v>
      </x:c>
      <x:c r="K30" s="94"/>
      <x:c r="L30" s="94"/>
      <x:c r="M30" s="94"/>
      <x:c r="N30" s="94"/>
      <x:c r="O30" s="94"/>
      <x:c r="P30" s="94"/>
      <x:c r="Q30" s="94"/>
      <x:c r="R30" s="94"/>
      <x:c r="S30" s="94"/>
      <x:c r="T30" s="94"/>
      <x:c r="U30" s="94"/>
      <x:c r="V30" s="94"/>
    </x:row>
    <x:row r="31">
      <x:c r="A31" s="117"/>
      <x:c r="B31" s="118"/>
      <x:c r="C31" s="119" t="s">
        <x:v>550</x:v>
      </x:c>
      <x:c r="D31" s="120"/>
      <x:c r="E31" s="123"/>
      <x:c r="F31" s="123"/>
      <x:c r="G31" s="123"/>
      <x:c r="H31" s="122"/>
      <x:c r="I31" s="124" t="s">
        <x:v>514</x:v>
      </x:c>
      <x:c r="J31" s="128">
        <x:v>0</x:v>
      </x:c>
      <x:c r="K31" s="94"/>
      <x:c r="L31" s="94"/>
      <x:c r="M31" s="94"/>
      <x:c r="N31" s="94"/>
      <x:c r="O31" s="94"/>
      <x:c r="P31" s="94"/>
      <x:c r="Q31" s="94"/>
      <x:c r="R31" s="94"/>
      <x:c r="S31" s="94"/>
      <x:c r="T31" s="94"/>
      <x:c r="U31" s="94"/>
      <x:c r="V31" s="94"/>
    </x:row>
    <x:row r="32">
      <x:c r="A32" s="117"/>
      <x:c r="B32" s="118"/>
      <x:c r="C32" s="119" t="s">
        <x:v>551</x:v>
      </x:c>
      <x:c r="D32" s="120"/>
      <x:c r="E32" s="123"/>
      <x:c r="F32" s="123"/>
      <x:c r="G32" s="123"/>
      <x:c r="H32" s="122"/>
      <x:c r="I32" s="124" t="s">
        <x:v>514</x:v>
      </x:c>
      <x:c r="J32" s="128">
        <x:v>0</x:v>
      </x:c>
      <x:c r="K32" s="94"/>
      <x:c r="L32" s="94"/>
      <x:c r="M32" s="94"/>
      <x:c r="N32" s="94"/>
      <x:c r="O32" s="94"/>
      <x:c r="P32" s="94"/>
      <x:c r="Q32" s="94"/>
      <x:c r="R32" s="94"/>
      <x:c r="S32" s="94"/>
      <x:c r="T32" s="94"/>
      <x:c r="U32" s="94"/>
      <x:c r="V32" s="94"/>
    </x:row>
    <x:row r="33">
      <x:c r="A33" s="117"/>
      <x:c r="B33" s="118"/>
      <x:c r="C33" s="119" t="s">
        <x:v>552</x:v>
      </x:c>
      <x:c r="D33" s="120"/>
      <x:c r="E33" s="123"/>
      <x:c r="F33" s="123"/>
      <x:c r="G33" s="123"/>
      <x:c r="H33" s="122"/>
      <x:c r="I33" s="124" t="s">
        <x:v>514</x:v>
      </x:c>
      <x:c r="J33" s="128">
        <x:v>0</x:v>
      </x:c>
      <x:c r="K33" s="94"/>
      <x:c r="L33" s="94"/>
      <x:c r="M33" s="94"/>
      <x:c r="N33" s="94"/>
      <x:c r="O33" s="94"/>
      <x:c r="P33" s="94"/>
      <x:c r="Q33" s="94"/>
      <x:c r="R33" s="94"/>
      <x:c r="S33" s="94"/>
      <x:c r="T33" s="94"/>
      <x:c r="U33" s="94"/>
      <x:c r="V33" s="94"/>
    </x:row>
    <x:row r="34">
      <x:c r="A34" s="117">
        <x:v>2.4</x:v>
      </x:c>
      <x:c r="B34" s="118" t="s">
        <x:v>553</x:v>
      </x:c>
      <x:c r="C34" s="126" t="s">
        <x:v>554</x:v>
      </x:c>
      <x:c r="D34" s="120"/>
      <x:c r="E34" s="123"/>
      <x:c r="F34" s="123"/>
      <x:c r="G34" s="123"/>
      <x:c r="H34" s="122"/>
      <x:c r="I34" s="124" t="s">
        <x:v>514</x:v>
      </x:c>
      <x:c r="J34" s="128">
        <x:v>0</x:v>
      </x:c>
      <x:c r="K34" s="94"/>
      <x:c r="L34" s="94"/>
      <x:c r="M34" s="94"/>
      <x:c r="N34" s="94"/>
      <x:c r="O34" s="94"/>
      <x:c r="P34" s="94"/>
      <x:c r="Q34" s="94"/>
      <x:c r="R34" s="94"/>
      <x:c r="S34" s="94"/>
      <x:c r="T34" s="94"/>
      <x:c r="U34" s="94"/>
      <x:c r="V34" s="94"/>
    </x:row>
    <x:row r="35" ht="31" customHeight="1">
      <x:c r="A35" s="117">
        <x:v>2.5</x:v>
      </x:c>
      <x:c r="B35" s="118" t="s">
        <x:v>534</x:v>
      </x:c>
      <x:c r="C35" s="126" t="s">
        <x:v>555</x:v>
      </x:c>
      <x:c r="D35" s="120"/>
      <x:c r="E35" s="123"/>
      <x:c r="F35" s="123"/>
      <x:c r="G35" s="123"/>
      <x:c r="H35" s="122">
        <x:v>46295</x:v>
      </x:c>
      <x:c r="I35" s="124" t="s">
        <x:v>514</x:v>
      </x:c>
      <x:c r="J35" s="128">
        <x:v>0</x:v>
      </x:c>
      <x:c r="K35" s="94"/>
      <x:c r="L35" s="94"/>
      <x:c r="M35" s="94"/>
      <x:c r="N35" s="94"/>
      <x:c r="O35" s="94"/>
      <x:c r="P35" s="94"/>
      <x:c r="Q35" s="94"/>
      <x:c r="R35" s="94"/>
      <x:c r="S35" s="94"/>
      <x:c r="T35" s="94"/>
      <x:c r="U35" s="94"/>
      <x:c r="V35" s="94"/>
    </x:row>
    <x:row r="36">
      <x:c r="A36" s="114">
        <x:v>3</x:v>
      </x:c>
      <x:c r="B36" s="115" t="s">
        <x:v>556</x:v>
      </x:c>
      <x:c r="C36" s="115"/>
      <x:c r="D36" s="115" t="s">
        <x:v>557</x:v>
      </x:c>
      <x:c r="E36" s="98"/>
      <x:c r="F36" s="98"/>
      <x:c r="G36" s="98" t="n">
        <x:f>MAX(G37:G40)</x:f>
        <x:v>46223</x:v>
      </x:c>
      <x:c r="H36" s="98" t="n">
        <x:f>MAX(H37:H40)</x:f>
        <x:v>46295</x:v>
      </x:c>
      <x:c r="I36" s="99" t="str">
        <x:f>IF(COUNTIF($I$37:$I$40,"未开始")=COUNTA($I$37:$I$40),"未开始",IF(COUNTIF($I$37:$I$40,"进行中")&gt;0,"进行中","已完成"))</x:f>
        <x:v>未开始</x:v>
      </x:c>
      <x:c r="J36" s="100" t="n">
        <x:f>SUM($J$37:$J$40)/COUNT($J$37:$J$40)</x:f>
        <x:v>0</x:v>
      </x:c>
      <x:c r="K36" s="94"/>
      <x:c r="L36" s="94"/>
      <x:c r="M36" s="94"/>
      <x:c r="N36" s="94"/>
      <x:c r="O36" s="94"/>
      <x:c r="P36" s="94"/>
      <x:c r="Q36" s="94"/>
      <x:c r="R36" s="94"/>
      <x:c r="S36" s="94"/>
      <x:c r="T36" s="94"/>
      <x:c r="U36" s="94"/>
      <x:c r="V36" s="94"/>
    </x:row>
    <x:row r="37">
      <x:c r="A37" s="117">
        <x:v>3.1</x:v>
      </x:c>
      <x:c r="B37" s="120"/>
      <x:c r="C37" s="120"/>
      <x:c r="D37" s="120"/>
      <x:c r="E37" s="122"/>
      <x:c r="F37" s="122"/>
      <x:c r="G37" s="122">
        <x:v>46223</x:v>
      </x:c>
      <x:c r="H37" s="123"/>
      <x:c r="I37" s="120"/>
      <x:c r="J37" s="125">
        <x:v>0</x:v>
      </x:c>
      <x:c r="K37" s="94"/>
      <x:c r="L37" s="94"/>
      <x:c r="M37" s="94"/>
      <x:c r="N37" s="94"/>
      <x:c r="O37" s="94"/>
      <x:c r="P37" s="94"/>
      <x:c r="Q37" s="94"/>
      <x:c r="R37" s="94"/>
      <x:c r="S37" s="94"/>
      <x:c r="T37" s="94"/>
      <x:c r="U37" s="94"/>
      <x:c r="V37" s="94"/>
    </x:row>
    <x:row r="38">
      <x:c r="A38" s="117">
        <x:v>3.2</x:v>
      </x:c>
      <x:c r="B38" s="120"/>
      <x:c r="C38" s="120"/>
      <x:c r="D38" s="120"/>
      <x:c r="E38" s="123"/>
      <x:c r="F38" s="123"/>
      <x:c r="G38" s="123"/>
      <x:c r="H38" s="123"/>
      <x:c r="I38" s="120"/>
      <x:c r="J38" s="125">
        <x:v>0</x:v>
      </x:c>
      <x:c r="K38" s="94"/>
      <x:c r="L38" s="94"/>
      <x:c r="M38" s="94"/>
      <x:c r="N38" s="94"/>
      <x:c r="O38" s="94"/>
      <x:c r="P38" s="94"/>
      <x:c r="Q38" s="94"/>
      <x:c r="R38" s="94"/>
      <x:c r="S38" s="94"/>
      <x:c r="T38" s="94"/>
      <x:c r="U38" s="94"/>
      <x:c r="V38" s="94"/>
    </x:row>
    <x:row r="39">
      <x:c r="A39" s="117">
        <x:v>3.3</x:v>
      </x:c>
      <x:c r="B39" s="120"/>
      <x:c r="C39" s="120"/>
      <x:c r="D39" s="120"/>
      <x:c r="E39" s="123"/>
      <x:c r="F39" s="123"/>
      <x:c r="G39" s="123"/>
      <x:c r="H39" s="123"/>
      <x:c r="I39" s="120"/>
      <x:c r="J39" s="125">
        <x:v>0</x:v>
      </x:c>
      <x:c r="K39" s="94"/>
      <x:c r="L39" s="94"/>
      <x:c r="M39" s="94"/>
      <x:c r="N39" s="94"/>
      <x:c r="O39" s="94"/>
      <x:c r="P39" s="94"/>
      <x:c r="Q39" s="94"/>
      <x:c r="R39" s="94"/>
      <x:c r="S39" s="94"/>
      <x:c r="T39" s="94"/>
      <x:c r="U39" s="94"/>
      <x:c r="V39" s="94"/>
    </x:row>
    <x:row r="40">
      <x:c r="A40" s="117">
        <x:v>3.4</x:v>
      </x:c>
      <x:c r="B40" s="120"/>
      <x:c r="C40" s="120"/>
      <x:c r="D40" s="120"/>
      <x:c r="E40" s="123"/>
      <x:c r="F40" s="123"/>
      <x:c r="G40" s="123"/>
      <x:c r="H40" s="122">
        <x:v>46295</x:v>
      </x:c>
      <x:c r="I40" s="120"/>
      <x:c r="J40" s="125">
        <x:v>0</x:v>
      </x:c>
      <x:c r="K40" s="94"/>
      <x:c r="L40" s="94"/>
      <x:c r="M40" s="94"/>
      <x:c r="N40" s="94"/>
      <x:c r="O40" s="94"/>
      <x:c r="P40" s="94"/>
      <x:c r="Q40" s="94"/>
      <x:c r="R40" s="94"/>
      <x:c r="S40" s="94"/>
      <x:c r="T40" s="94"/>
      <x:c r="U40" s="94"/>
      <x:c r="V40" s="94"/>
    </x:row>
    <x:row r="41">
      <x:c r="A41" s="129"/>
      <x:c r="B41" s="94"/>
      <x:c r="C41" s="94"/>
      <x:c r="D41" s="94"/>
      <x:c r="E41" s="130"/>
      <x:c r="F41" s="130"/>
      <x:c r="G41" s="130"/>
      <x:c r="H41" s="130"/>
      <x:c r="I41" s="94"/>
      <x:c r="J41" s="131"/>
      <x:c r="K41" s="94"/>
      <x:c r="L41" s="94"/>
      <x:c r="M41" s="94"/>
      <x:c r="N41" s="94"/>
      <x:c r="O41" s="94"/>
      <x:c r="P41" s="94"/>
      <x:c r="Q41" s="94"/>
      <x:c r="R41" s="94"/>
      <x:c r="S41" s="94"/>
      <x:c r="T41" s="94"/>
      <x:c r="U41" s="94"/>
      <x:c r="V41" s="94"/>
    </x:row>
    <x:row r="42">
      <x:c r="A42" s="129"/>
      <x:c r="B42" s="94"/>
      <x:c r="C42" s="94"/>
      <x:c r="D42" s="94"/>
      <x:c r="E42" s="130"/>
      <x:c r="F42" s="130"/>
      <x:c r="G42" s="130"/>
      <x:c r="H42" s="130"/>
      <x:c r="I42" s="94"/>
      <x:c r="J42" s="131"/>
      <x:c r="K42" s="94"/>
      <x:c r="L42" s="94"/>
      <x:c r="M42" s="94"/>
      <x:c r="N42" s="94"/>
      <x:c r="O42" s="94"/>
      <x:c r="P42" s="94"/>
      <x:c r="Q42" s="94"/>
      <x:c r="R42" s="94"/>
      <x:c r="S42" s="94"/>
      <x:c r="T42" s="94"/>
      <x:c r="U42" s="94"/>
      <x:c r="V42" s="94"/>
    </x:row>
    <x:row r="43">
      <x:c r="A43" s="129"/>
      <x:c r="B43" s="94"/>
      <x:c r="C43" s="94"/>
      <x:c r="D43" s="94"/>
      <x:c r="E43" s="130"/>
      <x:c r="F43" s="130"/>
      <x:c r="G43" s="130"/>
      <x:c r="H43" s="130"/>
      <x:c r="I43" s="94"/>
      <x:c r="J43" s="131"/>
      <x:c r="K43" s="94"/>
      <x:c r="L43" s="94"/>
      <x:c r="M43" s="94"/>
      <x:c r="N43" s="94"/>
      <x:c r="O43" s="94"/>
      <x:c r="P43" s="94"/>
      <x:c r="Q43" s="94"/>
      <x:c r="R43" s="94"/>
      <x:c r="S43" s="94"/>
      <x:c r="T43" s="94"/>
      <x:c r="U43" s="94"/>
      <x:c r="V43" s="94"/>
    </x:row>
    <x:row r="44">
      <x:c r="A44" s="129"/>
      <x:c r="B44" s="94"/>
      <x:c r="C44" s="94"/>
      <x:c r="D44" s="94"/>
      <x:c r="E44" s="130"/>
      <x:c r="F44" s="130"/>
      <x:c r="G44" s="130"/>
      <x:c r="H44" s="130"/>
      <x:c r="I44" s="94"/>
      <x:c r="J44" s="131"/>
      <x:c r="K44" s="94"/>
      <x:c r="L44" s="94"/>
      <x:c r="M44" s="94"/>
      <x:c r="N44" s="94"/>
      <x:c r="O44" s="94"/>
      <x:c r="P44" s="94"/>
      <x:c r="Q44" s="94"/>
      <x:c r="R44" s="94"/>
      <x:c r="S44" s="94"/>
      <x:c r="T44" s="94"/>
      <x:c r="U44" s="94"/>
      <x:c r="V44" s="94"/>
    </x:row>
    <x:row r="45">
      <x:c r="A45" s="129"/>
      <x:c r="B45" s="94"/>
      <x:c r="C45" s="94"/>
      <x:c r="D45" s="94"/>
      <x:c r="E45" s="130"/>
      <x:c r="F45" s="130"/>
      <x:c r="G45" s="130"/>
      <x:c r="H45" s="130"/>
      <x:c r="I45" s="94"/>
      <x:c r="J45" s="131"/>
      <x:c r="K45" s="94"/>
      <x:c r="L45" s="94"/>
      <x:c r="M45" s="94"/>
      <x:c r="N45" s="94"/>
      <x:c r="O45" s="94"/>
      <x:c r="P45" s="94"/>
      <x:c r="Q45" s="94"/>
      <x:c r="R45" s="94"/>
      <x:c r="S45" s="94"/>
      <x:c r="T45" s="94"/>
      <x:c r="U45" s="94"/>
      <x:c r="V45" s="94"/>
    </x:row>
    <x:row r="46">
      <x:c r="A46" s="129"/>
      <x:c r="B46" s="94"/>
      <x:c r="C46" s="94"/>
      <x:c r="D46" s="94"/>
      <x:c r="E46" s="130"/>
      <x:c r="F46" s="130"/>
      <x:c r="G46" s="130"/>
      <x:c r="H46" s="130"/>
      <x:c r="I46" s="94"/>
      <x:c r="J46" s="131"/>
      <x:c r="K46" s="94"/>
      <x:c r="L46" s="94"/>
      <x:c r="M46" s="94"/>
      <x:c r="N46" s="94"/>
      <x:c r="O46" s="94"/>
      <x:c r="P46" s="94"/>
      <x:c r="Q46" s="94"/>
      <x:c r="R46" s="94"/>
      <x:c r="S46" s="94"/>
      <x:c r="T46" s="94"/>
      <x:c r="U46" s="94"/>
      <x:c r="V46" s="94"/>
    </x:row>
    <x:row r="47">
      <x:c r="A47" s="129"/>
      <x:c r="B47" s="94"/>
      <x:c r="C47" s="94"/>
      <x:c r="D47" s="94"/>
      <x:c r="E47" s="130"/>
      <x:c r="F47" s="130"/>
      <x:c r="G47" s="130"/>
      <x:c r="H47" s="130"/>
      <x:c r="I47" s="94"/>
      <x:c r="J47" s="131"/>
      <x:c r="K47" s="94"/>
      <x:c r="L47" s="94"/>
      <x:c r="M47" s="94"/>
      <x:c r="N47" s="94"/>
      <x:c r="O47" s="94"/>
      <x:c r="P47" s="94"/>
      <x:c r="Q47" s="94"/>
      <x:c r="R47" s="94"/>
      <x:c r="S47" s="94"/>
      <x:c r="T47" s="94"/>
      <x:c r="U47" s="94"/>
      <x:c r="V47" s="94"/>
    </x:row>
    <x:row r="48">
      <x:c r="A48" s="129"/>
      <x:c r="B48" s="94"/>
      <x:c r="C48" s="94"/>
      <x:c r="D48" s="94"/>
      <x:c r="E48" s="130"/>
      <x:c r="F48" s="130"/>
      <x:c r="G48" s="130"/>
      <x:c r="H48" s="130"/>
      <x:c r="I48" s="94"/>
      <x:c r="J48" s="131"/>
      <x:c r="K48" s="94"/>
      <x:c r="L48" s="94"/>
      <x:c r="M48" s="94"/>
      <x:c r="N48" s="94"/>
      <x:c r="O48" s="94"/>
      <x:c r="P48" s="94"/>
      <x:c r="Q48" s="94"/>
      <x:c r="R48" s="94"/>
      <x:c r="S48" s="94"/>
      <x:c r="T48" s="94"/>
      <x:c r="U48" s="94"/>
      <x:c r="V48" s="94"/>
    </x:row>
    <x:row r="49">
      <x:c r="A49" s="129"/>
      <x:c r="B49" s="94"/>
      <x:c r="C49" s="94"/>
      <x:c r="D49" s="94"/>
      <x:c r="E49" s="130"/>
      <x:c r="F49" s="130"/>
      <x:c r="G49" s="130"/>
      <x:c r="H49" s="130"/>
      <x:c r="I49" s="94"/>
      <x:c r="J49" s="131"/>
      <x:c r="K49" s="94"/>
      <x:c r="L49" s="94"/>
      <x:c r="M49" s="94"/>
      <x:c r="N49" s="94"/>
      <x:c r="O49" s="94"/>
      <x:c r="P49" s="94"/>
      <x:c r="Q49" s="94"/>
      <x:c r="R49" s="94"/>
      <x:c r="S49" s="94"/>
      <x:c r="T49" s="94"/>
      <x:c r="U49" s="94"/>
      <x:c r="V49" s="94"/>
    </x:row>
    <x:row r="50">
      <x:c r="A50" s="129"/>
      <x:c r="B50" s="94"/>
      <x:c r="C50" s="94"/>
      <x:c r="D50" s="94"/>
      <x:c r="E50" s="130"/>
      <x:c r="F50" s="130"/>
      <x:c r="G50" s="130"/>
      <x:c r="H50" s="130"/>
      <x:c r="I50" s="94"/>
      <x:c r="J50" s="131"/>
      <x:c r="K50" s="94"/>
      <x:c r="L50" s="94"/>
      <x:c r="M50" s="94"/>
      <x:c r="N50" s="94"/>
      <x:c r="O50" s="94"/>
      <x:c r="P50" s="94"/>
      <x:c r="Q50" s="94"/>
      <x:c r="R50" s="94"/>
      <x:c r="S50" s="94"/>
      <x:c r="T50" s="94"/>
      <x:c r="U50" s="94"/>
      <x:c r="V50" s="94"/>
    </x:row>
    <x:row r="51">
      <x:c r="A51" s="129"/>
      <x:c r="B51" s="94"/>
      <x:c r="C51" s="94"/>
      <x:c r="D51" s="94"/>
      <x:c r="E51" s="130"/>
      <x:c r="F51" s="130"/>
      <x:c r="G51" s="130"/>
      <x:c r="H51" s="130"/>
      <x:c r="I51" s="94"/>
      <x:c r="J51" s="131"/>
      <x:c r="K51" s="94"/>
      <x:c r="L51" s="94"/>
      <x:c r="M51" s="94"/>
      <x:c r="N51" s="94"/>
      <x:c r="O51" s="94"/>
      <x:c r="P51" s="94"/>
      <x:c r="Q51" s="94"/>
      <x:c r="R51" s="94"/>
      <x:c r="S51" s="94"/>
      <x:c r="T51" s="94"/>
      <x:c r="U51" s="94"/>
      <x:c r="V51" s="94"/>
    </x:row>
    <x:row r="52">
      <x:c r="A52" s="129"/>
      <x:c r="B52" s="94"/>
      <x:c r="C52" s="94"/>
      <x:c r="D52" s="94"/>
      <x:c r="E52" s="130"/>
      <x:c r="F52" s="130"/>
      <x:c r="G52" s="130"/>
      <x:c r="H52" s="130"/>
      <x:c r="I52" s="94"/>
      <x:c r="J52" s="131"/>
      <x:c r="K52" s="94"/>
      <x:c r="L52" s="94"/>
      <x:c r="M52" s="94"/>
      <x:c r="N52" s="94"/>
      <x:c r="O52" s="94"/>
      <x:c r="P52" s="94"/>
      <x:c r="Q52" s="94"/>
      <x:c r="R52" s="94"/>
      <x:c r="S52" s="94"/>
      <x:c r="T52" s="94"/>
      <x:c r="U52" s="94"/>
      <x:c r="V52" s="94"/>
    </x:row>
    <x:row r="53">
      <x:c r="A53" s="129"/>
      <x:c r="B53" s="94"/>
      <x:c r="C53" s="94"/>
      <x:c r="D53" s="94"/>
      <x:c r="E53" s="130"/>
      <x:c r="F53" s="130"/>
      <x:c r="G53" s="130"/>
      <x:c r="H53" s="130"/>
      <x:c r="I53" s="94"/>
      <x:c r="J53" s="131"/>
      <x:c r="K53" s="94"/>
      <x:c r="L53" s="94"/>
      <x:c r="M53" s="94"/>
      <x:c r="N53" s="94"/>
      <x:c r="O53" s="94"/>
      <x:c r="P53" s="94"/>
      <x:c r="Q53" s="94"/>
      <x:c r="R53" s="94"/>
      <x:c r="S53" s="94"/>
      <x:c r="T53" s="94"/>
      <x:c r="U53" s="94"/>
      <x:c r="V53" s="94"/>
    </x:row>
    <x:row r="54">
      <x:c r="A54" s="129"/>
      <x:c r="B54" s="94"/>
      <x:c r="C54" s="94"/>
      <x:c r="D54" s="94"/>
      <x:c r="E54" s="130"/>
      <x:c r="F54" s="130"/>
      <x:c r="G54" s="130"/>
      <x:c r="H54" s="130"/>
      <x:c r="I54" s="94"/>
      <x:c r="J54" s="131"/>
      <x:c r="K54" s="94"/>
      <x:c r="L54" s="94"/>
      <x:c r="M54" s="94"/>
      <x:c r="N54" s="94"/>
      <x:c r="O54" s="94"/>
      <x:c r="P54" s="94"/>
      <x:c r="Q54" s="94"/>
      <x:c r="R54" s="94"/>
      <x:c r="S54" s="94"/>
      <x:c r="T54" s="94"/>
      <x:c r="U54" s="94"/>
      <x:c r="V54" s="94"/>
    </x:row>
    <x:row r="55">
      <x:c r="A55" s="129"/>
      <x:c r="B55" s="94"/>
      <x:c r="C55" s="94"/>
      <x:c r="D55" s="94"/>
      <x:c r="E55" s="130"/>
      <x:c r="F55" s="130"/>
      <x:c r="G55" s="130"/>
      <x:c r="H55" s="130"/>
      <x:c r="I55" s="94"/>
      <x:c r="J55" s="131"/>
      <x:c r="K55" s="94"/>
      <x:c r="L55" s="94"/>
      <x:c r="M55" s="94"/>
      <x:c r="N55" s="94"/>
      <x:c r="O55" s="94"/>
      <x:c r="P55" s="94"/>
      <x:c r="Q55" s="94"/>
      <x:c r="R55" s="94"/>
      <x:c r="S55" s="94"/>
      <x:c r="T55" s="94"/>
      <x:c r="U55" s="94"/>
      <x:c r="V55" s="94"/>
    </x:row>
    <x:row r="56">
      <x:c r="A56" s="129"/>
      <x:c r="B56" s="94"/>
      <x:c r="C56" s="94"/>
      <x:c r="D56" s="94"/>
      <x:c r="E56" s="130"/>
      <x:c r="F56" s="130"/>
      <x:c r="G56" s="130"/>
      <x:c r="H56" s="130"/>
      <x:c r="I56" s="94"/>
      <x:c r="J56" s="131"/>
      <x:c r="K56" s="94"/>
      <x:c r="L56" s="94"/>
      <x:c r="M56" s="94"/>
      <x:c r="N56" s="94"/>
      <x:c r="O56" s="94"/>
      <x:c r="P56" s="94"/>
      <x:c r="Q56" s="94"/>
      <x:c r="R56" s="94"/>
      <x:c r="S56" s="94"/>
      <x:c r="T56" s="94"/>
      <x:c r="U56" s="94"/>
      <x:c r="V56" s="94"/>
    </x:row>
    <x:row r="57">
      <x:c r="A57" s="129"/>
      <x:c r="B57" s="94"/>
      <x:c r="C57" s="94"/>
      <x:c r="D57" s="94"/>
      <x:c r="E57" s="130"/>
      <x:c r="F57" s="130"/>
      <x:c r="G57" s="130"/>
      <x:c r="H57" s="130"/>
      <x:c r="I57" s="94"/>
      <x:c r="J57" s="131"/>
      <x:c r="K57" s="94"/>
      <x:c r="L57" s="94"/>
      <x:c r="M57" s="94"/>
      <x:c r="N57" s="94"/>
      <x:c r="O57" s="94"/>
      <x:c r="P57" s="94"/>
      <x:c r="Q57" s="94"/>
      <x:c r="R57" s="94"/>
      <x:c r="S57" s="94"/>
      <x:c r="T57" s="94"/>
      <x:c r="U57" s="94"/>
      <x:c r="V57" s="94"/>
    </x:row>
    <x:row r="58">
      <x:c r="A58" s="129"/>
      <x:c r="B58" s="94"/>
      <x:c r="C58" s="94"/>
      <x:c r="D58" s="94"/>
      <x:c r="E58" s="130"/>
      <x:c r="F58" s="130"/>
      <x:c r="G58" s="130"/>
      <x:c r="H58" s="130"/>
      <x:c r="I58" s="94"/>
      <x:c r="J58" s="131"/>
      <x:c r="K58" s="94"/>
      <x:c r="L58" s="94"/>
      <x:c r="M58" s="94"/>
      <x:c r="N58" s="94"/>
      <x:c r="O58" s="94"/>
      <x:c r="P58" s="94"/>
      <x:c r="Q58" s="94"/>
      <x:c r="R58" s="94"/>
      <x:c r="S58" s="94"/>
      <x:c r="T58" s="94"/>
      <x:c r="U58" s="94"/>
      <x:c r="V58" s="94"/>
    </x:row>
    <x:row r="59">
      <x:c r="A59" s="129"/>
      <x:c r="B59" s="94"/>
      <x:c r="C59" s="94"/>
      <x:c r="D59" s="94"/>
      <x:c r="E59" s="130"/>
      <x:c r="F59" s="130"/>
      <x:c r="G59" s="130"/>
      <x:c r="H59" s="130"/>
      <x:c r="I59" s="94"/>
      <x:c r="J59" s="131"/>
      <x:c r="K59" s="94"/>
      <x:c r="L59" s="94"/>
      <x:c r="M59" s="94"/>
      <x:c r="N59" s="94"/>
      <x:c r="O59" s="94"/>
      <x:c r="P59" s="94"/>
      <x:c r="Q59" s="94"/>
      <x:c r="R59" s="94"/>
      <x:c r="S59" s="94"/>
      <x:c r="T59" s="94"/>
      <x:c r="U59" s="94"/>
      <x:c r="V59" s="94"/>
    </x:row>
    <x:row r="60">
      <x:c r="A60" s="129"/>
      <x:c r="B60" s="94"/>
      <x:c r="C60" s="94"/>
      <x:c r="D60" s="94"/>
      <x:c r="E60" s="130"/>
      <x:c r="F60" s="130"/>
      <x:c r="G60" s="130"/>
      <x:c r="H60" s="130"/>
      <x:c r="I60" s="94"/>
      <x:c r="J60" s="131"/>
      <x:c r="K60" s="94"/>
      <x:c r="L60" s="94"/>
      <x:c r="M60" s="94"/>
      <x:c r="N60" s="94"/>
      <x:c r="O60" s="94"/>
      <x:c r="P60" s="94"/>
      <x:c r="Q60" s="94"/>
      <x:c r="R60" s="94"/>
      <x:c r="S60" s="94"/>
      <x:c r="T60" s="94"/>
      <x:c r="U60" s="94"/>
      <x:c r="V60" s="94"/>
    </x:row>
    <x:row r="61">
      <x:c r="A61" s="129"/>
      <x:c r="B61" s="94"/>
      <x:c r="C61" s="94"/>
      <x:c r="D61" s="94"/>
      <x:c r="E61" s="130"/>
      <x:c r="F61" s="130"/>
      <x:c r="G61" s="130"/>
      <x:c r="H61" s="130"/>
      <x:c r="I61" s="94"/>
      <x:c r="J61" s="131"/>
      <x:c r="K61" s="94"/>
      <x:c r="L61" s="94"/>
      <x:c r="M61" s="94"/>
      <x:c r="N61" s="94"/>
      <x:c r="O61" s="94"/>
      <x:c r="P61" s="94"/>
      <x:c r="Q61" s="94"/>
      <x:c r="R61" s="94"/>
      <x:c r="S61" s="94"/>
      <x:c r="T61" s="94"/>
      <x:c r="U61" s="94"/>
      <x:c r="V61" s="94"/>
    </x:row>
    <x:row r="62">
      <x:c r="A62" s="129"/>
      <x:c r="B62" s="94"/>
      <x:c r="C62" s="94"/>
      <x:c r="D62" s="94"/>
      <x:c r="E62" s="130"/>
      <x:c r="F62" s="130"/>
      <x:c r="G62" s="130"/>
      <x:c r="H62" s="130"/>
      <x:c r="I62" s="94"/>
      <x:c r="J62" s="131"/>
      <x:c r="K62" s="94"/>
      <x:c r="L62" s="94"/>
      <x:c r="M62" s="94"/>
      <x:c r="N62" s="94"/>
      <x:c r="O62" s="94"/>
      <x:c r="P62" s="94"/>
      <x:c r="Q62" s="94"/>
      <x:c r="R62" s="94"/>
      <x:c r="S62" s="94"/>
      <x:c r="T62" s="94"/>
      <x:c r="U62" s="94"/>
      <x:c r="V62" s="94"/>
    </x:row>
    <x:row r="63">
      <x:c r="A63" s="129"/>
      <x:c r="B63" s="94"/>
      <x:c r="C63" s="94"/>
      <x:c r="D63" s="94"/>
      <x:c r="E63" s="130"/>
      <x:c r="F63" s="130"/>
      <x:c r="G63" s="130"/>
      <x:c r="H63" s="130"/>
      <x:c r="I63" s="94"/>
      <x:c r="J63" s="131"/>
      <x:c r="K63" s="94"/>
      <x:c r="L63" s="94"/>
      <x:c r="M63" s="94"/>
      <x:c r="N63" s="94"/>
      <x:c r="O63" s="94"/>
      <x:c r="P63" s="94"/>
      <x:c r="Q63" s="94"/>
      <x:c r="R63" s="94"/>
      <x:c r="S63" s="94"/>
      <x:c r="T63" s="94"/>
      <x:c r="U63" s="94"/>
      <x:c r="V63" s="94"/>
    </x:row>
    <x:row r="64">
      <x:c r="A64" s="129"/>
      <x:c r="B64" s="94"/>
      <x:c r="C64" s="94"/>
      <x:c r="D64" s="94"/>
      <x:c r="E64" s="130"/>
      <x:c r="F64" s="130"/>
      <x:c r="G64" s="130"/>
      <x:c r="H64" s="130"/>
      <x:c r="I64" s="94"/>
      <x:c r="J64" s="131"/>
      <x:c r="K64" s="94"/>
      <x:c r="L64" s="94"/>
      <x:c r="M64" s="94"/>
      <x:c r="N64" s="94"/>
      <x:c r="O64" s="94"/>
      <x:c r="P64" s="94"/>
      <x:c r="Q64" s="94"/>
      <x:c r="R64" s="94"/>
      <x:c r="S64" s="94"/>
      <x:c r="T64" s="94"/>
      <x:c r="U64" s="94"/>
      <x:c r="V64" s="94"/>
    </x:row>
    <x:row r="65">
      <x:c r="A65" s="129"/>
      <x:c r="B65" s="94"/>
      <x:c r="C65" s="94"/>
      <x:c r="D65" s="94"/>
      <x:c r="E65" s="130"/>
      <x:c r="F65" s="130"/>
      <x:c r="G65" s="130"/>
      <x:c r="H65" s="130"/>
      <x:c r="I65" s="94"/>
      <x:c r="J65" s="131"/>
      <x:c r="K65" s="94"/>
      <x:c r="L65" s="94"/>
      <x:c r="M65" s="94"/>
      <x:c r="N65" s="94"/>
      <x:c r="O65" s="94"/>
      <x:c r="P65" s="94"/>
      <x:c r="Q65" s="94"/>
      <x:c r="R65" s="94"/>
      <x:c r="S65" s="94"/>
      <x:c r="T65" s="94"/>
      <x:c r="U65" s="94"/>
      <x:c r="V65" s="94"/>
    </x:row>
    <x:row r="66">
      <x:c r="A66" s="129"/>
      <x:c r="B66" s="94"/>
      <x:c r="C66" s="94"/>
      <x:c r="D66" s="94"/>
      <x:c r="E66" s="130"/>
      <x:c r="F66" s="130"/>
      <x:c r="G66" s="130"/>
      <x:c r="H66" s="130"/>
      <x:c r="I66" s="94"/>
      <x:c r="J66" s="131"/>
      <x:c r="K66" s="94"/>
      <x:c r="L66" s="94"/>
      <x:c r="M66" s="94"/>
      <x:c r="N66" s="94"/>
      <x:c r="O66" s="94"/>
      <x:c r="P66" s="94"/>
      <x:c r="Q66" s="94"/>
      <x:c r="R66" s="94"/>
      <x:c r="S66" s="94"/>
      <x:c r="T66" s="94"/>
      <x:c r="U66" s="94"/>
      <x:c r="V66" s="94"/>
    </x:row>
    <x:row r="67">
      <x:c r="A67" s="129"/>
      <x:c r="B67" s="94"/>
      <x:c r="C67" s="94"/>
      <x:c r="D67" s="94"/>
      <x:c r="E67" s="130"/>
      <x:c r="F67" s="130"/>
      <x:c r="G67" s="130"/>
      <x:c r="H67" s="130"/>
      <x:c r="I67" s="94"/>
      <x:c r="J67" s="131"/>
      <x:c r="K67" s="94"/>
      <x:c r="L67" s="94"/>
      <x:c r="M67" s="94"/>
      <x:c r="N67" s="94"/>
      <x:c r="O67" s="94"/>
      <x:c r="P67" s="94"/>
      <x:c r="Q67" s="94"/>
      <x:c r="R67" s="94"/>
      <x:c r="S67" s="94"/>
      <x:c r="T67" s="94"/>
      <x:c r="U67" s="94"/>
      <x:c r="V67" s="94"/>
    </x:row>
    <x:row r="68">
      <x:c r="A68" s="129"/>
      <x:c r="B68" s="94"/>
      <x:c r="C68" s="94"/>
      <x:c r="D68" s="94"/>
      <x:c r="E68" s="130"/>
      <x:c r="F68" s="130"/>
      <x:c r="G68" s="130"/>
      <x:c r="H68" s="130"/>
      <x:c r="I68" s="94"/>
      <x:c r="J68" s="131"/>
      <x:c r="K68" s="94"/>
      <x:c r="L68" s="94"/>
      <x:c r="M68" s="94"/>
      <x:c r="N68" s="94"/>
      <x:c r="O68" s="94"/>
      <x:c r="P68" s="94"/>
      <x:c r="Q68" s="94"/>
      <x:c r="R68" s="94"/>
      <x:c r="S68" s="94"/>
      <x:c r="T68" s="94"/>
      <x:c r="U68" s="94"/>
      <x:c r="V68" s="94"/>
    </x:row>
    <x:row r="69">
      <x:c r="A69" s="129"/>
      <x:c r="B69" s="94"/>
      <x:c r="C69" s="94"/>
      <x:c r="D69" s="94"/>
      <x:c r="E69" s="130"/>
      <x:c r="F69" s="130"/>
      <x:c r="G69" s="130"/>
      <x:c r="H69" s="130"/>
      <x:c r="I69" s="94"/>
      <x:c r="J69" s="131"/>
      <x:c r="K69" s="94"/>
      <x:c r="L69" s="94"/>
      <x:c r="M69" s="94"/>
      <x:c r="N69" s="94"/>
      <x:c r="O69" s="94"/>
      <x:c r="P69" s="94"/>
      <x:c r="Q69" s="94"/>
      <x:c r="R69" s="94"/>
      <x:c r="S69" s="94"/>
      <x:c r="T69" s="94"/>
      <x:c r="U69" s="94"/>
      <x:c r="V69" s="94"/>
    </x:row>
    <x:row r="70">
      <x:c r="A70" s="129"/>
      <x:c r="B70" s="94"/>
      <x:c r="C70" s="94"/>
      <x:c r="D70" s="94"/>
      <x:c r="E70" s="130"/>
      <x:c r="F70" s="130"/>
      <x:c r="G70" s="130"/>
      <x:c r="H70" s="130"/>
      <x:c r="I70" s="94"/>
      <x:c r="J70" s="131"/>
      <x:c r="K70" s="94"/>
      <x:c r="L70" s="94"/>
      <x:c r="M70" s="94"/>
      <x:c r="N70" s="94"/>
      <x:c r="O70" s="94"/>
      <x:c r="P70" s="94"/>
      <x:c r="Q70" s="94"/>
      <x:c r="R70" s="94"/>
      <x:c r="S70" s="94"/>
      <x:c r="T70" s="94"/>
      <x:c r="U70" s="94"/>
      <x:c r="V70" s="94"/>
    </x:row>
    <x:row r="71">
      <x:c r="A71" s="129"/>
      <x:c r="B71" s="94"/>
      <x:c r="C71" s="94"/>
      <x:c r="D71" s="94"/>
      <x:c r="E71" s="130"/>
      <x:c r="F71" s="130"/>
      <x:c r="G71" s="130"/>
      <x:c r="H71" s="130"/>
      <x:c r="I71" s="94"/>
      <x:c r="J71" s="131"/>
      <x:c r="K71" s="94"/>
      <x:c r="L71" s="94"/>
      <x:c r="M71" s="94"/>
      <x:c r="N71" s="94"/>
      <x:c r="O71" s="94"/>
      <x:c r="P71" s="94"/>
      <x:c r="Q71" s="94"/>
      <x:c r="R71" s="94"/>
      <x:c r="S71" s="94"/>
      <x:c r="T71" s="94"/>
      <x:c r="U71" s="94"/>
      <x:c r="V71" s="94"/>
    </x:row>
    <x:row r="72">
      <x:c r="A72" s="129"/>
      <x:c r="B72" s="94"/>
      <x:c r="C72" s="94"/>
      <x:c r="D72" s="94"/>
      <x:c r="E72" s="130"/>
      <x:c r="F72" s="130"/>
      <x:c r="G72" s="130"/>
      <x:c r="H72" s="130"/>
      <x:c r="I72" s="94"/>
      <x:c r="J72" s="131"/>
      <x:c r="K72" s="94"/>
      <x:c r="L72" s="94"/>
      <x:c r="M72" s="94"/>
      <x:c r="N72" s="94"/>
      <x:c r="O72" s="94"/>
      <x:c r="P72" s="94"/>
      <x:c r="Q72" s="94"/>
      <x:c r="R72" s="94"/>
      <x:c r="S72" s="94"/>
      <x:c r="T72" s="94"/>
      <x:c r="U72" s="94"/>
      <x:c r="V72" s="94"/>
    </x:row>
    <x:row r="73">
      <x:c r="A73" s="129"/>
      <x:c r="B73" s="94"/>
      <x:c r="C73" s="94"/>
      <x:c r="D73" s="94"/>
      <x:c r="E73" s="130"/>
      <x:c r="F73" s="130"/>
      <x:c r="G73" s="130"/>
      <x:c r="H73" s="130"/>
      <x:c r="I73" s="94"/>
      <x:c r="J73" s="131"/>
      <x:c r="K73" s="94"/>
      <x:c r="L73" s="94"/>
      <x:c r="M73" s="94"/>
      <x:c r="N73" s="94"/>
      <x:c r="O73" s="94"/>
      <x:c r="P73" s="94"/>
      <x:c r="Q73" s="94"/>
      <x:c r="R73" s="94"/>
      <x:c r="S73" s="94"/>
      <x:c r="T73" s="94"/>
      <x:c r="U73" s="94"/>
      <x:c r="V73" s="94"/>
    </x:row>
    <x:row r="74">
      <x:c r="A74" s="129"/>
      <x:c r="B74" s="94"/>
      <x:c r="C74" s="94"/>
      <x:c r="D74" s="94"/>
      <x:c r="E74" s="130"/>
      <x:c r="F74" s="130"/>
      <x:c r="G74" s="130"/>
      <x:c r="H74" s="130"/>
      <x:c r="I74" s="94"/>
      <x:c r="J74" s="131"/>
      <x:c r="K74" s="94"/>
      <x:c r="L74" s="94"/>
      <x:c r="M74" s="94"/>
      <x:c r="N74" s="94"/>
      <x:c r="O74" s="94"/>
      <x:c r="P74" s="94"/>
      <x:c r="Q74" s="94"/>
      <x:c r="R74" s="94"/>
      <x:c r="S74" s="94"/>
      <x:c r="T74" s="94"/>
      <x:c r="U74" s="94"/>
      <x:c r="V74" s="94"/>
    </x:row>
    <x:row r="75">
      <x:c r="A75" s="129"/>
      <x:c r="B75" s="94"/>
      <x:c r="C75" s="94"/>
      <x:c r="D75" s="94"/>
      <x:c r="E75" s="130"/>
      <x:c r="F75" s="130"/>
      <x:c r="G75" s="130"/>
      <x:c r="H75" s="130"/>
      <x:c r="I75" s="94"/>
      <x:c r="J75" s="131"/>
      <x:c r="K75" s="94"/>
      <x:c r="L75" s="94"/>
      <x:c r="M75" s="94"/>
      <x:c r="N75" s="94"/>
      <x:c r="O75" s="94"/>
      <x:c r="P75" s="94"/>
      <x:c r="Q75" s="94"/>
      <x:c r="R75" s="94"/>
      <x:c r="S75" s="94"/>
      <x:c r="T75" s="94"/>
      <x:c r="U75" s="94"/>
      <x:c r="V75" s="94"/>
    </x:row>
    <x:row r="76">
      <x:c r="A76" s="129"/>
      <x:c r="B76" s="94"/>
      <x:c r="C76" s="94"/>
      <x:c r="D76" s="94"/>
      <x:c r="E76" s="130"/>
      <x:c r="F76" s="130"/>
      <x:c r="G76" s="130"/>
      <x:c r="H76" s="130"/>
      <x:c r="I76" s="94"/>
      <x:c r="J76" s="131"/>
      <x:c r="K76" s="94"/>
      <x:c r="L76" s="94"/>
      <x:c r="M76" s="94"/>
      <x:c r="N76" s="94"/>
      <x:c r="O76" s="94"/>
      <x:c r="P76" s="94"/>
      <x:c r="Q76" s="94"/>
      <x:c r="R76" s="94"/>
      <x:c r="S76" s="94"/>
      <x:c r="T76" s="94"/>
      <x:c r="U76" s="94"/>
      <x:c r="V76" s="94"/>
    </x:row>
    <x:row r="77">
      <x:c r="A77" s="129"/>
      <x:c r="B77" s="94"/>
      <x:c r="C77" s="94"/>
      <x:c r="D77" s="94"/>
      <x:c r="E77" s="130"/>
      <x:c r="F77" s="130"/>
      <x:c r="G77" s="130"/>
      <x:c r="H77" s="130"/>
      <x:c r="I77" s="94"/>
      <x:c r="J77" s="131"/>
      <x:c r="K77" s="94"/>
      <x:c r="L77" s="94"/>
      <x:c r="M77" s="94"/>
      <x:c r="N77" s="94"/>
      <x:c r="O77" s="94"/>
      <x:c r="P77" s="94"/>
      <x:c r="Q77" s="94"/>
      <x:c r="R77" s="94"/>
      <x:c r="S77" s="94"/>
      <x:c r="T77" s="94"/>
      <x:c r="U77" s="94"/>
      <x:c r="V77" s="94"/>
    </x:row>
    <x:row r="78">
      <x:c r="A78" s="129"/>
      <x:c r="B78" s="94"/>
      <x:c r="C78" s="94"/>
      <x:c r="D78" s="94"/>
      <x:c r="E78" s="130"/>
      <x:c r="F78" s="130"/>
      <x:c r="G78" s="130"/>
      <x:c r="H78" s="130"/>
      <x:c r="I78" s="94"/>
      <x:c r="J78" s="131"/>
      <x:c r="K78" s="94"/>
      <x:c r="L78" s="94"/>
      <x:c r="M78" s="94"/>
      <x:c r="N78" s="94"/>
      <x:c r="O78" s="94"/>
      <x:c r="P78" s="94"/>
      <x:c r="Q78" s="94"/>
      <x:c r="R78" s="94"/>
      <x:c r="S78" s="94"/>
      <x:c r="T78" s="94"/>
      <x:c r="U78" s="94"/>
      <x:c r="V78" s="94"/>
    </x:row>
    <x:row r="79">
      <x:c r="A79" s="129"/>
      <x:c r="B79" s="94"/>
      <x:c r="C79" s="94"/>
      <x:c r="D79" s="94"/>
      <x:c r="E79" s="130"/>
      <x:c r="F79" s="130"/>
      <x:c r="G79" s="130"/>
      <x:c r="H79" s="130"/>
      <x:c r="I79" s="94"/>
      <x:c r="J79" s="131"/>
      <x:c r="K79" s="94"/>
      <x:c r="L79" s="94"/>
      <x:c r="M79" s="94"/>
      <x:c r="N79" s="94"/>
      <x:c r="O79" s="94"/>
      <x:c r="P79" s="94"/>
      <x:c r="Q79" s="94"/>
      <x:c r="R79" s="94"/>
      <x:c r="S79" s="94"/>
      <x:c r="T79" s="94"/>
      <x:c r="U79" s="94"/>
      <x:c r="V79" s="94"/>
    </x:row>
    <x:row r="80">
      <x:c r="A80" s="129"/>
      <x:c r="B80" s="94"/>
      <x:c r="C80" s="94"/>
      <x:c r="D80" s="94"/>
      <x:c r="E80" s="130"/>
      <x:c r="F80" s="130"/>
      <x:c r="G80" s="130"/>
      <x:c r="H80" s="130"/>
      <x:c r="I80" s="94"/>
      <x:c r="J80" s="131"/>
      <x:c r="K80" s="94"/>
      <x:c r="L80" s="94"/>
      <x:c r="M80" s="94"/>
      <x:c r="N80" s="94"/>
      <x:c r="O80" s="94"/>
      <x:c r="P80" s="94"/>
      <x:c r="Q80" s="94"/>
      <x:c r="R80" s="94"/>
      <x:c r="S80" s="94"/>
      <x:c r="T80" s="94"/>
      <x:c r="U80" s="94"/>
      <x:c r="V80" s="94"/>
    </x:row>
    <x:row r="81">
      <x:c r="A81" s="129"/>
      <x:c r="B81" s="94"/>
      <x:c r="C81" s="94"/>
      <x:c r="D81" s="94"/>
      <x:c r="E81" s="130"/>
      <x:c r="F81" s="130"/>
      <x:c r="G81" s="130"/>
      <x:c r="H81" s="130"/>
      <x:c r="I81" s="94"/>
      <x:c r="J81" s="131"/>
      <x:c r="K81" s="94"/>
      <x:c r="L81" s="94"/>
      <x:c r="M81" s="94"/>
      <x:c r="N81" s="94"/>
      <x:c r="O81" s="94"/>
      <x:c r="P81" s="94"/>
      <x:c r="Q81" s="94"/>
      <x:c r="R81" s="94"/>
      <x:c r="S81" s="94"/>
      <x:c r="T81" s="94"/>
      <x:c r="U81" s="94"/>
      <x:c r="V81" s="94"/>
    </x:row>
    <x:row r="82">
      <x:c r="A82" s="129"/>
      <x:c r="B82" s="94"/>
      <x:c r="C82" s="94"/>
      <x:c r="D82" s="94"/>
      <x:c r="E82" s="130"/>
      <x:c r="F82" s="130"/>
      <x:c r="G82" s="130"/>
      <x:c r="H82" s="130"/>
      <x:c r="I82" s="94"/>
      <x:c r="J82" s="131"/>
      <x:c r="K82" s="94"/>
      <x:c r="L82" s="94"/>
      <x:c r="M82" s="94"/>
      <x:c r="N82" s="94"/>
      <x:c r="O82" s="94"/>
      <x:c r="P82" s="94"/>
      <x:c r="Q82" s="94"/>
      <x:c r="R82" s="94"/>
      <x:c r="S82" s="94"/>
      <x:c r="T82" s="94"/>
      <x:c r="U82" s="94"/>
      <x:c r="V82" s="94"/>
    </x:row>
    <x:row r="83">
      <x:c r="A83" s="129"/>
      <x:c r="B83" s="94"/>
      <x:c r="C83" s="94"/>
      <x:c r="D83" s="94"/>
      <x:c r="E83" s="130"/>
      <x:c r="F83" s="130"/>
      <x:c r="G83" s="130"/>
      <x:c r="H83" s="130"/>
      <x:c r="I83" s="94"/>
      <x:c r="J83" s="131"/>
      <x:c r="K83" s="94"/>
      <x:c r="L83" s="94"/>
      <x:c r="M83" s="94"/>
      <x:c r="N83" s="94"/>
      <x:c r="O83" s="94"/>
      <x:c r="P83" s="94"/>
      <x:c r="Q83" s="94"/>
      <x:c r="R83" s="94"/>
      <x:c r="S83" s="94"/>
      <x:c r="T83" s="94"/>
      <x:c r="U83" s="94"/>
      <x:c r="V83" s="94"/>
    </x:row>
    <x:row r="84">
      <x:c r="A84" s="129"/>
      <x:c r="B84" s="94"/>
      <x:c r="C84" s="94"/>
      <x:c r="D84" s="94"/>
      <x:c r="E84" s="130"/>
      <x:c r="F84" s="130"/>
      <x:c r="G84" s="130"/>
      <x:c r="H84" s="130"/>
      <x:c r="I84" s="94"/>
      <x:c r="J84" s="131"/>
      <x:c r="K84" s="94"/>
      <x:c r="L84" s="94"/>
      <x:c r="M84" s="94"/>
      <x:c r="N84" s="94"/>
      <x:c r="O84" s="94"/>
      <x:c r="P84" s="94"/>
      <x:c r="Q84" s="94"/>
      <x:c r="R84" s="94"/>
      <x:c r="S84" s="94"/>
      <x:c r="T84" s="94"/>
      <x:c r="U84" s="94"/>
      <x:c r="V84" s="94"/>
    </x:row>
    <x:row r="85">
      <x:c r="A85" s="129"/>
      <x:c r="B85" s="94"/>
      <x:c r="C85" s="94"/>
      <x:c r="D85" s="94"/>
      <x:c r="E85" s="130"/>
      <x:c r="F85" s="130"/>
      <x:c r="G85" s="130"/>
      <x:c r="H85" s="130"/>
      <x:c r="I85" s="94"/>
      <x:c r="J85" s="131"/>
      <x:c r="K85" s="94"/>
      <x:c r="L85" s="94"/>
      <x:c r="M85" s="94"/>
      <x:c r="N85" s="94"/>
      <x:c r="O85" s="94"/>
      <x:c r="P85" s="94"/>
      <x:c r="Q85" s="94"/>
      <x:c r="R85" s="94"/>
      <x:c r="S85" s="94"/>
      <x:c r="T85" s="94"/>
      <x:c r="U85" s="94"/>
      <x:c r="V85" s="94"/>
    </x:row>
    <x:row r="86">
      <x:c r="A86" s="129"/>
      <x:c r="B86" s="94"/>
      <x:c r="C86" s="94"/>
      <x:c r="D86" s="94"/>
      <x:c r="E86" s="130"/>
      <x:c r="F86" s="130"/>
      <x:c r="G86" s="130"/>
      <x:c r="H86" s="130"/>
      <x:c r="I86" s="94"/>
      <x:c r="J86" s="131"/>
      <x:c r="K86" s="94"/>
      <x:c r="L86" s="94"/>
      <x:c r="M86" s="94"/>
      <x:c r="N86" s="94"/>
      <x:c r="O86" s="94"/>
      <x:c r="P86" s="94"/>
      <x:c r="Q86" s="94"/>
      <x:c r="R86" s="94"/>
      <x:c r="S86" s="94"/>
      <x:c r="T86" s="94"/>
      <x:c r="U86" s="94"/>
      <x:c r="V86" s="94"/>
    </x:row>
    <x:row r="87">
      <x:c r="A87" s="129"/>
      <x:c r="B87" s="94"/>
      <x:c r="C87" s="94"/>
      <x:c r="D87" s="94"/>
      <x:c r="E87" s="130"/>
      <x:c r="F87" s="130"/>
      <x:c r="G87" s="130"/>
      <x:c r="H87" s="130"/>
      <x:c r="I87" s="94"/>
      <x:c r="J87" s="131"/>
      <x:c r="K87" s="94"/>
      <x:c r="L87" s="94"/>
      <x:c r="M87" s="94"/>
      <x:c r="N87" s="94"/>
      <x:c r="O87" s="94"/>
      <x:c r="P87" s="94"/>
      <x:c r="Q87" s="94"/>
      <x:c r="R87" s="94"/>
      <x:c r="S87" s="94"/>
      <x:c r="T87" s="94"/>
      <x:c r="U87" s="94"/>
      <x:c r="V87" s="94"/>
    </x:row>
    <x:row r="88">
      <x:c r="A88" s="129"/>
      <x:c r="B88" s="94"/>
      <x:c r="C88" s="94"/>
      <x:c r="D88" s="94"/>
      <x:c r="E88" s="130"/>
      <x:c r="F88" s="130"/>
      <x:c r="G88" s="130"/>
      <x:c r="H88" s="130"/>
      <x:c r="I88" s="94"/>
      <x:c r="J88" s="131"/>
      <x:c r="K88" s="94"/>
      <x:c r="L88" s="94"/>
      <x:c r="M88" s="94"/>
      <x:c r="N88" s="94"/>
      <x:c r="O88" s="94"/>
      <x:c r="P88" s="94"/>
      <x:c r="Q88" s="94"/>
      <x:c r="R88" s="94"/>
      <x:c r="S88" s="94"/>
      <x:c r="T88" s="94"/>
      <x:c r="U88" s="94"/>
      <x:c r="V88" s="94"/>
    </x:row>
    <x:row r="89">
      <x:c r="A89" s="129"/>
      <x:c r="B89" s="94"/>
      <x:c r="C89" s="94"/>
      <x:c r="D89" s="94"/>
      <x:c r="E89" s="130"/>
      <x:c r="F89" s="130"/>
      <x:c r="G89" s="130"/>
      <x:c r="H89" s="130"/>
      <x:c r="I89" s="94"/>
      <x:c r="J89" s="131"/>
      <x:c r="K89" s="94"/>
      <x:c r="L89" s="94"/>
      <x:c r="M89" s="94"/>
      <x:c r="N89" s="94"/>
      <x:c r="O89" s="94"/>
      <x:c r="P89" s="94"/>
      <x:c r="Q89" s="94"/>
      <x:c r="R89" s="94"/>
      <x:c r="S89" s="94"/>
      <x:c r="T89" s="94"/>
      <x:c r="U89" s="94"/>
      <x:c r="V89" s="94"/>
    </x:row>
    <x:row r="90">
      <x:c r="A90" s="129"/>
      <x:c r="B90" s="94"/>
      <x:c r="C90" s="94"/>
      <x:c r="D90" s="94"/>
      <x:c r="E90" s="130"/>
      <x:c r="F90" s="130"/>
      <x:c r="G90" s="130"/>
      <x:c r="H90" s="130"/>
      <x:c r="I90" s="94"/>
      <x:c r="J90" s="131"/>
      <x:c r="K90" s="94"/>
      <x:c r="L90" s="94"/>
      <x:c r="M90" s="94"/>
      <x:c r="N90" s="94"/>
      <x:c r="O90" s="94"/>
      <x:c r="P90" s="94"/>
      <x:c r="Q90" s="94"/>
      <x:c r="R90" s="94"/>
      <x:c r="S90" s="94"/>
      <x:c r="T90" s="94"/>
      <x:c r="U90" s="94"/>
      <x:c r="V90" s="94"/>
    </x:row>
    <x:row r="91">
      <x:c r="A91" s="129"/>
      <x:c r="B91" s="94"/>
      <x:c r="C91" s="94"/>
      <x:c r="D91" s="94"/>
      <x:c r="E91" s="130"/>
      <x:c r="F91" s="130"/>
      <x:c r="G91" s="130"/>
      <x:c r="H91" s="130"/>
      <x:c r="I91" s="94"/>
      <x:c r="J91" s="131"/>
      <x:c r="K91" s="94"/>
      <x:c r="L91" s="94"/>
      <x:c r="M91" s="94"/>
      <x:c r="N91" s="94"/>
      <x:c r="O91" s="94"/>
      <x:c r="P91" s="94"/>
      <x:c r="Q91" s="94"/>
      <x:c r="R91" s="94"/>
      <x:c r="S91" s="94"/>
      <x:c r="T91" s="94"/>
      <x:c r="U91" s="94"/>
      <x:c r="V91" s="94"/>
    </x:row>
    <x:row r="92">
      <x:c r="A92" s="129"/>
      <x:c r="B92" s="94"/>
      <x:c r="C92" s="94"/>
      <x:c r="D92" s="94"/>
      <x:c r="E92" s="130"/>
      <x:c r="F92" s="130"/>
      <x:c r="G92" s="130"/>
      <x:c r="H92" s="130"/>
      <x:c r="I92" s="94"/>
      <x:c r="J92" s="131"/>
      <x:c r="K92" s="94"/>
      <x:c r="L92" s="94"/>
      <x:c r="M92" s="94"/>
      <x:c r="N92" s="94"/>
      <x:c r="O92" s="94"/>
      <x:c r="P92" s="94"/>
      <x:c r="Q92" s="94"/>
      <x:c r="R92" s="94"/>
      <x:c r="S92" s="94"/>
      <x:c r="T92" s="94"/>
      <x:c r="U92" s="94"/>
      <x:c r="V92" s="94"/>
    </x:row>
    <x:row r="93">
      <x:c r="A93" s="129"/>
      <x:c r="B93" s="94"/>
      <x:c r="C93" s="94"/>
      <x:c r="D93" s="94"/>
      <x:c r="E93" s="130"/>
      <x:c r="F93" s="130"/>
      <x:c r="G93" s="130"/>
      <x:c r="H93" s="130"/>
      <x:c r="I93" s="94"/>
      <x:c r="J93" s="131"/>
      <x:c r="K93" s="94"/>
      <x:c r="L93" s="94"/>
      <x:c r="M93" s="94"/>
      <x:c r="N93" s="94"/>
      <x:c r="O93" s="94"/>
      <x:c r="P93" s="94"/>
      <x:c r="Q93" s="94"/>
      <x:c r="R93" s="94"/>
      <x:c r="S93" s="94"/>
      <x:c r="T93" s="94"/>
      <x:c r="U93" s="94"/>
      <x:c r="V93" s="94"/>
    </x:row>
    <x:row r="94">
      <x:c r="A94" s="129"/>
      <x:c r="B94" s="94"/>
      <x:c r="C94" s="94"/>
      <x:c r="D94" s="94"/>
      <x:c r="E94" s="130"/>
      <x:c r="F94" s="130"/>
      <x:c r="G94" s="130"/>
      <x:c r="H94" s="130"/>
      <x:c r="I94" s="94"/>
      <x:c r="J94" s="131"/>
      <x:c r="K94" s="94"/>
      <x:c r="L94" s="94"/>
      <x:c r="M94" s="94"/>
      <x:c r="N94" s="94"/>
      <x:c r="O94" s="94"/>
      <x:c r="P94" s="94"/>
      <x:c r="Q94" s="94"/>
      <x:c r="R94" s="94"/>
      <x:c r="S94" s="94"/>
      <x:c r="T94" s="94"/>
      <x:c r="U94" s="94"/>
      <x:c r="V94" s="94"/>
    </x:row>
    <x:row r="95">
      <x:c r="A95" s="129"/>
      <x:c r="B95" s="94"/>
      <x:c r="C95" s="94"/>
      <x:c r="D95" s="94"/>
      <x:c r="E95" s="130"/>
      <x:c r="F95" s="130"/>
      <x:c r="G95" s="130"/>
      <x:c r="H95" s="130"/>
      <x:c r="I95" s="94"/>
      <x:c r="J95" s="131"/>
      <x:c r="K95" s="94"/>
      <x:c r="L95" s="94"/>
      <x:c r="M95" s="94"/>
      <x:c r="N95" s="94"/>
      <x:c r="O95" s="94"/>
      <x:c r="P95" s="94"/>
      <x:c r="Q95" s="94"/>
      <x:c r="R95" s="94"/>
      <x:c r="S95" s="94"/>
      <x:c r="T95" s="94"/>
      <x:c r="U95" s="94"/>
      <x:c r="V95" s="94"/>
    </x:row>
    <x:row r="96">
      <x:c r="A96" s="129"/>
      <x:c r="B96" s="94"/>
      <x:c r="C96" s="94"/>
      <x:c r="D96" s="94"/>
      <x:c r="E96" s="130"/>
      <x:c r="F96" s="130"/>
      <x:c r="G96" s="130"/>
      <x:c r="H96" s="130"/>
      <x:c r="I96" s="94"/>
      <x:c r="J96" s="131"/>
      <x:c r="K96" s="94"/>
      <x:c r="L96" s="94"/>
      <x:c r="M96" s="94"/>
      <x:c r="N96" s="94"/>
      <x:c r="O96" s="94"/>
      <x:c r="P96" s="94"/>
      <x:c r="Q96" s="94"/>
      <x:c r="R96" s="94"/>
      <x:c r="S96" s="94"/>
      <x:c r="T96" s="94"/>
      <x:c r="U96" s="94"/>
      <x:c r="V96" s="94"/>
    </x:row>
    <x:row r="97">
      <x:c r="A97" s="129"/>
      <x:c r="B97" s="94"/>
      <x:c r="C97" s="94"/>
      <x:c r="D97" s="94"/>
      <x:c r="E97" s="130"/>
      <x:c r="F97" s="130"/>
      <x:c r="G97" s="130"/>
      <x:c r="H97" s="130"/>
      <x:c r="I97" s="94"/>
      <x:c r="J97" s="131"/>
      <x:c r="K97" s="94"/>
      <x:c r="L97" s="94"/>
      <x:c r="M97" s="94"/>
      <x:c r="N97" s="94"/>
      <x:c r="O97" s="94"/>
      <x:c r="P97" s="94"/>
      <x:c r="Q97" s="94"/>
      <x:c r="R97" s="94"/>
      <x:c r="S97" s="94"/>
      <x:c r="T97" s="94"/>
      <x:c r="U97" s="94"/>
      <x:c r="V97" s="94"/>
    </x:row>
    <x:row r="98">
      <x:c r="A98" s="129"/>
      <x:c r="B98" s="94"/>
      <x:c r="C98" s="94"/>
      <x:c r="D98" s="94"/>
      <x:c r="E98" s="130"/>
      <x:c r="F98" s="130"/>
      <x:c r="G98" s="130"/>
      <x:c r="H98" s="130"/>
      <x:c r="I98" s="94"/>
      <x:c r="J98" s="131"/>
      <x:c r="K98" s="94"/>
      <x:c r="L98" s="94"/>
      <x:c r="M98" s="94"/>
      <x:c r="N98" s="94"/>
      <x:c r="O98" s="94"/>
      <x:c r="P98" s="94"/>
      <x:c r="Q98" s="94"/>
      <x:c r="R98" s="94"/>
      <x:c r="S98" s="94"/>
      <x:c r="T98" s="94"/>
      <x:c r="U98" s="94"/>
      <x:c r="V98" s="94"/>
    </x:row>
    <x:row r="99">
      <x:c r="A99" s="129"/>
      <x:c r="B99" s="94"/>
      <x:c r="C99" s="94"/>
      <x:c r="D99" s="94"/>
      <x:c r="E99" s="130"/>
      <x:c r="F99" s="130"/>
      <x:c r="G99" s="130"/>
      <x:c r="H99" s="130"/>
      <x:c r="I99" s="94"/>
      <x:c r="J99" s="131"/>
      <x:c r="K99" s="94"/>
      <x:c r="L99" s="94"/>
      <x:c r="M99" s="94"/>
      <x:c r="N99" s="94"/>
      <x:c r="O99" s="94"/>
      <x:c r="P99" s="94"/>
      <x:c r="Q99" s="94"/>
      <x:c r="R99" s="94"/>
      <x:c r="S99" s="94"/>
      <x:c r="T99" s="94"/>
      <x:c r="U99" s="94"/>
      <x:c r="V99" s="94"/>
    </x:row>
    <x:row r="100">
      <x:c r="A100" s="129"/>
      <x:c r="B100" s="94"/>
      <x:c r="C100" s="94"/>
      <x:c r="D100" s="94"/>
      <x:c r="E100" s="130"/>
      <x:c r="F100" s="130"/>
      <x:c r="G100" s="130"/>
      <x:c r="H100" s="130"/>
      <x:c r="I100" s="94"/>
      <x:c r="J100" s="131"/>
      <x:c r="K100" s="94"/>
      <x:c r="L100" s="94"/>
      <x:c r="M100" s="94"/>
      <x:c r="N100" s="94"/>
      <x:c r="O100" s="94"/>
      <x:c r="P100" s="94"/>
      <x:c r="Q100" s="94"/>
      <x:c r="R100" s="94"/>
      <x:c r="S100" s="94"/>
      <x:c r="T100" s="94"/>
      <x:c r="U100" s="94"/>
      <x:c r="V100" s="94"/>
    </x:row>
    <x:row r="101">
      <x:c r="A101" s="129"/>
      <x:c r="B101" s="94"/>
      <x:c r="C101" s="94"/>
      <x:c r="D101" s="94"/>
      <x:c r="E101" s="130"/>
      <x:c r="F101" s="130"/>
      <x:c r="G101" s="130"/>
      <x:c r="H101" s="130"/>
      <x:c r="I101" s="94"/>
      <x:c r="J101" s="131"/>
      <x:c r="K101" s="94"/>
      <x:c r="L101" s="94"/>
      <x:c r="M101" s="94"/>
      <x:c r="N101" s="94"/>
      <x:c r="O101" s="94"/>
      <x:c r="P101" s="94"/>
      <x:c r="Q101" s="94"/>
      <x:c r="R101" s="94"/>
      <x:c r="S101" s="94"/>
      <x:c r="T101" s="94"/>
      <x:c r="U101" s="94"/>
      <x:c r="V101" s="94"/>
    </x:row>
    <x:row r="102">
      <x:c r="A102" s="129"/>
      <x:c r="B102" s="94"/>
      <x:c r="C102" s="94"/>
      <x:c r="D102" s="94"/>
      <x:c r="E102" s="130"/>
      <x:c r="F102" s="130"/>
      <x:c r="G102" s="130"/>
      <x:c r="H102" s="130"/>
      <x:c r="I102" s="94"/>
      <x:c r="J102" s="131"/>
      <x:c r="K102" s="94"/>
      <x:c r="L102" s="94"/>
      <x:c r="M102" s="94"/>
      <x:c r="N102" s="94"/>
      <x:c r="O102" s="94"/>
      <x:c r="P102" s="94"/>
      <x:c r="Q102" s="94"/>
      <x:c r="R102" s="94"/>
      <x:c r="S102" s="94"/>
      <x:c r="T102" s="94"/>
      <x:c r="U102" s="94"/>
      <x:c r="V102" s="94"/>
    </x:row>
    <x:row r="103">
      <x:c r="A103" s="129"/>
      <x:c r="B103" s="94"/>
      <x:c r="C103" s="94"/>
      <x:c r="D103" s="94"/>
      <x:c r="E103" s="130"/>
      <x:c r="F103" s="130"/>
      <x:c r="G103" s="130"/>
      <x:c r="H103" s="130"/>
      <x:c r="I103" s="94"/>
      <x:c r="J103" s="131"/>
      <x:c r="K103" s="94"/>
      <x:c r="L103" s="94"/>
      <x:c r="M103" s="94"/>
      <x:c r="N103" s="94"/>
      <x:c r="O103" s="94"/>
      <x:c r="P103" s="94"/>
      <x:c r="Q103" s="94"/>
      <x:c r="R103" s="94"/>
      <x:c r="S103" s="94"/>
      <x:c r="T103" s="94"/>
      <x:c r="U103" s="94"/>
      <x:c r="V103" s="94"/>
    </x:row>
    <x:row r="104">
      <x:c r="A104" s="129"/>
      <x:c r="B104" s="94"/>
      <x:c r="C104" s="94"/>
      <x:c r="D104" s="94"/>
      <x:c r="E104" s="130"/>
      <x:c r="F104" s="130"/>
      <x:c r="G104" s="130"/>
      <x:c r="H104" s="130"/>
      <x:c r="I104" s="94"/>
      <x:c r="J104" s="131"/>
      <x:c r="K104" s="94"/>
      <x:c r="L104" s="94"/>
      <x:c r="M104" s="94"/>
      <x:c r="N104" s="94"/>
      <x:c r="O104" s="94"/>
      <x:c r="P104" s="94"/>
      <x:c r="Q104" s="94"/>
      <x:c r="R104" s="94"/>
      <x:c r="S104" s="94"/>
      <x:c r="T104" s="94"/>
      <x:c r="U104" s="94"/>
      <x:c r="V104" s="94"/>
    </x:row>
    <x:row r="105">
      <x:c r="A105" s="129"/>
      <x:c r="B105" s="94"/>
      <x:c r="C105" s="94"/>
      <x:c r="D105" s="94"/>
      <x:c r="E105" s="130"/>
      <x:c r="F105" s="130"/>
      <x:c r="G105" s="130"/>
      <x:c r="H105" s="130"/>
      <x:c r="I105" s="94"/>
      <x:c r="J105" s="131"/>
      <x:c r="K105" s="94"/>
      <x:c r="L105" s="94"/>
      <x:c r="M105" s="94"/>
      <x:c r="N105" s="94"/>
      <x:c r="O105" s="94"/>
      <x:c r="P105" s="94"/>
      <x:c r="Q105" s="94"/>
      <x:c r="R105" s="94"/>
      <x:c r="S105" s="94"/>
      <x:c r="T105" s="94"/>
      <x:c r="U105" s="94"/>
      <x:c r="V105" s="94"/>
    </x:row>
    <x:row r="106">
      <x:c r="A106" s="129"/>
      <x:c r="B106" s="94"/>
      <x:c r="C106" s="94"/>
      <x:c r="D106" s="94"/>
      <x:c r="E106" s="130"/>
      <x:c r="F106" s="130"/>
      <x:c r="G106" s="130"/>
      <x:c r="H106" s="130"/>
      <x:c r="I106" s="94"/>
      <x:c r="J106" s="131"/>
      <x:c r="K106" s="94"/>
      <x:c r="L106" s="94"/>
      <x:c r="M106" s="94"/>
      <x:c r="N106" s="94"/>
      <x:c r="O106" s="94"/>
      <x:c r="P106" s="94"/>
      <x:c r="Q106" s="94"/>
      <x:c r="R106" s="94"/>
      <x:c r="S106" s="94"/>
      <x:c r="T106" s="94"/>
      <x:c r="U106" s="94"/>
      <x:c r="V106" s="94"/>
    </x:row>
    <x:row r="107">
      <x:c r="A107" s="129"/>
      <x:c r="B107" s="94"/>
      <x:c r="C107" s="94"/>
      <x:c r="D107" s="94"/>
      <x:c r="E107" s="130"/>
      <x:c r="F107" s="130"/>
      <x:c r="G107" s="130"/>
      <x:c r="H107" s="130"/>
      <x:c r="I107" s="94"/>
      <x:c r="J107" s="131"/>
      <x:c r="K107" s="94"/>
      <x:c r="L107" s="94"/>
      <x:c r="M107" s="94"/>
      <x:c r="N107" s="94"/>
      <x:c r="O107" s="94"/>
      <x:c r="P107" s="94"/>
      <x:c r="Q107" s="94"/>
      <x:c r="R107" s="94"/>
      <x:c r="S107" s="94"/>
      <x:c r="T107" s="94"/>
      <x:c r="U107" s="94"/>
      <x:c r="V107" s="94"/>
    </x:row>
    <x:row r="108">
      <x:c r="A108" s="129"/>
      <x:c r="B108" s="94"/>
      <x:c r="C108" s="94"/>
      <x:c r="D108" s="94"/>
      <x:c r="E108" s="130"/>
      <x:c r="F108" s="130"/>
      <x:c r="G108" s="130"/>
      <x:c r="H108" s="130"/>
      <x:c r="I108" s="94"/>
      <x:c r="J108" s="131"/>
      <x:c r="K108" s="94"/>
      <x:c r="L108" s="94"/>
      <x:c r="M108" s="94"/>
      <x:c r="N108" s="94"/>
      <x:c r="O108" s="94"/>
      <x:c r="P108" s="94"/>
      <x:c r="Q108" s="94"/>
      <x:c r="R108" s="94"/>
      <x:c r="S108" s="94"/>
      <x:c r="T108" s="94"/>
      <x:c r="U108" s="94"/>
      <x:c r="V108" s="94"/>
    </x:row>
    <x:row r="109">
      <x:c r="A109" s="129"/>
      <x:c r="B109" s="94"/>
      <x:c r="C109" s="94"/>
      <x:c r="D109" s="94"/>
      <x:c r="E109" s="130"/>
      <x:c r="F109" s="130"/>
      <x:c r="G109" s="130"/>
      <x:c r="H109" s="130"/>
      <x:c r="I109" s="94"/>
      <x:c r="J109" s="131"/>
      <x:c r="K109" s="94"/>
      <x:c r="L109" s="94"/>
      <x:c r="M109" s="94"/>
      <x:c r="N109" s="94"/>
      <x:c r="O109" s="94"/>
      <x:c r="P109" s="94"/>
      <x:c r="Q109" s="94"/>
      <x:c r="R109" s="94"/>
      <x:c r="S109" s="94"/>
      <x:c r="T109" s="94"/>
      <x:c r="U109" s="94"/>
      <x:c r="V109" s="94"/>
    </x:row>
    <x:row r="110">
      <x:c r="A110" s="129"/>
      <x:c r="B110" s="94"/>
      <x:c r="C110" s="94"/>
      <x:c r="D110" s="94"/>
      <x:c r="E110" s="130"/>
      <x:c r="F110" s="130"/>
      <x:c r="G110" s="130"/>
      <x:c r="H110" s="130"/>
      <x:c r="I110" s="94"/>
      <x:c r="J110" s="131"/>
      <x:c r="K110" s="94"/>
      <x:c r="L110" s="94"/>
      <x:c r="M110" s="94"/>
      <x:c r="N110" s="94"/>
      <x:c r="O110" s="94"/>
      <x:c r="P110" s="94"/>
      <x:c r="Q110" s="94"/>
      <x:c r="R110" s="94"/>
      <x:c r="S110" s="94"/>
      <x:c r="T110" s="94"/>
      <x:c r="U110" s="94"/>
      <x:c r="V110" s="94"/>
    </x:row>
    <x:row r="111">
      <x:c r="A111" s="129"/>
      <x:c r="B111" s="94"/>
      <x:c r="C111" s="94"/>
      <x:c r="D111" s="94"/>
      <x:c r="E111" s="130"/>
      <x:c r="F111" s="130"/>
      <x:c r="G111" s="130"/>
      <x:c r="H111" s="130"/>
      <x:c r="I111" s="94"/>
      <x:c r="J111" s="131"/>
      <x:c r="K111" s="94"/>
      <x:c r="L111" s="94"/>
      <x:c r="M111" s="94"/>
      <x:c r="N111" s="94"/>
      <x:c r="O111" s="94"/>
      <x:c r="P111" s="94"/>
      <x:c r="Q111" s="94"/>
      <x:c r="R111" s="94"/>
      <x:c r="S111" s="94"/>
      <x:c r="T111" s="94"/>
      <x:c r="U111" s="94"/>
      <x:c r="V111" s="94"/>
    </x:row>
    <x:row r="112">
      <x:c r="A112" s="129"/>
      <x:c r="B112" s="94"/>
      <x:c r="C112" s="94"/>
      <x:c r="D112" s="94"/>
      <x:c r="E112" s="130"/>
      <x:c r="F112" s="130"/>
      <x:c r="G112" s="130"/>
      <x:c r="H112" s="130"/>
      <x:c r="I112" s="94"/>
      <x:c r="J112" s="131"/>
      <x:c r="K112" s="94"/>
      <x:c r="L112" s="94"/>
      <x:c r="M112" s="94"/>
      <x:c r="N112" s="94"/>
      <x:c r="O112" s="94"/>
      <x:c r="P112" s="94"/>
      <x:c r="Q112" s="94"/>
      <x:c r="R112" s="94"/>
      <x:c r="S112" s="94"/>
      <x:c r="T112" s="94"/>
      <x:c r="U112" s="94"/>
      <x:c r="V112" s="94"/>
    </x:row>
    <x:row r="113">
      <x:c r="A113" s="129"/>
      <x:c r="B113" s="94"/>
      <x:c r="C113" s="94"/>
      <x:c r="D113" s="94"/>
      <x:c r="E113" s="130"/>
      <x:c r="F113" s="130"/>
      <x:c r="G113" s="130"/>
      <x:c r="H113" s="130"/>
      <x:c r="I113" s="94"/>
      <x:c r="J113" s="131"/>
      <x:c r="K113" s="94"/>
      <x:c r="L113" s="94"/>
      <x:c r="M113" s="94"/>
      <x:c r="N113" s="94"/>
      <x:c r="O113" s="94"/>
      <x:c r="P113" s="94"/>
      <x:c r="Q113" s="94"/>
      <x:c r="R113" s="94"/>
      <x:c r="S113" s="94"/>
      <x:c r="T113" s="94"/>
      <x:c r="U113" s="94"/>
      <x:c r="V113" s="94"/>
    </x:row>
    <x:row r="114">
      <x:c r="A114" s="129"/>
      <x:c r="B114" s="94"/>
      <x:c r="C114" s="94"/>
      <x:c r="D114" s="94"/>
      <x:c r="E114" s="130"/>
      <x:c r="F114" s="130"/>
      <x:c r="G114" s="130"/>
      <x:c r="H114" s="130"/>
      <x:c r="I114" s="94"/>
      <x:c r="J114" s="131"/>
      <x:c r="K114" s="94"/>
      <x:c r="L114" s="94"/>
      <x:c r="M114" s="94"/>
      <x:c r="N114" s="94"/>
      <x:c r="O114" s="94"/>
      <x:c r="P114" s="94"/>
      <x:c r="Q114" s="94"/>
      <x:c r="R114" s="94"/>
      <x:c r="S114" s="94"/>
      <x:c r="T114" s="94"/>
      <x:c r="U114" s="94"/>
      <x:c r="V114" s="94"/>
    </x:row>
    <x:row r="115">
      <x:c r="A115" s="129"/>
      <x:c r="B115" s="94"/>
      <x:c r="C115" s="94"/>
      <x:c r="D115" s="94"/>
      <x:c r="E115" s="130"/>
      <x:c r="F115" s="130"/>
      <x:c r="G115" s="130"/>
      <x:c r="H115" s="130"/>
      <x:c r="I115" s="94"/>
      <x:c r="J115" s="131"/>
      <x:c r="K115" s="94"/>
      <x:c r="L115" s="94"/>
      <x:c r="M115" s="94"/>
      <x:c r="N115" s="94"/>
      <x:c r="O115" s="94"/>
      <x:c r="P115" s="94"/>
      <x:c r="Q115" s="94"/>
      <x:c r="R115" s="94"/>
      <x:c r="S115" s="94"/>
      <x:c r="T115" s="94"/>
      <x:c r="U115" s="94"/>
      <x:c r="V115" s="94"/>
    </x:row>
    <x:row r="116">
      <x:c r="A116" s="129"/>
      <x:c r="B116" s="94"/>
      <x:c r="C116" s="94"/>
      <x:c r="D116" s="94"/>
      <x:c r="E116" s="130"/>
      <x:c r="F116" s="130"/>
      <x:c r="G116" s="130"/>
      <x:c r="H116" s="130"/>
      <x:c r="I116" s="94"/>
      <x:c r="J116" s="131"/>
      <x:c r="K116" s="94"/>
      <x:c r="L116" s="94"/>
      <x:c r="M116" s="94"/>
      <x:c r="N116" s="94"/>
      <x:c r="O116" s="94"/>
      <x:c r="P116" s="94"/>
      <x:c r="Q116" s="94"/>
      <x:c r="R116" s="94"/>
      <x:c r="S116" s="94"/>
      <x:c r="T116" s="94"/>
      <x:c r="U116" s="94"/>
      <x:c r="V116" s="94"/>
    </x:row>
    <x:row r="117">
      <x:c r="A117" s="129"/>
      <x:c r="B117" s="94"/>
      <x:c r="C117" s="94"/>
      <x:c r="D117" s="94"/>
      <x:c r="E117" s="130"/>
      <x:c r="F117" s="130"/>
      <x:c r="G117" s="130"/>
      <x:c r="H117" s="130"/>
      <x:c r="I117" s="94"/>
      <x:c r="J117" s="131"/>
      <x:c r="K117" s="94"/>
      <x:c r="L117" s="94"/>
      <x:c r="M117" s="94"/>
      <x:c r="N117" s="94"/>
      <x:c r="O117" s="94"/>
      <x:c r="P117" s="94"/>
      <x:c r="Q117" s="94"/>
      <x:c r="R117" s="94"/>
      <x:c r="S117" s="94"/>
      <x:c r="T117" s="94"/>
      <x:c r="U117" s="94"/>
      <x:c r="V117" s="94"/>
    </x:row>
    <x:row r="118">
      <x:c r="A118" s="129"/>
      <x:c r="B118" s="94"/>
      <x:c r="C118" s="94"/>
      <x:c r="D118" s="94"/>
      <x:c r="E118" s="130"/>
      <x:c r="F118" s="130"/>
      <x:c r="G118" s="130"/>
      <x:c r="H118" s="130"/>
      <x:c r="I118" s="94"/>
      <x:c r="J118" s="131"/>
      <x:c r="K118" s="94"/>
      <x:c r="L118" s="94"/>
      <x:c r="M118" s="94"/>
      <x:c r="N118" s="94"/>
      <x:c r="O118" s="94"/>
      <x:c r="P118" s="94"/>
      <x:c r="Q118" s="94"/>
      <x:c r="R118" s="94"/>
      <x:c r="S118" s="94"/>
      <x:c r="T118" s="94"/>
      <x:c r="U118" s="94"/>
      <x:c r="V118" s="94"/>
    </x:row>
    <x:row r="119">
      <x:c r="A119" s="129"/>
      <x:c r="B119" s="94"/>
      <x:c r="C119" s="94"/>
      <x:c r="D119" s="94"/>
      <x:c r="E119" s="130"/>
      <x:c r="F119" s="130"/>
      <x:c r="G119" s="130"/>
      <x:c r="H119" s="130"/>
      <x:c r="I119" s="94"/>
      <x:c r="J119" s="131"/>
      <x:c r="K119" s="94"/>
      <x:c r="L119" s="94"/>
      <x:c r="M119" s="94"/>
      <x:c r="N119" s="94"/>
      <x:c r="O119" s="94"/>
      <x:c r="P119" s="94"/>
      <x:c r="Q119" s="94"/>
      <x:c r="R119" s="94"/>
      <x:c r="S119" s="94"/>
      <x:c r="T119" s="94"/>
      <x:c r="U119" s="94"/>
      <x:c r="V119" s="94"/>
    </x:row>
    <x:row r="120">
      <x:c r="A120" s="129"/>
      <x:c r="B120" s="94"/>
      <x:c r="C120" s="94"/>
      <x:c r="D120" s="94"/>
      <x:c r="E120" s="130"/>
      <x:c r="F120" s="130"/>
      <x:c r="G120" s="130"/>
      <x:c r="H120" s="130"/>
      <x:c r="I120" s="94"/>
      <x:c r="J120" s="131"/>
      <x:c r="K120" s="94"/>
      <x:c r="L120" s="94"/>
      <x:c r="M120" s="94"/>
      <x:c r="N120" s="94"/>
      <x:c r="O120" s="94"/>
      <x:c r="P120" s="94"/>
      <x:c r="Q120" s="94"/>
      <x:c r="R120" s="94"/>
      <x:c r="S120" s="94"/>
      <x:c r="T120" s="94"/>
      <x:c r="U120" s="94"/>
      <x:c r="V120" s="94"/>
    </x:row>
    <x:row r="121">
      <x:c r="A121" s="129"/>
      <x:c r="B121" s="94"/>
      <x:c r="C121" s="94"/>
      <x:c r="D121" s="94"/>
      <x:c r="E121" s="130"/>
      <x:c r="F121" s="130"/>
      <x:c r="G121" s="130"/>
      <x:c r="H121" s="130"/>
      <x:c r="I121" s="94"/>
      <x:c r="J121" s="131"/>
      <x:c r="K121" s="94"/>
      <x:c r="L121" s="94"/>
      <x:c r="M121" s="94"/>
      <x:c r="N121" s="94"/>
      <x:c r="O121" s="94"/>
      <x:c r="P121" s="94"/>
      <x:c r="Q121" s="94"/>
      <x:c r="R121" s="94"/>
      <x:c r="S121" s="94"/>
      <x:c r="T121" s="94"/>
      <x:c r="U121" s="94"/>
      <x:c r="V121" s="94"/>
    </x:row>
    <x:row r="122">
      <x:c r="A122" s="129"/>
      <x:c r="B122" s="94"/>
      <x:c r="C122" s="94"/>
      <x:c r="D122" s="94"/>
      <x:c r="E122" s="130"/>
      <x:c r="F122" s="130"/>
      <x:c r="G122" s="130"/>
      <x:c r="H122" s="130"/>
      <x:c r="I122" s="94"/>
      <x:c r="J122" s="131"/>
      <x:c r="K122" s="94"/>
      <x:c r="L122" s="94"/>
      <x:c r="M122" s="94"/>
      <x:c r="N122" s="94"/>
      <x:c r="O122" s="94"/>
      <x:c r="P122" s="94"/>
      <x:c r="Q122" s="94"/>
      <x:c r="R122" s="94"/>
      <x:c r="S122" s="94"/>
      <x:c r="T122" s="94"/>
      <x:c r="U122" s="94"/>
      <x:c r="V122" s="94"/>
    </x:row>
    <x:row r="123">
      <x:c r="A123" s="129"/>
      <x:c r="B123" s="94"/>
      <x:c r="C123" s="94"/>
      <x:c r="D123" s="94"/>
      <x:c r="E123" s="130"/>
      <x:c r="F123" s="130"/>
      <x:c r="G123" s="130"/>
      <x:c r="H123" s="130"/>
      <x:c r="I123" s="94"/>
      <x:c r="J123" s="131"/>
      <x:c r="K123" s="94"/>
      <x:c r="L123" s="94"/>
      <x:c r="M123" s="94"/>
      <x:c r="N123" s="94"/>
      <x:c r="O123" s="94"/>
      <x:c r="P123" s="94"/>
      <x:c r="Q123" s="94"/>
      <x:c r="R123" s="94"/>
      <x:c r="S123" s="94"/>
      <x:c r="T123" s="94"/>
      <x:c r="U123" s="94"/>
      <x:c r="V123" s="94"/>
    </x:row>
    <x:row r="124">
      <x:c r="A124" s="129"/>
      <x:c r="B124" s="94"/>
      <x:c r="C124" s="94"/>
      <x:c r="D124" s="94"/>
      <x:c r="E124" s="130"/>
      <x:c r="F124" s="130"/>
      <x:c r="G124" s="130"/>
      <x:c r="H124" s="130"/>
      <x:c r="I124" s="94"/>
      <x:c r="J124" s="131"/>
      <x:c r="K124" s="94"/>
      <x:c r="L124" s="94"/>
      <x:c r="M124" s="94"/>
      <x:c r="N124" s="94"/>
      <x:c r="O124" s="94"/>
      <x:c r="P124" s="94"/>
      <x:c r="Q124" s="94"/>
      <x:c r="R124" s="94"/>
      <x:c r="S124" s="94"/>
      <x:c r="T124" s="94"/>
      <x:c r="U124" s="94"/>
      <x:c r="V124" s="94"/>
    </x:row>
    <x:row r="125">
      <x:c r="A125" s="129"/>
      <x:c r="B125" s="94"/>
      <x:c r="C125" s="94"/>
      <x:c r="D125" s="94"/>
      <x:c r="E125" s="130"/>
      <x:c r="F125" s="130"/>
      <x:c r="G125" s="130"/>
      <x:c r="H125" s="130"/>
      <x:c r="I125" s="94"/>
      <x:c r="J125" s="131"/>
      <x:c r="K125" s="94"/>
      <x:c r="L125" s="94"/>
      <x:c r="M125" s="94"/>
      <x:c r="N125" s="94"/>
      <x:c r="O125" s="94"/>
      <x:c r="P125" s="94"/>
      <x:c r="Q125" s="94"/>
      <x:c r="R125" s="94"/>
      <x:c r="S125" s="94"/>
      <x:c r="T125" s="94"/>
      <x:c r="U125" s="94"/>
      <x:c r="V125" s="94"/>
    </x:row>
    <x:row r="126">
      <x:c r="A126" s="129"/>
      <x:c r="B126" s="94"/>
      <x:c r="C126" s="94"/>
      <x:c r="D126" s="94"/>
      <x:c r="E126" s="130"/>
      <x:c r="F126" s="130"/>
      <x:c r="G126" s="130"/>
      <x:c r="H126" s="130"/>
      <x:c r="I126" s="94"/>
      <x:c r="J126" s="131"/>
      <x:c r="K126" s="94"/>
      <x:c r="L126" s="94"/>
      <x:c r="M126" s="94"/>
      <x:c r="N126" s="94"/>
      <x:c r="O126" s="94"/>
      <x:c r="P126" s="94"/>
      <x:c r="Q126" s="94"/>
      <x:c r="R126" s="94"/>
      <x:c r="S126" s="94"/>
      <x:c r="T126" s="94"/>
      <x:c r="U126" s="94"/>
      <x:c r="V126" s="94"/>
    </x:row>
    <x:row r="127">
      <x:c r="A127" s="129"/>
      <x:c r="B127" s="94"/>
      <x:c r="C127" s="94"/>
      <x:c r="D127" s="94"/>
      <x:c r="E127" s="130"/>
      <x:c r="F127" s="130"/>
      <x:c r="G127" s="130"/>
      <x:c r="H127" s="130"/>
      <x:c r="I127" s="94"/>
      <x:c r="J127" s="131"/>
      <x:c r="K127" s="94"/>
      <x:c r="L127" s="94"/>
      <x:c r="M127" s="94"/>
      <x:c r="N127" s="94"/>
      <x:c r="O127" s="94"/>
      <x:c r="P127" s="94"/>
      <x:c r="Q127" s="94"/>
      <x:c r="R127" s="94"/>
      <x:c r="S127" s="94"/>
      <x:c r="T127" s="94"/>
      <x:c r="U127" s="94"/>
      <x:c r="V127" s="94"/>
    </x:row>
    <x:row r="128">
      <x:c r="A128" s="129"/>
      <x:c r="B128" s="94"/>
      <x:c r="C128" s="94"/>
      <x:c r="D128" s="94"/>
      <x:c r="E128" s="130"/>
      <x:c r="F128" s="130"/>
      <x:c r="G128" s="130"/>
      <x:c r="H128" s="130"/>
      <x:c r="I128" s="94"/>
      <x:c r="J128" s="131"/>
      <x:c r="K128" s="94"/>
      <x:c r="L128" s="94"/>
      <x:c r="M128" s="94"/>
      <x:c r="N128" s="94"/>
      <x:c r="O128" s="94"/>
      <x:c r="P128" s="94"/>
      <x:c r="Q128" s="94"/>
      <x:c r="R128" s="94"/>
      <x:c r="S128" s="94"/>
      <x:c r="T128" s="94"/>
      <x:c r="U128" s="94"/>
      <x:c r="V128" s="94"/>
    </x:row>
    <x:row r="129">
      <x:c r="A129" s="129"/>
      <x:c r="B129" s="94"/>
      <x:c r="C129" s="94"/>
      <x:c r="D129" s="94"/>
      <x:c r="E129" s="130"/>
      <x:c r="F129" s="130"/>
      <x:c r="G129" s="130"/>
      <x:c r="H129" s="130"/>
      <x:c r="I129" s="94"/>
      <x:c r="J129" s="131"/>
      <x:c r="K129" s="94"/>
      <x:c r="L129" s="94"/>
      <x:c r="M129" s="94"/>
      <x:c r="N129" s="94"/>
      <x:c r="O129" s="94"/>
      <x:c r="P129" s="94"/>
      <x:c r="Q129" s="94"/>
      <x:c r="R129" s="94"/>
      <x:c r="S129" s="94"/>
      <x:c r="T129" s="94"/>
      <x:c r="U129" s="94"/>
      <x:c r="V129" s="94"/>
    </x:row>
    <x:row r="130">
      <x:c r="A130" s="129"/>
      <x:c r="B130" s="94"/>
      <x:c r="C130" s="94"/>
      <x:c r="D130" s="94"/>
      <x:c r="E130" s="130"/>
      <x:c r="F130" s="130"/>
      <x:c r="G130" s="130"/>
      <x:c r="H130" s="130"/>
      <x:c r="I130" s="94"/>
      <x:c r="J130" s="131"/>
      <x:c r="K130" s="94"/>
      <x:c r="L130" s="94"/>
      <x:c r="M130" s="94"/>
      <x:c r="N130" s="94"/>
      <x:c r="O130" s="94"/>
      <x:c r="P130" s="94"/>
      <x:c r="Q130" s="94"/>
      <x:c r="R130" s="94"/>
      <x:c r="S130" s="94"/>
      <x:c r="T130" s="94"/>
      <x:c r="U130" s="94"/>
      <x:c r="V130" s="94"/>
    </x:row>
    <x:row r="131">
      <x:c r="A131" s="129"/>
      <x:c r="B131" s="94"/>
      <x:c r="C131" s="94"/>
      <x:c r="D131" s="94"/>
      <x:c r="E131" s="130"/>
      <x:c r="F131" s="130"/>
      <x:c r="G131" s="130"/>
      <x:c r="H131" s="130"/>
      <x:c r="I131" s="94"/>
      <x:c r="J131" s="131"/>
      <x:c r="K131" s="94"/>
      <x:c r="L131" s="94"/>
      <x:c r="M131" s="94"/>
      <x:c r="N131" s="94"/>
      <x:c r="O131" s="94"/>
      <x:c r="P131" s="94"/>
      <x:c r="Q131" s="94"/>
      <x:c r="R131" s="94"/>
      <x:c r="S131" s="94"/>
      <x:c r="T131" s="94"/>
      <x:c r="U131" s="94"/>
      <x:c r="V131" s="94"/>
    </x:row>
    <x:row r="132">
      <x:c r="A132" s="129"/>
      <x:c r="B132" s="94"/>
      <x:c r="C132" s="94"/>
      <x:c r="D132" s="94"/>
      <x:c r="E132" s="130"/>
      <x:c r="F132" s="130"/>
      <x:c r="G132" s="130"/>
      <x:c r="H132" s="130"/>
      <x:c r="I132" s="94"/>
      <x:c r="J132" s="131"/>
      <x:c r="K132" s="94"/>
      <x:c r="L132" s="94"/>
      <x:c r="M132" s="94"/>
      <x:c r="N132" s="94"/>
      <x:c r="O132" s="94"/>
      <x:c r="P132" s="94"/>
      <x:c r="Q132" s="94"/>
      <x:c r="R132" s="94"/>
      <x:c r="S132" s="94"/>
      <x:c r="T132" s="94"/>
      <x:c r="U132" s="94"/>
      <x:c r="V132" s="94"/>
    </x:row>
    <x:row r="133">
      <x:c r="A133" s="129"/>
      <x:c r="B133" s="94"/>
      <x:c r="C133" s="94"/>
      <x:c r="D133" s="94"/>
      <x:c r="E133" s="130"/>
      <x:c r="F133" s="130"/>
      <x:c r="G133" s="130"/>
      <x:c r="H133" s="130"/>
      <x:c r="I133" s="94"/>
      <x:c r="J133" s="131"/>
      <x:c r="K133" s="94"/>
      <x:c r="L133" s="94"/>
      <x:c r="M133" s="94"/>
      <x:c r="N133" s="94"/>
      <x:c r="O133" s="94"/>
      <x:c r="P133" s="94"/>
      <x:c r="Q133" s="94"/>
      <x:c r="R133" s="94"/>
      <x:c r="S133" s="94"/>
      <x:c r="T133" s="94"/>
      <x:c r="U133" s="94"/>
      <x:c r="V133" s="94"/>
    </x:row>
    <x:row r="134">
      <x:c r="A134" s="129"/>
      <x:c r="B134" s="94"/>
      <x:c r="C134" s="94"/>
      <x:c r="D134" s="94"/>
      <x:c r="E134" s="130"/>
      <x:c r="F134" s="130"/>
      <x:c r="G134" s="130"/>
      <x:c r="H134" s="130"/>
      <x:c r="I134" s="94"/>
      <x:c r="J134" s="131"/>
      <x:c r="K134" s="94"/>
      <x:c r="L134" s="94"/>
      <x:c r="M134" s="94"/>
      <x:c r="N134" s="94"/>
      <x:c r="O134" s="94"/>
      <x:c r="P134" s="94"/>
      <x:c r="Q134" s="94"/>
      <x:c r="R134" s="94"/>
      <x:c r="S134" s="94"/>
      <x:c r="T134" s="94"/>
      <x:c r="U134" s="94"/>
      <x:c r="V134" s="94"/>
    </x:row>
    <x:row r="135">
      <x:c r="A135" s="129"/>
      <x:c r="B135" s="94"/>
      <x:c r="C135" s="94"/>
      <x:c r="D135" s="94"/>
      <x:c r="E135" s="130"/>
      <x:c r="F135" s="130"/>
      <x:c r="G135" s="130"/>
      <x:c r="H135" s="130"/>
      <x:c r="I135" s="94"/>
      <x:c r="J135" s="131"/>
      <x:c r="K135" s="94"/>
      <x:c r="L135" s="94"/>
      <x:c r="M135" s="94"/>
      <x:c r="N135" s="94"/>
      <x:c r="O135" s="94"/>
      <x:c r="P135" s="94"/>
      <x:c r="Q135" s="94"/>
      <x:c r="R135" s="94"/>
      <x:c r="S135" s="94"/>
      <x:c r="T135" s="94"/>
      <x:c r="U135" s="94"/>
      <x:c r="V135" s="94"/>
    </x:row>
    <x:row r="136">
      <x:c r="A136" s="129"/>
      <x:c r="B136" s="94"/>
      <x:c r="C136" s="94"/>
      <x:c r="D136" s="94"/>
      <x:c r="E136" s="130"/>
      <x:c r="F136" s="130"/>
      <x:c r="G136" s="130"/>
      <x:c r="H136" s="130"/>
      <x:c r="I136" s="94"/>
      <x:c r="J136" s="131"/>
      <x:c r="K136" s="94"/>
      <x:c r="L136" s="94"/>
      <x:c r="M136" s="94"/>
      <x:c r="N136" s="94"/>
      <x:c r="O136" s="94"/>
      <x:c r="P136" s="94"/>
      <x:c r="Q136" s="94"/>
      <x:c r="R136" s="94"/>
      <x:c r="S136" s="94"/>
      <x:c r="T136" s="94"/>
      <x:c r="U136" s="94"/>
      <x:c r="V136" s="94"/>
    </x:row>
    <x:row r="137">
      <x:c r="A137" s="129"/>
      <x:c r="B137" s="94"/>
      <x:c r="C137" s="94"/>
      <x:c r="D137" s="94"/>
      <x:c r="E137" s="130"/>
      <x:c r="F137" s="130"/>
      <x:c r="G137" s="130"/>
      <x:c r="H137" s="130"/>
      <x:c r="I137" s="94"/>
      <x:c r="J137" s="131"/>
      <x:c r="K137" s="94"/>
      <x:c r="L137" s="94"/>
      <x:c r="M137" s="94"/>
      <x:c r="N137" s="94"/>
      <x:c r="O137" s="94"/>
      <x:c r="P137" s="94"/>
      <x:c r="Q137" s="94"/>
      <x:c r="R137" s="94"/>
      <x:c r="S137" s="94"/>
      <x:c r="T137" s="94"/>
      <x:c r="U137" s="94"/>
      <x:c r="V137" s="94"/>
    </x:row>
    <x:row r="138">
      <x:c r="A138" s="129"/>
      <x:c r="B138" s="94"/>
      <x:c r="C138" s="94"/>
      <x:c r="D138" s="94"/>
      <x:c r="E138" s="130"/>
      <x:c r="F138" s="130"/>
      <x:c r="G138" s="130"/>
      <x:c r="H138" s="130"/>
      <x:c r="I138" s="94"/>
      <x:c r="J138" s="131"/>
      <x:c r="K138" s="94"/>
      <x:c r="L138" s="94"/>
      <x:c r="M138" s="94"/>
      <x:c r="N138" s="94"/>
      <x:c r="O138" s="94"/>
      <x:c r="P138" s="94"/>
      <x:c r="Q138" s="94"/>
      <x:c r="R138" s="94"/>
      <x:c r="S138" s="94"/>
      <x:c r="T138" s="94"/>
      <x:c r="U138" s="94"/>
      <x:c r="V138" s="94"/>
    </x:row>
    <x:row r="139">
      <x:c r="A139" s="129"/>
      <x:c r="B139" s="94"/>
      <x:c r="C139" s="94"/>
      <x:c r="D139" s="94"/>
      <x:c r="E139" s="130"/>
      <x:c r="F139" s="130"/>
      <x:c r="G139" s="130"/>
      <x:c r="H139" s="130"/>
      <x:c r="I139" s="94"/>
      <x:c r="J139" s="131"/>
      <x:c r="K139" s="94"/>
      <x:c r="L139" s="94"/>
      <x:c r="M139" s="94"/>
      <x:c r="N139" s="94"/>
      <x:c r="O139" s="94"/>
      <x:c r="P139" s="94"/>
      <x:c r="Q139" s="94"/>
      <x:c r="R139" s="94"/>
      <x:c r="S139" s="94"/>
      <x:c r="T139" s="94"/>
      <x:c r="U139" s="94"/>
      <x:c r="V139" s="94"/>
    </x:row>
    <x:row r="140">
      <x:c r="A140" s="129"/>
      <x:c r="B140" s="94"/>
      <x:c r="C140" s="94"/>
      <x:c r="D140" s="94"/>
      <x:c r="E140" s="130"/>
      <x:c r="F140" s="130"/>
      <x:c r="G140" s="130"/>
      <x:c r="H140" s="130"/>
      <x:c r="I140" s="94"/>
      <x:c r="J140" s="131"/>
      <x:c r="K140" s="94"/>
      <x:c r="L140" s="94"/>
      <x:c r="M140" s="94"/>
      <x:c r="N140" s="94"/>
      <x:c r="O140" s="94"/>
      <x:c r="P140" s="94"/>
      <x:c r="Q140" s="94"/>
      <x:c r="R140" s="94"/>
      <x:c r="S140" s="94"/>
      <x:c r="T140" s="94"/>
      <x:c r="U140" s="94"/>
      <x:c r="V140" s="94"/>
    </x:row>
    <x:row r="141">
      <x:c r="A141" s="129"/>
      <x:c r="B141" s="94"/>
      <x:c r="C141" s="94"/>
      <x:c r="D141" s="94"/>
      <x:c r="E141" s="130"/>
      <x:c r="F141" s="130"/>
      <x:c r="G141" s="130"/>
      <x:c r="H141" s="130"/>
      <x:c r="I141" s="94"/>
      <x:c r="J141" s="131"/>
      <x:c r="K141" s="94"/>
      <x:c r="L141" s="94"/>
      <x:c r="M141" s="94"/>
      <x:c r="N141" s="94"/>
      <x:c r="O141" s="94"/>
      <x:c r="P141" s="94"/>
      <x:c r="Q141" s="94"/>
      <x:c r="R141" s="94"/>
      <x:c r="S141" s="94"/>
      <x:c r="T141" s="94"/>
      <x:c r="U141" s="94"/>
      <x:c r="V141" s="94"/>
    </x:row>
    <x:row r="142">
      <x:c r="A142" s="129"/>
      <x:c r="B142" s="94"/>
      <x:c r="C142" s="94"/>
      <x:c r="D142" s="94"/>
      <x:c r="E142" s="130"/>
      <x:c r="F142" s="130"/>
      <x:c r="G142" s="130"/>
      <x:c r="H142" s="130"/>
      <x:c r="I142" s="94"/>
      <x:c r="J142" s="131"/>
      <x:c r="K142" s="94"/>
      <x:c r="L142" s="94"/>
      <x:c r="M142" s="94"/>
      <x:c r="N142" s="94"/>
      <x:c r="O142" s="94"/>
      <x:c r="P142" s="94"/>
      <x:c r="Q142" s="94"/>
      <x:c r="R142" s="94"/>
      <x:c r="S142" s="94"/>
      <x:c r="T142" s="94"/>
      <x:c r="U142" s="94"/>
      <x:c r="V142" s="94"/>
    </x:row>
    <x:row r="143">
      <x:c r="A143" s="129"/>
      <x:c r="B143" s="94"/>
      <x:c r="C143" s="94"/>
      <x:c r="D143" s="94"/>
      <x:c r="E143" s="130"/>
      <x:c r="F143" s="130"/>
      <x:c r="G143" s="130"/>
      <x:c r="H143" s="130"/>
      <x:c r="I143" s="94"/>
      <x:c r="J143" s="131"/>
      <x:c r="K143" s="94"/>
      <x:c r="L143" s="94"/>
      <x:c r="M143" s="94"/>
      <x:c r="N143" s="94"/>
      <x:c r="O143" s="94"/>
      <x:c r="P143" s="94"/>
      <x:c r="Q143" s="94"/>
      <x:c r="R143" s="94"/>
      <x:c r="S143" s="94"/>
      <x:c r="T143" s="94"/>
      <x:c r="U143" s="94"/>
      <x:c r="V143" s="94"/>
    </x:row>
    <x:row r="144">
      <x:c r="A144" s="129"/>
      <x:c r="B144" s="94"/>
      <x:c r="C144" s="94"/>
      <x:c r="D144" s="94"/>
      <x:c r="E144" s="130"/>
      <x:c r="F144" s="130"/>
      <x:c r="G144" s="130"/>
      <x:c r="H144" s="130"/>
      <x:c r="I144" s="94"/>
      <x:c r="J144" s="131"/>
      <x:c r="K144" s="94"/>
      <x:c r="L144" s="94"/>
      <x:c r="M144" s="94"/>
      <x:c r="N144" s="94"/>
      <x:c r="O144" s="94"/>
      <x:c r="P144" s="94"/>
      <x:c r="Q144" s="94"/>
      <x:c r="R144" s="94"/>
      <x:c r="S144" s="94"/>
      <x:c r="T144" s="94"/>
      <x:c r="U144" s="94"/>
      <x:c r="V144" s="94"/>
    </x:row>
    <x:row r="145">
      <x:c r="A145" s="129"/>
      <x:c r="B145" s="94"/>
      <x:c r="C145" s="94"/>
      <x:c r="D145" s="94"/>
      <x:c r="E145" s="130"/>
      <x:c r="F145" s="130"/>
      <x:c r="G145" s="130"/>
      <x:c r="H145" s="130"/>
      <x:c r="I145" s="94"/>
      <x:c r="J145" s="131"/>
      <x:c r="K145" s="94"/>
      <x:c r="L145" s="94"/>
      <x:c r="M145" s="94"/>
      <x:c r="N145" s="94"/>
      <x:c r="O145" s="94"/>
      <x:c r="P145" s="94"/>
      <x:c r="Q145" s="94"/>
      <x:c r="R145" s="94"/>
      <x:c r="S145" s="94"/>
      <x:c r="T145" s="94"/>
      <x:c r="U145" s="94"/>
      <x:c r="V145" s="94"/>
    </x:row>
    <x:row r="146">
      <x:c r="A146" s="129"/>
      <x:c r="B146" s="94"/>
      <x:c r="C146" s="94"/>
      <x:c r="D146" s="94"/>
      <x:c r="E146" s="130"/>
      <x:c r="F146" s="130"/>
      <x:c r="G146" s="130"/>
      <x:c r="H146" s="130"/>
      <x:c r="I146" s="94"/>
      <x:c r="J146" s="131"/>
      <x:c r="K146" s="94"/>
      <x:c r="L146" s="94"/>
      <x:c r="M146" s="94"/>
      <x:c r="N146" s="94"/>
      <x:c r="O146" s="94"/>
      <x:c r="P146" s="94"/>
      <x:c r="Q146" s="94"/>
      <x:c r="R146" s="94"/>
      <x:c r="S146" s="94"/>
      <x:c r="T146" s="94"/>
      <x:c r="U146" s="94"/>
      <x:c r="V146" s="94"/>
    </x:row>
    <x:row r="147">
      <x:c r="A147" s="129"/>
      <x:c r="B147" s="94"/>
      <x:c r="C147" s="94"/>
      <x:c r="D147" s="94"/>
      <x:c r="E147" s="130"/>
      <x:c r="F147" s="130"/>
      <x:c r="G147" s="130"/>
      <x:c r="H147" s="130"/>
      <x:c r="I147" s="94"/>
      <x:c r="J147" s="131"/>
      <x:c r="K147" s="94"/>
      <x:c r="L147" s="94"/>
      <x:c r="M147" s="94"/>
      <x:c r="N147" s="94"/>
      <x:c r="O147" s="94"/>
      <x:c r="P147" s="94"/>
      <x:c r="Q147" s="94"/>
      <x:c r="R147" s="94"/>
      <x:c r="S147" s="94"/>
      <x:c r="T147" s="94"/>
      <x:c r="U147" s="94"/>
      <x:c r="V147" s="94"/>
    </x:row>
    <x:row r="148">
      <x:c r="A148" s="129"/>
      <x:c r="B148" s="94"/>
      <x:c r="C148" s="94"/>
      <x:c r="D148" s="94"/>
      <x:c r="E148" s="130"/>
      <x:c r="F148" s="130"/>
      <x:c r="G148" s="130"/>
      <x:c r="H148" s="130"/>
      <x:c r="I148" s="94"/>
      <x:c r="J148" s="131"/>
      <x:c r="K148" s="94"/>
      <x:c r="L148" s="94"/>
      <x:c r="M148" s="94"/>
      <x:c r="N148" s="94"/>
      <x:c r="O148" s="94"/>
      <x:c r="P148" s="94"/>
      <x:c r="Q148" s="94"/>
      <x:c r="R148" s="94"/>
      <x:c r="S148" s="94"/>
      <x:c r="T148" s="94"/>
      <x:c r="U148" s="94"/>
      <x:c r="V148" s="94"/>
    </x:row>
    <x:row r="149">
      <x:c r="A149" s="129"/>
      <x:c r="B149" s="94"/>
      <x:c r="C149" s="94"/>
      <x:c r="D149" s="94"/>
      <x:c r="E149" s="130"/>
      <x:c r="F149" s="130"/>
      <x:c r="G149" s="130"/>
      <x:c r="H149" s="130"/>
      <x:c r="I149" s="94"/>
      <x:c r="J149" s="131"/>
      <x:c r="K149" s="94"/>
      <x:c r="L149" s="94"/>
      <x:c r="M149" s="94"/>
      <x:c r="N149" s="94"/>
      <x:c r="O149" s="94"/>
      <x:c r="P149" s="94"/>
      <x:c r="Q149" s="94"/>
      <x:c r="R149" s="94"/>
      <x:c r="S149" s="94"/>
      <x:c r="T149" s="94"/>
      <x:c r="U149" s="94"/>
      <x:c r="V149" s="94"/>
    </x:row>
    <x:row r="150">
      <x:c r="A150" s="129"/>
      <x:c r="B150" s="94"/>
      <x:c r="C150" s="94"/>
      <x:c r="D150" s="94"/>
      <x:c r="E150" s="130"/>
      <x:c r="F150" s="130"/>
      <x:c r="G150" s="130"/>
      <x:c r="H150" s="130"/>
      <x:c r="I150" s="94"/>
      <x:c r="J150" s="131"/>
      <x:c r="K150" s="94"/>
      <x:c r="L150" s="94"/>
      <x:c r="M150" s="94"/>
      <x:c r="N150" s="94"/>
      <x:c r="O150" s="94"/>
      <x:c r="P150" s="94"/>
      <x:c r="Q150" s="94"/>
      <x:c r="R150" s="94"/>
      <x:c r="S150" s="94"/>
      <x:c r="T150" s="94"/>
      <x:c r="U150" s="94"/>
      <x:c r="V150" s="94"/>
    </x:row>
    <x:row r="151">
      <x:c r="A151" s="129"/>
      <x:c r="B151" s="94"/>
      <x:c r="C151" s="94"/>
      <x:c r="D151" s="94"/>
      <x:c r="E151" s="130"/>
      <x:c r="F151" s="130"/>
      <x:c r="G151" s="130"/>
      <x:c r="H151" s="130"/>
      <x:c r="I151" s="94"/>
      <x:c r="J151" s="131"/>
      <x:c r="K151" s="94"/>
      <x:c r="L151" s="94"/>
      <x:c r="M151" s="94"/>
      <x:c r="N151" s="94"/>
      <x:c r="O151" s="94"/>
      <x:c r="P151" s="94"/>
      <x:c r="Q151" s="94"/>
      <x:c r="R151" s="94"/>
      <x:c r="S151" s="94"/>
      <x:c r="T151" s="94"/>
      <x:c r="U151" s="94"/>
      <x:c r="V151" s="94"/>
    </x:row>
    <x:row r="152">
      <x:c r="A152" s="129"/>
      <x:c r="B152" s="94"/>
      <x:c r="C152" s="94"/>
      <x:c r="D152" s="94"/>
      <x:c r="E152" s="130"/>
      <x:c r="F152" s="130"/>
      <x:c r="G152" s="130"/>
      <x:c r="H152" s="130"/>
      <x:c r="I152" s="94"/>
      <x:c r="J152" s="131"/>
      <x:c r="K152" s="94"/>
      <x:c r="L152" s="94"/>
      <x:c r="M152" s="94"/>
      <x:c r="N152" s="94"/>
      <x:c r="O152" s="94"/>
      <x:c r="P152" s="94"/>
      <x:c r="Q152" s="94"/>
      <x:c r="R152" s="94"/>
      <x:c r="S152" s="94"/>
      <x:c r="T152" s="94"/>
      <x:c r="U152" s="94"/>
      <x:c r="V152" s="94"/>
    </x:row>
    <x:row r="153">
      <x:c r="A153" s="129"/>
      <x:c r="B153" s="94"/>
      <x:c r="C153" s="94"/>
      <x:c r="D153" s="94"/>
      <x:c r="E153" s="130"/>
      <x:c r="F153" s="130"/>
      <x:c r="G153" s="130"/>
      <x:c r="H153" s="130"/>
      <x:c r="I153" s="94"/>
      <x:c r="J153" s="131"/>
      <x:c r="K153" s="94"/>
      <x:c r="L153" s="94"/>
      <x:c r="M153" s="94"/>
      <x:c r="N153" s="94"/>
      <x:c r="O153" s="94"/>
      <x:c r="P153" s="94"/>
      <x:c r="Q153" s="94"/>
      <x:c r="R153" s="94"/>
      <x:c r="S153" s="94"/>
      <x:c r="T153" s="94"/>
      <x:c r="U153" s="94"/>
      <x:c r="V153" s="94"/>
    </x:row>
    <x:row r="154">
      <x:c r="A154" s="129"/>
      <x:c r="B154" s="94"/>
      <x:c r="C154" s="94"/>
      <x:c r="D154" s="94"/>
      <x:c r="E154" s="130"/>
      <x:c r="F154" s="130"/>
      <x:c r="G154" s="130"/>
      <x:c r="H154" s="130"/>
      <x:c r="I154" s="94"/>
      <x:c r="J154" s="131"/>
      <x:c r="K154" s="94"/>
      <x:c r="L154" s="94"/>
      <x:c r="M154" s="94"/>
      <x:c r="N154" s="94"/>
      <x:c r="O154" s="94"/>
      <x:c r="P154" s="94"/>
      <x:c r="Q154" s="94"/>
      <x:c r="R154" s="94"/>
      <x:c r="S154" s="94"/>
      <x:c r="T154" s="94"/>
      <x:c r="U154" s="94"/>
      <x:c r="V154" s="94"/>
    </x:row>
    <x:row r="155">
      <x:c r="A155" s="129"/>
      <x:c r="B155" s="94"/>
      <x:c r="C155" s="94"/>
      <x:c r="D155" s="94"/>
      <x:c r="E155" s="130"/>
      <x:c r="F155" s="130"/>
      <x:c r="G155" s="130"/>
      <x:c r="H155" s="130"/>
      <x:c r="I155" s="94"/>
      <x:c r="J155" s="131"/>
      <x:c r="K155" s="94"/>
      <x:c r="L155" s="94"/>
      <x:c r="M155" s="94"/>
      <x:c r="N155" s="94"/>
      <x:c r="O155" s="94"/>
      <x:c r="P155" s="94"/>
      <x:c r="Q155" s="94"/>
      <x:c r="R155" s="94"/>
      <x:c r="S155" s="94"/>
      <x:c r="T155" s="94"/>
      <x:c r="U155" s="94"/>
      <x:c r="V155" s="94"/>
    </x:row>
    <x:row r="156">
      <x:c r="A156" s="129"/>
      <x:c r="B156" s="94"/>
      <x:c r="C156" s="94"/>
      <x:c r="D156" s="94"/>
      <x:c r="E156" s="130"/>
      <x:c r="F156" s="130"/>
      <x:c r="G156" s="130"/>
      <x:c r="H156" s="130"/>
      <x:c r="I156" s="94"/>
      <x:c r="J156" s="131"/>
      <x:c r="K156" s="94"/>
      <x:c r="L156" s="94"/>
      <x:c r="M156" s="94"/>
      <x:c r="N156" s="94"/>
      <x:c r="O156" s="94"/>
      <x:c r="P156" s="94"/>
      <x:c r="Q156" s="94"/>
      <x:c r="R156" s="94"/>
      <x:c r="S156" s="94"/>
      <x:c r="T156" s="94"/>
      <x:c r="U156" s="94"/>
      <x:c r="V156" s="94"/>
    </x:row>
    <x:row r="157">
      <x:c r="A157" s="129"/>
      <x:c r="B157" s="94"/>
      <x:c r="C157" s="94"/>
      <x:c r="D157" s="94"/>
      <x:c r="E157" s="130"/>
      <x:c r="F157" s="130"/>
      <x:c r="G157" s="130"/>
      <x:c r="H157" s="130"/>
      <x:c r="I157" s="94"/>
      <x:c r="J157" s="131"/>
      <x:c r="K157" s="94"/>
      <x:c r="L157" s="94"/>
      <x:c r="M157" s="94"/>
      <x:c r="N157" s="94"/>
      <x:c r="O157" s="94"/>
      <x:c r="P157" s="94"/>
      <x:c r="Q157" s="94"/>
      <x:c r="R157" s="94"/>
      <x:c r="S157" s="94"/>
      <x:c r="T157" s="94"/>
      <x:c r="U157" s="94"/>
      <x:c r="V157" s="94"/>
    </x:row>
    <x:row r="158">
      <x:c r="A158" s="129"/>
      <x:c r="B158" s="94"/>
      <x:c r="C158" s="94"/>
      <x:c r="D158" s="94"/>
      <x:c r="E158" s="130"/>
      <x:c r="F158" s="130"/>
      <x:c r="G158" s="130"/>
      <x:c r="H158" s="130"/>
      <x:c r="I158" s="94"/>
      <x:c r="J158" s="131"/>
      <x:c r="K158" s="94"/>
      <x:c r="L158" s="94"/>
      <x:c r="M158" s="94"/>
      <x:c r="N158" s="94"/>
      <x:c r="O158" s="94"/>
      <x:c r="P158" s="94"/>
      <x:c r="Q158" s="94"/>
      <x:c r="R158" s="94"/>
      <x:c r="S158" s="94"/>
      <x:c r="T158" s="94"/>
      <x:c r="U158" s="94"/>
      <x:c r="V158" s="94"/>
    </x:row>
    <x:row r="159">
      <x:c r="A159" s="129"/>
      <x:c r="B159" s="94"/>
      <x:c r="C159" s="94"/>
      <x:c r="D159" s="94"/>
      <x:c r="E159" s="130"/>
      <x:c r="F159" s="130"/>
      <x:c r="G159" s="130"/>
      <x:c r="H159" s="130"/>
      <x:c r="I159" s="94"/>
      <x:c r="J159" s="131"/>
      <x:c r="K159" s="94"/>
      <x:c r="L159" s="94"/>
      <x:c r="M159" s="94"/>
      <x:c r="N159" s="94"/>
      <x:c r="O159" s="94"/>
      <x:c r="P159" s="94"/>
      <x:c r="Q159" s="94"/>
      <x:c r="R159" s="94"/>
      <x:c r="S159" s="94"/>
      <x:c r="T159" s="94"/>
      <x:c r="U159" s="94"/>
      <x:c r="V159" s="94"/>
    </x:row>
    <x:row r="160">
      <x:c r="A160" s="129"/>
      <x:c r="B160" s="94"/>
      <x:c r="C160" s="94"/>
      <x:c r="D160" s="94"/>
      <x:c r="E160" s="130"/>
      <x:c r="F160" s="130"/>
      <x:c r="G160" s="130"/>
      <x:c r="H160" s="130"/>
      <x:c r="I160" s="94"/>
      <x:c r="J160" s="131"/>
      <x:c r="K160" s="94"/>
      <x:c r="L160" s="94"/>
      <x:c r="M160" s="94"/>
      <x:c r="N160" s="94"/>
      <x:c r="O160" s="94"/>
      <x:c r="P160" s="94"/>
      <x:c r="Q160" s="94"/>
      <x:c r="R160" s="94"/>
      <x:c r="S160" s="94"/>
      <x:c r="T160" s="94"/>
      <x:c r="U160" s="94"/>
      <x:c r="V160" s="94"/>
    </x:row>
    <x:row r="161">
      <x:c r="A161" s="129"/>
      <x:c r="B161" s="94"/>
      <x:c r="C161" s="94"/>
      <x:c r="D161" s="94"/>
      <x:c r="E161" s="130"/>
      <x:c r="F161" s="130"/>
      <x:c r="G161" s="130"/>
      <x:c r="H161" s="130"/>
      <x:c r="I161" s="94"/>
      <x:c r="J161" s="131"/>
      <x:c r="K161" s="94"/>
      <x:c r="L161" s="94"/>
      <x:c r="M161" s="94"/>
      <x:c r="N161" s="94"/>
      <x:c r="O161" s="94"/>
      <x:c r="P161" s="94"/>
      <x:c r="Q161" s="94"/>
      <x:c r="R161" s="94"/>
      <x:c r="S161" s="94"/>
      <x:c r="T161" s="94"/>
      <x:c r="U161" s="94"/>
      <x:c r="V161" s="94"/>
    </x:row>
    <x:row r="162">
      <x:c r="A162" s="129"/>
      <x:c r="B162" s="94"/>
      <x:c r="C162" s="94"/>
      <x:c r="D162" s="94"/>
      <x:c r="E162" s="130"/>
      <x:c r="F162" s="130"/>
      <x:c r="G162" s="130"/>
      <x:c r="H162" s="130"/>
      <x:c r="I162" s="94"/>
      <x:c r="J162" s="131"/>
      <x:c r="K162" s="94"/>
      <x:c r="L162" s="94"/>
      <x:c r="M162" s="94"/>
      <x:c r="N162" s="94"/>
      <x:c r="O162" s="94"/>
      <x:c r="P162" s="94"/>
      <x:c r="Q162" s="94"/>
      <x:c r="R162" s="94"/>
      <x:c r="S162" s="94"/>
      <x:c r="T162" s="94"/>
      <x:c r="U162" s="94"/>
      <x:c r="V162" s="94"/>
    </x:row>
    <x:row r="163">
      <x:c r="A163" s="129"/>
      <x:c r="B163" s="94"/>
      <x:c r="C163" s="94"/>
      <x:c r="D163" s="94"/>
      <x:c r="E163" s="130"/>
      <x:c r="F163" s="130"/>
      <x:c r="G163" s="130"/>
      <x:c r="H163" s="130"/>
      <x:c r="I163" s="94"/>
      <x:c r="J163" s="131"/>
      <x:c r="K163" s="94"/>
      <x:c r="L163" s="94"/>
      <x:c r="M163" s="94"/>
      <x:c r="N163" s="94"/>
      <x:c r="O163" s="94"/>
      <x:c r="P163" s="94"/>
      <x:c r="Q163" s="94"/>
      <x:c r="R163" s="94"/>
      <x:c r="S163" s="94"/>
      <x:c r="T163" s="94"/>
      <x:c r="U163" s="94"/>
      <x:c r="V163" s="94"/>
    </x:row>
    <x:row r="164">
      <x:c r="A164" s="129"/>
      <x:c r="B164" s="94"/>
      <x:c r="C164" s="94"/>
      <x:c r="D164" s="94"/>
      <x:c r="E164" s="130"/>
      <x:c r="F164" s="130"/>
      <x:c r="G164" s="130"/>
      <x:c r="H164" s="130"/>
      <x:c r="I164" s="94"/>
      <x:c r="J164" s="131"/>
      <x:c r="K164" s="94"/>
      <x:c r="L164" s="94"/>
      <x:c r="M164" s="94"/>
      <x:c r="N164" s="94"/>
      <x:c r="O164" s="94"/>
      <x:c r="P164" s="94"/>
      <x:c r="Q164" s="94"/>
      <x:c r="R164" s="94"/>
      <x:c r="S164" s="94"/>
      <x:c r="T164" s="94"/>
      <x:c r="U164" s="94"/>
      <x:c r="V164" s="94"/>
    </x:row>
    <x:row r="165">
      <x:c r="A165" s="129"/>
      <x:c r="B165" s="94"/>
      <x:c r="C165" s="94"/>
      <x:c r="D165" s="94"/>
      <x:c r="E165" s="130"/>
      <x:c r="F165" s="130"/>
      <x:c r="G165" s="130"/>
      <x:c r="H165" s="130"/>
      <x:c r="I165" s="94"/>
      <x:c r="J165" s="131"/>
      <x:c r="K165" s="94"/>
      <x:c r="L165" s="94"/>
      <x:c r="M165" s="94"/>
      <x:c r="N165" s="94"/>
      <x:c r="O165" s="94"/>
      <x:c r="P165" s="94"/>
      <x:c r="Q165" s="94"/>
      <x:c r="R165" s="94"/>
      <x:c r="S165" s="94"/>
      <x:c r="T165" s="94"/>
      <x:c r="U165" s="94"/>
      <x:c r="V165" s="94"/>
    </x:row>
    <x:row r="166">
      <x:c r="A166" s="129"/>
      <x:c r="B166" s="94"/>
      <x:c r="C166" s="94"/>
      <x:c r="D166" s="94"/>
      <x:c r="E166" s="130"/>
      <x:c r="F166" s="130"/>
      <x:c r="G166" s="130"/>
      <x:c r="H166" s="130"/>
      <x:c r="I166" s="94"/>
      <x:c r="J166" s="131"/>
      <x:c r="K166" s="94"/>
      <x:c r="L166" s="94"/>
      <x:c r="M166" s="94"/>
      <x:c r="N166" s="94"/>
      <x:c r="O166" s="94"/>
      <x:c r="P166" s="94"/>
      <x:c r="Q166" s="94"/>
      <x:c r="R166" s="94"/>
      <x:c r="S166" s="94"/>
      <x:c r="T166" s="94"/>
      <x:c r="U166" s="94"/>
      <x:c r="V166" s="94"/>
    </x:row>
    <x:row r="167">
      <x:c r="A167" s="129"/>
      <x:c r="B167" s="94"/>
      <x:c r="C167" s="94"/>
      <x:c r="D167" s="94"/>
      <x:c r="E167" s="130"/>
      <x:c r="F167" s="130"/>
      <x:c r="G167" s="130"/>
      <x:c r="H167" s="130"/>
      <x:c r="I167" s="94"/>
      <x:c r="J167" s="131"/>
      <x:c r="K167" s="94"/>
      <x:c r="L167" s="94"/>
      <x:c r="M167" s="94"/>
      <x:c r="N167" s="94"/>
      <x:c r="O167" s="94"/>
      <x:c r="P167" s="94"/>
      <x:c r="Q167" s="94"/>
      <x:c r="R167" s="94"/>
      <x:c r="S167" s="94"/>
      <x:c r="T167" s="94"/>
      <x:c r="U167" s="94"/>
      <x:c r="V167" s="94"/>
    </x:row>
    <x:row r="168">
      <x:c r="A168" s="129"/>
      <x:c r="B168" s="94"/>
      <x:c r="C168" s="94"/>
      <x:c r="D168" s="94"/>
      <x:c r="E168" s="130"/>
      <x:c r="F168" s="130"/>
      <x:c r="G168" s="130"/>
      <x:c r="H168" s="130"/>
      <x:c r="I168" s="94"/>
      <x:c r="J168" s="131"/>
      <x:c r="K168" s="94"/>
      <x:c r="L168" s="94"/>
      <x:c r="M168" s="94"/>
      <x:c r="N168" s="94"/>
      <x:c r="O168" s="94"/>
      <x:c r="P168" s="94"/>
      <x:c r="Q168" s="94"/>
      <x:c r="R168" s="94"/>
      <x:c r="S168" s="94"/>
      <x:c r="T168" s="94"/>
      <x:c r="U168" s="94"/>
      <x:c r="V168" s="94"/>
    </x:row>
    <x:row r="169">
      <x:c r="A169" s="129"/>
      <x:c r="B169" s="94"/>
      <x:c r="C169" s="94"/>
      <x:c r="D169" s="94"/>
      <x:c r="E169" s="130"/>
      <x:c r="F169" s="130"/>
      <x:c r="G169" s="130"/>
      <x:c r="H169" s="130"/>
      <x:c r="I169" s="94"/>
      <x:c r="J169" s="131"/>
      <x:c r="K169" s="94"/>
      <x:c r="L169" s="94"/>
      <x:c r="M169" s="94"/>
      <x:c r="N169" s="94"/>
      <x:c r="O169" s="94"/>
      <x:c r="P169" s="94"/>
      <x:c r="Q169" s="94"/>
      <x:c r="R169" s="94"/>
      <x:c r="S169" s="94"/>
      <x:c r="T169" s="94"/>
      <x:c r="U169" s="94"/>
      <x:c r="V169" s="94"/>
    </x:row>
    <x:row r="170">
      <x:c r="A170" s="129"/>
      <x:c r="B170" s="94"/>
      <x:c r="C170" s="94"/>
      <x:c r="D170" s="94"/>
      <x:c r="E170" s="130"/>
      <x:c r="F170" s="130"/>
      <x:c r="G170" s="130"/>
      <x:c r="H170" s="130"/>
      <x:c r="I170" s="94"/>
      <x:c r="J170" s="131"/>
      <x:c r="K170" s="94"/>
      <x:c r="L170" s="94"/>
      <x:c r="M170" s="94"/>
      <x:c r="N170" s="94"/>
      <x:c r="O170" s="94"/>
      <x:c r="P170" s="94"/>
      <x:c r="Q170" s="94"/>
      <x:c r="R170" s="94"/>
      <x:c r="S170" s="94"/>
      <x:c r="T170" s="94"/>
      <x:c r="U170" s="94"/>
      <x:c r="V170" s="94"/>
    </x:row>
    <x:row r="171">
      <x:c r="A171" s="129"/>
      <x:c r="B171" s="94"/>
      <x:c r="C171" s="94"/>
      <x:c r="D171" s="94"/>
      <x:c r="E171" s="130"/>
      <x:c r="F171" s="130"/>
      <x:c r="G171" s="130"/>
      <x:c r="H171" s="130"/>
      <x:c r="I171" s="94"/>
      <x:c r="J171" s="131"/>
      <x:c r="K171" s="94"/>
      <x:c r="L171" s="94"/>
      <x:c r="M171" s="94"/>
      <x:c r="N171" s="94"/>
      <x:c r="O171" s="94"/>
      <x:c r="P171" s="94"/>
      <x:c r="Q171" s="94"/>
      <x:c r="R171" s="94"/>
      <x:c r="S171" s="94"/>
      <x:c r="T171" s="94"/>
      <x:c r="U171" s="94"/>
      <x:c r="V171" s="94"/>
    </x:row>
    <x:row r="172">
      <x:c r="A172" s="129"/>
      <x:c r="B172" s="94"/>
      <x:c r="C172" s="94"/>
      <x:c r="D172" s="94"/>
      <x:c r="E172" s="130"/>
      <x:c r="F172" s="130"/>
      <x:c r="G172" s="130"/>
      <x:c r="H172" s="130"/>
      <x:c r="I172" s="94"/>
      <x:c r="J172" s="131"/>
      <x:c r="K172" s="94"/>
      <x:c r="L172" s="94"/>
      <x:c r="M172" s="94"/>
      <x:c r="N172" s="94"/>
      <x:c r="O172" s="94"/>
      <x:c r="P172" s="94"/>
      <x:c r="Q172" s="94"/>
      <x:c r="R172" s="94"/>
      <x:c r="S172" s="94"/>
      <x:c r="T172" s="94"/>
      <x:c r="U172" s="94"/>
      <x:c r="V172" s="94"/>
    </x:row>
    <x:row r="173">
      <x:c r="A173" s="129"/>
      <x:c r="B173" s="94"/>
      <x:c r="C173" s="94"/>
      <x:c r="D173" s="94"/>
      <x:c r="E173" s="130"/>
      <x:c r="F173" s="130"/>
      <x:c r="G173" s="130"/>
      <x:c r="H173" s="130"/>
      <x:c r="I173" s="94"/>
      <x:c r="J173" s="131"/>
      <x:c r="K173" s="94"/>
      <x:c r="L173" s="94"/>
      <x:c r="M173" s="94"/>
      <x:c r="N173" s="94"/>
      <x:c r="O173" s="94"/>
      <x:c r="P173" s="94"/>
      <x:c r="Q173" s="94"/>
      <x:c r="R173" s="94"/>
      <x:c r="S173" s="94"/>
      <x:c r="T173" s="94"/>
      <x:c r="U173" s="94"/>
      <x:c r="V173" s="94"/>
    </x:row>
    <x:row r="174">
      <x:c r="A174" s="129"/>
      <x:c r="B174" s="94"/>
      <x:c r="C174" s="94"/>
      <x:c r="D174" s="94"/>
      <x:c r="E174" s="130"/>
      <x:c r="F174" s="130"/>
      <x:c r="G174" s="130"/>
      <x:c r="H174" s="130"/>
      <x:c r="I174" s="94"/>
      <x:c r="J174" s="131"/>
      <x:c r="K174" s="94"/>
      <x:c r="L174" s="94"/>
      <x:c r="M174" s="94"/>
      <x:c r="N174" s="94"/>
      <x:c r="O174" s="94"/>
      <x:c r="P174" s="94"/>
      <x:c r="Q174" s="94"/>
      <x:c r="R174" s="94"/>
      <x:c r="S174" s="94"/>
      <x:c r="T174" s="94"/>
      <x:c r="U174" s="94"/>
      <x:c r="V174" s="94"/>
    </x:row>
    <x:row r="175">
      <x:c r="A175" s="129"/>
      <x:c r="B175" s="94"/>
      <x:c r="C175" s="94"/>
      <x:c r="D175" s="94"/>
      <x:c r="E175" s="130"/>
      <x:c r="F175" s="130"/>
      <x:c r="G175" s="130"/>
      <x:c r="H175" s="130"/>
      <x:c r="I175" s="94"/>
      <x:c r="J175" s="131"/>
      <x:c r="K175" s="94"/>
      <x:c r="L175" s="94"/>
      <x:c r="M175" s="94"/>
      <x:c r="N175" s="94"/>
      <x:c r="O175" s="94"/>
      <x:c r="P175" s="94"/>
      <x:c r="Q175" s="94"/>
      <x:c r="R175" s="94"/>
      <x:c r="S175" s="94"/>
      <x:c r="T175" s="94"/>
      <x:c r="U175" s="94"/>
      <x:c r="V175" s="94"/>
    </x:row>
    <x:row r="176">
      <x:c r="A176" s="129"/>
      <x:c r="B176" s="94"/>
      <x:c r="C176" s="94"/>
      <x:c r="D176" s="94"/>
      <x:c r="E176" s="130"/>
      <x:c r="F176" s="130"/>
      <x:c r="G176" s="130"/>
      <x:c r="H176" s="130"/>
      <x:c r="I176" s="94"/>
      <x:c r="J176" s="131"/>
      <x:c r="K176" s="94"/>
      <x:c r="L176" s="94"/>
      <x:c r="M176" s="94"/>
      <x:c r="N176" s="94"/>
      <x:c r="O176" s="94"/>
      <x:c r="P176" s="94"/>
      <x:c r="Q176" s="94"/>
      <x:c r="R176" s="94"/>
      <x:c r="S176" s="94"/>
      <x:c r="T176" s="94"/>
      <x:c r="U176" s="94"/>
      <x:c r="V176" s="94"/>
    </x:row>
    <x:row r="177">
      <x:c r="A177" s="129"/>
      <x:c r="B177" s="94"/>
      <x:c r="C177" s="94"/>
      <x:c r="D177" s="94"/>
      <x:c r="E177" s="130"/>
      <x:c r="F177" s="130"/>
      <x:c r="G177" s="130"/>
      <x:c r="H177" s="130"/>
      <x:c r="I177" s="94"/>
      <x:c r="J177" s="131"/>
      <x:c r="K177" s="94"/>
      <x:c r="L177" s="94"/>
      <x:c r="M177" s="94"/>
      <x:c r="N177" s="94"/>
      <x:c r="O177" s="94"/>
      <x:c r="P177" s="94"/>
      <x:c r="Q177" s="94"/>
      <x:c r="R177" s="94"/>
      <x:c r="S177" s="94"/>
      <x:c r="T177" s="94"/>
      <x:c r="U177" s="94"/>
      <x:c r="V177" s="94"/>
    </x:row>
    <x:row r="178">
      <x:c r="A178" s="129"/>
      <x:c r="B178" s="94"/>
      <x:c r="C178" s="94"/>
      <x:c r="D178" s="94"/>
      <x:c r="E178" s="130"/>
      <x:c r="F178" s="130"/>
      <x:c r="G178" s="130"/>
      <x:c r="H178" s="130"/>
      <x:c r="I178" s="94"/>
      <x:c r="J178" s="131"/>
      <x:c r="K178" s="94"/>
      <x:c r="L178" s="94"/>
      <x:c r="M178" s="94"/>
      <x:c r="N178" s="94"/>
      <x:c r="O178" s="94"/>
      <x:c r="P178" s="94"/>
      <x:c r="Q178" s="94"/>
      <x:c r="R178" s="94"/>
      <x:c r="S178" s="94"/>
      <x:c r="T178" s="94"/>
      <x:c r="U178" s="94"/>
      <x:c r="V178" s="94"/>
    </x:row>
    <x:row r="179">
      <x:c r="A179" s="129"/>
      <x:c r="B179" s="94"/>
      <x:c r="C179" s="94"/>
      <x:c r="D179" s="94"/>
      <x:c r="E179" s="130"/>
      <x:c r="F179" s="130"/>
      <x:c r="G179" s="130"/>
      <x:c r="H179" s="130"/>
      <x:c r="I179" s="94"/>
      <x:c r="J179" s="131"/>
      <x:c r="K179" s="94"/>
      <x:c r="L179" s="94"/>
      <x:c r="M179" s="94"/>
      <x:c r="N179" s="94"/>
      <x:c r="O179" s="94"/>
      <x:c r="P179" s="94"/>
      <x:c r="Q179" s="94"/>
      <x:c r="R179" s="94"/>
      <x:c r="S179" s="94"/>
      <x:c r="T179" s="94"/>
      <x:c r="U179" s="94"/>
      <x:c r="V179" s="94"/>
    </x:row>
    <x:row r="180">
      <x:c r="A180" s="129"/>
      <x:c r="B180" s="94"/>
      <x:c r="C180" s="94"/>
      <x:c r="D180" s="94"/>
      <x:c r="E180" s="130"/>
      <x:c r="F180" s="130"/>
      <x:c r="G180" s="130"/>
      <x:c r="H180" s="130"/>
      <x:c r="I180" s="94"/>
      <x:c r="J180" s="131"/>
      <x:c r="K180" s="94"/>
      <x:c r="L180" s="94"/>
      <x:c r="M180" s="94"/>
      <x:c r="N180" s="94"/>
      <x:c r="O180" s="94"/>
      <x:c r="P180" s="94"/>
      <x:c r="Q180" s="94"/>
      <x:c r="R180" s="94"/>
      <x:c r="S180" s="94"/>
      <x:c r="T180" s="94"/>
      <x:c r="U180" s="94"/>
      <x:c r="V180" s="94"/>
    </x:row>
    <x:row r="181">
      <x:c r="A181" s="129"/>
      <x:c r="B181" s="94"/>
      <x:c r="C181" s="94"/>
      <x:c r="D181" s="94"/>
      <x:c r="E181" s="130"/>
      <x:c r="F181" s="130"/>
      <x:c r="G181" s="130"/>
      <x:c r="H181" s="130"/>
      <x:c r="I181" s="94"/>
      <x:c r="J181" s="131"/>
      <x:c r="K181" s="94"/>
      <x:c r="L181" s="94"/>
      <x:c r="M181" s="94"/>
      <x:c r="N181" s="94"/>
      <x:c r="O181" s="94"/>
      <x:c r="P181" s="94"/>
      <x:c r="Q181" s="94"/>
      <x:c r="R181" s="94"/>
      <x:c r="S181" s="94"/>
      <x:c r="T181" s="94"/>
      <x:c r="U181" s="94"/>
      <x:c r="V181" s="94"/>
    </x:row>
    <x:row r="182">
      <x:c r="A182" s="129"/>
      <x:c r="B182" s="94"/>
      <x:c r="C182" s="94"/>
      <x:c r="D182" s="94"/>
      <x:c r="E182" s="130"/>
      <x:c r="F182" s="130"/>
      <x:c r="G182" s="130"/>
      <x:c r="H182" s="130"/>
      <x:c r="I182" s="94"/>
      <x:c r="J182" s="131"/>
      <x:c r="K182" s="94"/>
      <x:c r="L182" s="94"/>
      <x:c r="M182" s="94"/>
      <x:c r="N182" s="94"/>
      <x:c r="O182" s="94"/>
      <x:c r="P182" s="94"/>
      <x:c r="Q182" s="94"/>
      <x:c r="R182" s="94"/>
      <x:c r="S182" s="94"/>
      <x:c r="T182" s="94"/>
      <x:c r="U182" s="94"/>
      <x:c r="V182" s="94"/>
    </x:row>
    <x:row r="183">
      <x:c r="A183" s="129"/>
      <x:c r="B183" s="94"/>
      <x:c r="C183" s="94"/>
      <x:c r="D183" s="94"/>
      <x:c r="E183" s="130"/>
      <x:c r="F183" s="130"/>
      <x:c r="G183" s="130"/>
      <x:c r="H183" s="130"/>
      <x:c r="I183" s="94"/>
      <x:c r="J183" s="131"/>
      <x:c r="K183" s="94"/>
      <x:c r="L183" s="94"/>
      <x:c r="M183" s="94"/>
      <x:c r="N183" s="94"/>
      <x:c r="O183" s="94"/>
      <x:c r="P183" s="94"/>
      <x:c r="Q183" s="94"/>
      <x:c r="R183" s="94"/>
      <x:c r="S183" s="94"/>
      <x:c r="T183" s="94"/>
      <x:c r="U183" s="94"/>
      <x:c r="V183" s="94"/>
    </x:row>
    <x:row r="184">
      <x:c r="A184" s="129"/>
      <x:c r="B184" s="94"/>
      <x:c r="C184" s="94"/>
      <x:c r="D184" s="94"/>
      <x:c r="E184" s="130"/>
      <x:c r="F184" s="130"/>
      <x:c r="G184" s="130"/>
      <x:c r="H184" s="130"/>
      <x:c r="I184" s="94"/>
      <x:c r="J184" s="131"/>
      <x:c r="K184" s="94"/>
      <x:c r="L184" s="94"/>
      <x:c r="M184" s="94"/>
      <x:c r="N184" s="94"/>
      <x:c r="O184" s="94"/>
      <x:c r="P184" s="94"/>
      <x:c r="Q184" s="94"/>
      <x:c r="R184" s="94"/>
      <x:c r="S184" s="94"/>
      <x:c r="T184" s="94"/>
      <x:c r="U184" s="94"/>
      <x:c r="V184" s="94"/>
    </x:row>
    <x:row r="185">
      <x:c r="A185" s="129"/>
      <x:c r="B185" s="94"/>
      <x:c r="C185" s="94"/>
      <x:c r="D185" s="94"/>
      <x:c r="E185" s="130"/>
      <x:c r="F185" s="130"/>
      <x:c r="G185" s="130"/>
      <x:c r="H185" s="130"/>
      <x:c r="I185" s="94"/>
      <x:c r="J185" s="131"/>
      <x:c r="K185" s="94"/>
      <x:c r="L185" s="94"/>
      <x:c r="M185" s="94"/>
      <x:c r="N185" s="94"/>
      <x:c r="O185" s="94"/>
      <x:c r="P185" s="94"/>
      <x:c r="Q185" s="94"/>
      <x:c r="R185" s="94"/>
      <x:c r="S185" s="94"/>
      <x:c r="T185" s="94"/>
      <x:c r="U185" s="94"/>
      <x:c r="V185" s="94"/>
    </x:row>
    <x:row r="186">
      <x:c r="A186" s="129"/>
      <x:c r="B186" s="94"/>
      <x:c r="C186" s="94"/>
      <x:c r="D186" s="94"/>
      <x:c r="E186" s="130"/>
      <x:c r="F186" s="130"/>
      <x:c r="G186" s="130"/>
      <x:c r="H186" s="130"/>
      <x:c r="I186" s="94"/>
      <x:c r="J186" s="131"/>
      <x:c r="K186" s="94"/>
      <x:c r="L186" s="94"/>
      <x:c r="M186" s="94"/>
      <x:c r="N186" s="94"/>
      <x:c r="O186" s="94"/>
      <x:c r="P186" s="94"/>
      <x:c r="Q186" s="94"/>
      <x:c r="R186" s="94"/>
      <x:c r="S186" s="94"/>
      <x:c r="T186" s="94"/>
      <x:c r="U186" s="94"/>
      <x:c r="V186" s="94"/>
    </x:row>
    <x:row r="187">
      <x:c r="A187" s="129"/>
      <x:c r="B187" s="94"/>
      <x:c r="C187" s="94"/>
      <x:c r="D187" s="94"/>
      <x:c r="E187" s="130"/>
      <x:c r="F187" s="130"/>
      <x:c r="G187" s="130"/>
      <x:c r="H187" s="130"/>
      <x:c r="I187" s="94"/>
      <x:c r="J187" s="131"/>
      <x:c r="K187" s="94"/>
      <x:c r="L187" s="94"/>
      <x:c r="M187" s="94"/>
      <x:c r="N187" s="94"/>
      <x:c r="O187" s="94"/>
      <x:c r="P187" s="94"/>
      <x:c r="Q187" s="94"/>
      <x:c r="R187" s="94"/>
      <x:c r="S187" s="94"/>
      <x:c r="T187" s="94"/>
      <x:c r="U187" s="94"/>
      <x:c r="V187" s="94"/>
    </x:row>
    <x:row r="188">
      <x:c r="A188" s="129"/>
      <x:c r="B188" s="94"/>
      <x:c r="C188" s="94"/>
      <x:c r="D188" s="94"/>
      <x:c r="E188" s="130"/>
      <x:c r="F188" s="130"/>
      <x:c r="G188" s="130"/>
      <x:c r="H188" s="130"/>
      <x:c r="I188" s="94"/>
      <x:c r="J188" s="131"/>
      <x:c r="K188" s="94"/>
      <x:c r="L188" s="94"/>
      <x:c r="M188" s="94"/>
      <x:c r="N188" s="94"/>
      <x:c r="O188" s="94"/>
      <x:c r="P188" s="94"/>
      <x:c r="Q188" s="94"/>
      <x:c r="R188" s="94"/>
      <x:c r="S188" s="94"/>
      <x:c r="T188" s="94"/>
      <x:c r="U188" s="94"/>
      <x:c r="V188" s="94"/>
    </x:row>
    <x:row r="189">
      <x:c r="A189" s="129"/>
      <x:c r="B189" s="94"/>
      <x:c r="C189" s="94"/>
      <x:c r="D189" s="94"/>
      <x:c r="E189" s="130"/>
      <x:c r="F189" s="130"/>
      <x:c r="G189" s="130"/>
      <x:c r="H189" s="130"/>
      <x:c r="I189" s="94"/>
      <x:c r="J189" s="131"/>
      <x:c r="K189" s="94"/>
      <x:c r="L189" s="94"/>
      <x:c r="M189" s="94"/>
      <x:c r="N189" s="94"/>
      <x:c r="O189" s="94"/>
      <x:c r="P189" s="94"/>
      <x:c r="Q189" s="94"/>
      <x:c r="R189" s="94"/>
      <x:c r="S189" s="94"/>
      <x:c r="T189" s="94"/>
      <x:c r="U189" s="94"/>
      <x:c r="V189" s="94"/>
    </x:row>
    <x:row r="190">
      <x:c r="A190" s="129"/>
      <x:c r="B190" s="94"/>
      <x:c r="C190" s="94"/>
      <x:c r="D190" s="94"/>
      <x:c r="E190" s="130"/>
      <x:c r="F190" s="130"/>
      <x:c r="G190" s="130"/>
      <x:c r="H190" s="130"/>
      <x:c r="I190" s="94"/>
      <x:c r="J190" s="131"/>
      <x:c r="K190" s="94"/>
      <x:c r="L190" s="94"/>
      <x:c r="M190" s="94"/>
      <x:c r="N190" s="94"/>
      <x:c r="O190" s="94"/>
      <x:c r="P190" s="94"/>
      <x:c r="Q190" s="94"/>
      <x:c r="R190" s="94"/>
      <x:c r="S190" s="94"/>
      <x:c r="T190" s="94"/>
      <x:c r="U190" s="94"/>
      <x:c r="V190" s="94"/>
    </x:row>
    <x:row r="191">
      <x:c r="A191" s="129"/>
      <x:c r="B191" s="94"/>
      <x:c r="C191" s="94"/>
      <x:c r="D191" s="94"/>
      <x:c r="E191" s="130"/>
      <x:c r="F191" s="130"/>
      <x:c r="G191" s="130"/>
      <x:c r="H191" s="130"/>
      <x:c r="I191" s="94"/>
      <x:c r="J191" s="131"/>
      <x:c r="K191" s="94"/>
      <x:c r="L191" s="94"/>
      <x:c r="M191" s="94"/>
      <x:c r="N191" s="94"/>
      <x:c r="O191" s="94"/>
      <x:c r="P191" s="94"/>
      <x:c r="Q191" s="94"/>
      <x:c r="R191" s="94"/>
      <x:c r="S191" s="94"/>
      <x:c r="T191" s="94"/>
      <x:c r="U191" s="94"/>
      <x:c r="V191" s="94"/>
    </x:row>
    <x:row r="192">
      <x:c r="A192" s="129"/>
      <x:c r="B192" s="94"/>
      <x:c r="C192" s="94"/>
      <x:c r="D192" s="94"/>
      <x:c r="E192" s="130"/>
      <x:c r="F192" s="130"/>
      <x:c r="G192" s="130"/>
      <x:c r="H192" s="130"/>
      <x:c r="I192" s="94"/>
      <x:c r="J192" s="131"/>
      <x:c r="K192" s="94"/>
      <x:c r="L192" s="94"/>
      <x:c r="M192" s="94"/>
      <x:c r="N192" s="94"/>
      <x:c r="O192" s="94"/>
      <x:c r="P192" s="94"/>
      <x:c r="Q192" s="94"/>
      <x:c r="R192" s="94"/>
      <x:c r="S192" s="94"/>
      <x:c r="T192" s="94"/>
      <x:c r="U192" s="94"/>
      <x:c r="V192" s="94"/>
    </x:row>
    <x:row r="193">
      <x:c r="A193" s="129"/>
      <x:c r="B193" s="94"/>
      <x:c r="C193" s="94"/>
      <x:c r="D193" s="94"/>
      <x:c r="E193" s="130"/>
      <x:c r="F193" s="130"/>
      <x:c r="G193" s="130"/>
      <x:c r="H193" s="130"/>
      <x:c r="I193" s="94"/>
      <x:c r="J193" s="131"/>
      <x:c r="K193" s="94"/>
      <x:c r="L193" s="94"/>
      <x:c r="M193" s="94"/>
      <x:c r="N193" s="94"/>
      <x:c r="O193" s="94"/>
      <x:c r="P193" s="94"/>
      <x:c r="Q193" s="94"/>
      <x:c r="R193" s="94"/>
      <x:c r="S193" s="94"/>
      <x:c r="T193" s="94"/>
      <x:c r="U193" s="94"/>
      <x:c r="V193" s="94"/>
    </x:row>
    <x:row r="194">
      <x:c r="A194" s="129"/>
      <x:c r="B194" s="94"/>
      <x:c r="C194" s="94"/>
      <x:c r="D194" s="94"/>
      <x:c r="E194" s="130"/>
      <x:c r="F194" s="130"/>
      <x:c r="G194" s="130"/>
      <x:c r="H194" s="130"/>
      <x:c r="I194" s="94"/>
      <x:c r="J194" s="131"/>
      <x:c r="K194" s="94"/>
      <x:c r="L194" s="94"/>
      <x:c r="M194" s="94"/>
      <x:c r="N194" s="94"/>
      <x:c r="O194" s="94"/>
      <x:c r="P194" s="94"/>
      <x:c r="Q194" s="94"/>
      <x:c r="R194" s="94"/>
      <x:c r="S194" s="94"/>
      <x:c r="T194" s="94"/>
      <x:c r="U194" s="94"/>
      <x:c r="V194" s="94"/>
    </x:row>
    <x:row r="195">
      <x:c r="A195" s="129"/>
      <x:c r="B195" s="94"/>
      <x:c r="C195" s="94"/>
      <x:c r="D195" s="94"/>
      <x:c r="E195" s="130"/>
      <x:c r="F195" s="130"/>
      <x:c r="G195" s="130"/>
      <x:c r="H195" s="130"/>
      <x:c r="I195" s="94"/>
      <x:c r="J195" s="131"/>
      <x:c r="K195" s="94"/>
      <x:c r="L195" s="94"/>
      <x:c r="M195" s="94"/>
      <x:c r="N195" s="94"/>
      <x:c r="O195" s="94"/>
      <x:c r="P195" s="94"/>
      <x:c r="Q195" s="94"/>
      <x:c r="R195" s="94"/>
      <x:c r="S195" s="94"/>
      <x:c r="T195" s="94"/>
      <x:c r="U195" s="94"/>
      <x:c r="V195" s="94"/>
    </x:row>
    <x:row r="196">
      <x:c r="A196" s="129"/>
      <x:c r="B196" s="94"/>
      <x:c r="C196" s="94"/>
      <x:c r="D196" s="94"/>
      <x:c r="E196" s="130"/>
      <x:c r="F196" s="130"/>
      <x:c r="G196" s="130"/>
      <x:c r="H196" s="130"/>
      <x:c r="I196" s="94"/>
      <x:c r="J196" s="131"/>
      <x:c r="K196" s="94"/>
      <x:c r="L196" s="94"/>
      <x:c r="M196" s="94"/>
      <x:c r="N196" s="94"/>
      <x:c r="O196" s="94"/>
      <x:c r="P196" s="94"/>
      <x:c r="Q196" s="94"/>
      <x:c r="R196" s="94"/>
      <x:c r="S196" s="94"/>
      <x:c r="T196" s="94"/>
      <x:c r="U196" s="94"/>
      <x:c r="V196" s="94"/>
    </x:row>
    <x:row r="197">
      <x:c r="A197" s="129"/>
      <x:c r="B197" s="94"/>
      <x:c r="C197" s="94"/>
      <x:c r="D197" s="94"/>
      <x:c r="E197" s="130"/>
      <x:c r="F197" s="130"/>
      <x:c r="G197" s="130"/>
      <x:c r="H197" s="130"/>
      <x:c r="I197" s="94"/>
      <x:c r="J197" s="131"/>
      <x:c r="K197" s="94"/>
      <x:c r="L197" s="94"/>
      <x:c r="M197" s="94"/>
      <x:c r="N197" s="94"/>
      <x:c r="O197" s="94"/>
      <x:c r="P197" s="94"/>
      <x:c r="Q197" s="94"/>
      <x:c r="R197" s="94"/>
      <x:c r="S197" s="94"/>
      <x:c r="T197" s="94"/>
      <x:c r="U197" s="94"/>
      <x:c r="V197" s="94"/>
    </x:row>
    <x:row r="198">
      <x:c r="A198" s="129"/>
      <x:c r="B198" s="94"/>
      <x:c r="C198" s="94"/>
      <x:c r="D198" s="94"/>
      <x:c r="E198" s="130"/>
      <x:c r="F198" s="130"/>
      <x:c r="G198" s="130"/>
      <x:c r="H198" s="130"/>
      <x:c r="I198" s="94"/>
      <x:c r="J198" s="131"/>
      <x:c r="K198" s="94"/>
      <x:c r="L198" s="94"/>
      <x:c r="M198" s="94"/>
      <x:c r="N198" s="94"/>
      <x:c r="O198" s="94"/>
      <x:c r="P198" s="94"/>
      <x:c r="Q198" s="94"/>
      <x:c r="R198" s="94"/>
      <x:c r="S198" s="94"/>
      <x:c r="T198" s="94"/>
      <x:c r="U198" s="94"/>
      <x:c r="V198" s="94"/>
    </x:row>
    <x:row r="199">
      <x:c r="A199" s="129"/>
      <x:c r="B199" s="94"/>
      <x:c r="C199" s="94"/>
      <x:c r="D199" s="94"/>
      <x:c r="E199" s="130"/>
      <x:c r="F199" s="130"/>
      <x:c r="G199" s="130"/>
      <x:c r="H199" s="130"/>
      <x:c r="I199" s="94"/>
      <x:c r="J199" s="131"/>
      <x:c r="K199" s="94"/>
      <x:c r="L199" s="94"/>
      <x:c r="M199" s="94"/>
      <x:c r="N199" s="94"/>
      <x:c r="O199" s="94"/>
      <x:c r="P199" s="94"/>
      <x:c r="Q199" s="94"/>
      <x:c r="R199" s="94"/>
      <x:c r="S199" s="94"/>
      <x:c r="T199" s="94"/>
      <x:c r="U199" s="94"/>
      <x:c r="V199" s="94"/>
    </x:row>
    <x:row r="200">
      <x:c r="A200" s="129"/>
      <x:c r="B200" s="94"/>
      <x:c r="C200" s="94"/>
      <x:c r="D200" s="94"/>
      <x:c r="E200" s="130"/>
      <x:c r="F200" s="130"/>
      <x:c r="G200" s="130"/>
      <x:c r="H200" s="130"/>
      <x:c r="I200" s="94"/>
      <x:c r="J200" s="131"/>
      <x:c r="K200" s="94"/>
      <x:c r="L200" s="94"/>
      <x:c r="M200" s="94"/>
      <x:c r="N200" s="94"/>
      <x:c r="O200" s="94"/>
      <x:c r="P200" s="94"/>
      <x:c r="Q200" s="94"/>
      <x:c r="R200" s="94"/>
      <x:c r="S200" s="94"/>
      <x:c r="T200" s="94"/>
      <x:c r="U200" s="94"/>
      <x:c r="V200" s="94"/>
    </x:row>
    <x:row r="201">
      <x:c r="A201" s="129"/>
      <x:c r="B201" s="94"/>
      <x:c r="C201" s="94"/>
      <x:c r="D201" s="94"/>
      <x:c r="E201" s="130"/>
      <x:c r="F201" s="130"/>
      <x:c r="G201" s="130"/>
      <x:c r="H201" s="130"/>
      <x:c r="I201" s="94"/>
      <x:c r="J201" s="131"/>
      <x:c r="K201" s="94"/>
      <x:c r="L201" s="94"/>
      <x:c r="M201" s="94"/>
      <x:c r="N201" s="94"/>
      <x:c r="O201" s="94"/>
      <x:c r="P201" s="94"/>
      <x:c r="Q201" s="94"/>
      <x:c r="R201" s="94"/>
      <x:c r="S201" s="94"/>
      <x:c r="T201" s="94"/>
      <x:c r="U201" s="94"/>
      <x:c r="V201" s="94"/>
    </x:row>
    <x:row r="202">
      <x:c r="A202" s="129"/>
      <x:c r="B202" s="94"/>
      <x:c r="C202" s="94"/>
      <x:c r="D202" s="94"/>
      <x:c r="E202" s="130"/>
      <x:c r="F202" s="130"/>
      <x:c r="G202" s="130"/>
      <x:c r="H202" s="130"/>
      <x:c r="I202" s="94"/>
      <x:c r="J202" s="131"/>
      <x:c r="K202" s="94"/>
      <x:c r="L202" s="94"/>
      <x:c r="M202" s="94"/>
      <x:c r="N202" s="94"/>
      <x:c r="O202" s="94"/>
      <x:c r="P202" s="94"/>
      <x:c r="Q202" s="94"/>
      <x:c r="R202" s="94"/>
      <x:c r="S202" s="94"/>
      <x:c r="T202" s="94"/>
      <x:c r="U202" s="94"/>
      <x:c r="V202" s="94"/>
    </x:row>
    <x:row r="203">
      <x:c r="A203" s="129"/>
      <x:c r="B203" s="94"/>
      <x:c r="C203" s="94"/>
      <x:c r="D203" s="94"/>
      <x:c r="E203" s="130"/>
      <x:c r="F203" s="130"/>
      <x:c r="G203" s="130"/>
      <x:c r="H203" s="130"/>
      <x:c r="I203" s="94"/>
      <x:c r="J203" s="131"/>
      <x:c r="K203" s="94"/>
      <x:c r="L203" s="94"/>
      <x:c r="M203" s="94"/>
      <x:c r="N203" s="94"/>
      <x:c r="O203" s="94"/>
      <x:c r="P203" s="94"/>
      <x:c r="Q203" s="94"/>
      <x:c r="R203" s="94"/>
      <x:c r="S203" s="94"/>
      <x:c r="T203" s="94"/>
      <x:c r="U203" s="94"/>
      <x:c r="V203" s="94"/>
    </x:row>
    <x:row r="204">
      <x:c r="A204" s="129"/>
      <x:c r="B204" s="94"/>
      <x:c r="C204" s="94"/>
      <x:c r="D204" s="94"/>
      <x:c r="E204" s="130"/>
      <x:c r="F204" s="130"/>
      <x:c r="G204" s="130"/>
      <x:c r="H204" s="130"/>
      <x:c r="I204" s="94"/>
      <x:c r="J204" s="131"/>
      <x:c r="K204" s="94"/>
      <x:c r="L204" s="94"/>
      <x:c r="M204" s="94"/>
      <x:c r="N204" s="94"/>
      <x:c r="O204" s="94"/>
      <x:c r="P204" s="94"/>
      <x:c r="Q204" s="94"/>
      <x:c r="R204" s="94"/>
      <x:c r="S204" s="94"/>
      <x:c r="T204" s="94"/>
      <x:c r="U204" s="94"/>
      <x:c r="V204" s="94"/>
    </x:row>
    <x:row r="205">
      <x:c r="A205" s="129"/>
      <x:c r="B205" s="94"/>
      <x:c r="C205" s="94"/>
      <x:c r="D205" s="94"/>
      <x:c r="E205" s="130"/>
      <x:c r="F205" s="130"/>
      <x:c r="G205" s="130"/>
      <x:c r="H205" s="130"/>
      <x:c r="I205" s="94"/>
      <x:c r="J205" s="131"/>
      <x:c r="K205" s="94"/>
      <x:c r="L205" s="94"/>
      <x:c r="M205" s="94"/>
      <x:c r="N205" s="94"/>
      <x:c r="O205" s="94"/>
      <x:c r="P205" s="94"/>
      <x:c r="Q205" s="94"/>
      <x:c r="R205" s="94"/>
      <x:c r="S205" s="94"/>
      <x:c r="T205" s="94"/>
      <x:c r="U205" s="94"/>
      <x:c r="V205" s="94"/>
    </x:row>
    <x:row r="206">
      <x:c r="A206" s="129"/>
      <x:c r="B206" s="94"/>
      <x:c r="C206" s="94"/>
      <x:c r="D206" s="94"/>
      <x:c r="E206" s="130"/>
      <x:c r="F206" s="130"/>
      <x:c r="G206" s="130"/>
      <x:c r="H206" s="130"/>
      <x:c r="I206" s="94"/>
      <x:c r="J206" s="131"/>
      <x:c r="K206" s="94"/>
      <x:c r="L206" s="94"/>
      <x:c r="M206" s="94"/>
      <x:c r="N206" s="94"/>
      <x:c r="O206" s="94"/>
      <x:c r="P206" s="94"/>
      <x:c r="Q206" s="94"/>
      <x:c r="R206" s="94"/>
      <x:c r="S206" s="94"/>
      <x:c r="T206" s="94"/>
      <x:c r="U206" s="94"/>
      <x:c r="V206" s="94"/>
    </x:row>
    <x:row r="207">
      <x:c r="A207" s="129"/>
      <x:c r="B207" s="94"/>
      <x:c r="C207" s="94"/>
      <x:c r="D207" s="94"/>
      <x:c r="E207" s="130"/>
      <x:c r="F207" s="130"/>
      <x:c r="G207" s="130"/>
      <x:c r="H207" s="130"/>
      <x:c r="I207" s="94"/>
      <x:c r="J207" s="131"/>
      <x:c r="K207" s="94"/>
      <x:c r="L207" s="94"/>
      <x:c r="M207" s="94"/>
      <x:c r="N207" s="94"/>
      <x:c r="O207" s="94"/>
      <x:c r="P207" s="94"/>
      <x:c r="Q207" s="94"/>
      <x:c r="R207" s="94"/>
      <x:c r="S207" s="94"/>
      <x:c r="T207" s="94"/>
      <x:c r="U207" s="94"/>
      <x:c r="V207" s="94"/>
    </x:row>
    <x:row r="208">
      <x:c r="A208" s="129"/>
      <x:c r="B208" s="94"/>
      <x:c r="C208" s="94"/>
      <x:c r="D208" s="94"/>
      <x:c r="E208" s="130"/>
      <x:c r="F208" s="130"/>
      <x:c r="G208" s="130"/>
      <x:c r="H208" s="130"/>
      <x:c r="I208" s="94"/>
      <x:c r="J208" s="131"/>
      <x:c r="K208" s="94"/>
      <x:c r="L208" s="94"/>
      <x:c r="M208" s="94"/>
      <x:c r="N208" s="94"/>
      <x:c r="O208" s="94"/>
      <x:c r="P208" s="94"/>
      <x:c r="Q208" s="94"/>
      <x:c r="R208" s="94"/>
      <x:c r="S208" s="94"/>
      <x:c r="T208" s="94"/>
      <x:c r="U208" s="94"/>
      <x:c r="V208" s="94"/>
    </x:row>
    <x:row r="209">
      <x:c r="A209" s="129"/>
      <x:c r="B209" s="94"/>
      <x:c r="C209" s="94"/>
      <x:c r="D209" s="94"/>
      <x:c r="E209" s="130"/>
      <x:c r="F209" s="130"/>
      <x:c r="G209" s="130"/>
      <x:c r="H209" s="130"/>
      <x:c r="I209" s="94"/>
      <x:c r="J209" s="131"/>
      <x:c r="K209" s="94"/>
      <x:c r="L209" s="94"/>
      <x:c r="M209" s="94"/>
      <x:c r="N209" s="94"/>
      <x:c r="O209" s="94"/>
      <x:c r="P209" s="94"/>
      <x:c r="Q209" s="94"/>
      <x:c r="R209" s="94"/>
      <x:c r="S209" s="94"/>
      <x:c r="T209" s="94"/>
      <x:c r="U209" s="94"/>
      <x:c r="V209" s="94"/>
    </x:row>
    <x:row r="210">
      <x:c r="A210" s="129"/>
      <x:c r="B210" s="94"/>
      <x:c r="C210" s="94"/>
      <x:c r="D210" s="94"/>
      <x:c r="E210" s="130"/>
      <x:c r="F210" s="130"/>
      <x:c r="G210" s="130"/>
      <x:c r="H210" s="130"/>
      <x:c r="I210" s="94"/>
      <x:c r="J210" s="131"/>
      <x:c r="K210" s="94"/>
      <x:c r="L210" s="94"/>
      <x:c r="M210" s="94"/>
      <x:c r="N210" s="94"/>
      <x:c r="O210" s="94"/>
      <x:c r="P210" s="94"/>
      <x:c r="Q210" s="94"/>
      <x:c r="R210" s="94"/>
      <x:c r="S210" s="94"/>
      <x:c r="T210" s="94"/>
      <x:c r="U210" s="94"/>
      <x:c r="V210" s="94"/>
    </x:row>
    <x:row r="211">
      <x:c r="A211" s="129"/>
      <x:c r="B211" s="94"/>
      <x:c r="C211" s="94"/>
      <x:c r="D211" s="94"/>
      <x:c r="E211" s="130"/>
      <x:c r="F211" s="130"/>
      <x:c r="G211" s="130"/>
      <x:c r="H211" s="130"/>
      <x:c r="I211" s="94"/>
      <x:c r="J211" s="131"/>
      <x:c r="K211" s="94"/>
      <x:c r="L211" s="94"/>
      <x:c r="M211" s="94"/>
      <x:c r="N211" s="94"/>
      <x:c r="O211" s="94"/>
      <x:c r="P211" s="94"/>
      <x:c r="Q211" s="94"/>
      <x:c r="R211" s="94"/>
      <x:c r="S211" s="94"/>
      <x:c r="T211" s="94"/>
      <x:c r="U211" s="94"/>
      <x:c r="V211" s="94"/>
    </x:row>
    <x:row r="212">
      <x:c r="A212" s="129"/>
      <x:c r="B212" s="94"/>
      <x:c r="C212" s="94"/>
      <x:c r="D212" s="94"/>
      <x:c r="E212" s="130"/>
      <x:c r="F212" s="130"/>
      <x:c r="G212" s="130"/>
      <x:c r="H212" s="130"/>
      <x:c r="I212" s="94"/>
      <x:c r="J212" s="131"/>
      <x:c r="K212" s="94"/>
      <x:c r="L212" s="94"/>
      <x:c r="M212" s="94"/>
      <x:c r="N212" s="94"/>
      <x:c r="O212" s="94"/>
      <x:c r="P212" s="94"/>
      <x:c r="Q212" s="94"/>
      <x:c r="R212" s="94"/>
      <x:c r="S212" s="94"/>
      <x:c r="T212" s="94"/>
      <x:c r="U212" s="94"/>
      <x:c r="V212" s="94"/>
    </x:row>
    <x:row r="213">
      <x:c r="A213" s="129"/>
      <x:c r="B213" s="94"/>
      <x:c r="C213" s="94"/>
      <x:c r="D213" s="94"/>
      <x:c r="E213" s="130"/>
      <x:c r="F213" s="130"/>
      <x:c r="G213" s="130"/>
      <x:c r="H213" s="130"/>
      <x:c r="I213" s="94"/>
      <x:c r="J213" s="131"/>
      <x:c r="K213" s="94"/>
      <x:c r="L213" s="94"/>
      <x:c r="M213" s="94"/>
      <x:c r="N213" s="94"/>
      <x:c r="O213" s="94"/>
      <x:c r="P213" s="94"/>
      <x:c r="Q213" s="94"/>
      <x:c r="R213" s="94"/>
      <x:c r="S213" s="94"/>
      <x:c r="T213" s="94"/>
      <x:c r="U213" s="94"/>
      <x:c r="V213" s="94"/>
    </x:row>
    <x:row r="214">
      <x:c r="A214" s="129"/>
      <x:c r="B214" s="94"/>
      <x:c r="C214" s="94"/>
      <x:c r="D214" s="94"/>
      <x:c r="E214" s="130"/>
      <x:c r="F214" s="130"/>
      <x:c r="G214" s="130"/>
      <x:c r="H214" s="130"/>
      <x:c r="I214" s="94"/>
      <x:c r="J214" s="131"/>
      <x:c r="K214" s="94"/>
      <x:c r="L214" s="94"/>
      <x:c r="M214" s="94"/>
      <x:c r="N214" s="94"/>
      <x:c r="O214" s="94"/>
      <x:c r="P214" s="94"/>
      <x:c r="Q214" s="94"/>
      <x:c r="R214" s="94"/>
      <x:c r="S214" s="94"/>
      <x:c r="T214" s="94"/>
      <x:c r="U214" s="94"/>
      <x:c r="V214" s="94"/>
    </x:row>
    <x:row r="215">
      <x:c r="A215" s="129"/>
      <x:c r="B215" s="94"/>
      <x:c r="C215" s="94"/>
      <x:c r="D215" s="94"/>
      <x:c r="E215" s="130"/>
      <x:c r="F215" s="130"/>
      <x:c r="G215" s="130"/>
      <x:c r="H215" s="130"/>
      <x:c r="I215" s="94"/>
      <x:c r="J215" s="131"/>
      <x:c r="K215" s="94"/>
      <x:c r="L215" s="94"/>
      <x:c r="M215" s="94"/>
      <x:c r="N215" s="94"/>
      <x:c r="O215" s="94"/>
      <x:c r="P215" s="94"/>
      <x:c r="Q215" s="94"/>
      <x:c r="R215" s="94"/>
      <x:c r="S215" s="94"/>
      <x:c r="T215" s="94"/>
      <x:c r="U215" s="94"/>
      <x:c r="V215" s="94"/>
    </x:row>
    <x:row r="216">
      <x:c r="A216" s="129"/>
      <x:c r="B216" s="94"/>
      <x:c r="C216" s="94"/>
      <x:c r="D216" s="94"/>
      <x:c r="E216" s="130"/>
      <x:c r="F216" s="130"/>
      <x:c r="G216" s="130"/>
      <x:c r="H216" s="130"/>
      <x:c r="I216" s="94"/>
      <x:c r="J216" s="131"/>
      <x:c r="K216" s="94"/>
      <x:c r="L216" s="94"/>
      <x:c r="M216" s="94"/>
      <x:c r="N216" s="94"/>
      <x:c r="O216" s="94"/>
      <x:c r="P216" s="94"/>
      <x:c r="Q216" s="94"/>
      <x:c r="R216" s="94"/>
      <x:c r="S216" s="94"/>
      <x:c r="T216" s="94"/>
      <x:c r="U216" s="94"/>
      <x:c r="V216" s="94"/>
    </x:row>
    <x:row r="217">
      <x:c r="A217" s="129"/>
      <x:c r="B217" s="94"/>
      <x:c r="C217" s="94"/>
      <x:c r="D217" s="94"/>
      <x:c r="E217" s="130"/>
      <x:c r="F217" s="130"/>
      <x:c r="G217" s="130"/>
      <x:c r="H217" s="130"/>
      <x:c r="I217" s="94"/>
      <x:c r="J217" s="131"/>
      <x:c r="K217" s="94"/>
      <x:c r="L217" s="94"/>
      <x:c r="M217" s="94"/>
      <x:c r="N217" s="94"/>
      <x:c r="O217" s="94"/>
      <x:c r="P217" s="94"/>
      <x:c r="Q217" s="94"/>
      <x:c r="R217" s="94"/>
      <x:c r="S217" s="94"/>
      <x:c r="T217" s="94"/>
      <x:c r="U217" s="94"/>
      <x:c r="V217" s="94"/>
    </x:row>
    <x:row r="218">
      <x:c r="A218" s="129"/>
      <x:c r="B218" s="94"/>
      <x:c r="C218" s="94"/>
      <x:c r="D218" s="94"/>
      <x:c r="E218" s="130"/>
      <x:c r="F218" s="130"/>
      <x:c r="G218" s="130"/>
      <x:c r="H218" s="130"/>
      <x:c r="I218" s="94"/>
      <x:c r="J218" s="131"/>
      <x:c r="K218" s="94"/>
      <x:c r="L218" s="94"/>
      <x:c r="M218" s="94"/>
      <x:c r="N218" s="94"/>
      <x:c r="O218" s="94"/>
      <x:c r="P218" s="94"/>
      <x:c r="Q218" s="94"/>
      <x:c r="R218" s="94"/>
      <x:c r="S218" s="94"/>
      <x:c r="T218" s="94"/>
      <x:c r="U218" s="94"/>
      <x:c r="V218" s="94"/>
    </x:row>
    <x:row r="219">
      <x:c r="A219" s="129"/>
      <x:c r="B219" s="94"/>
      <x:c r="C219" s="94"/>
      <x:c r="D219" s="94"/>
      <x:c r="E219" s="130"/>
      <x:c r="F219" s="130"/>
      <x:c r="G219" s="130"/>
      <x:c r="H219" s="130"/>
      <x:c r="I219" s="94"/>
      <x:c r="J219" s="131"/>
      <x:c r="K219" s="94"/>
      <x:c r="L219" s="94"/>
      <x:c r="M219" s="94"/>
      <x:c r="N219" s="94"/>
      <x:c r="O219" s="94"/>
      <x:c r="P219" s="94"/>
      <x:c r="Q219" s="94"/>
      <x:c r="R219" s="94"/>
      <x:c r="S219" s="94"/>
      <x:c r="T219" s="94"/>
      <x:c r="U219" s="94"/>
      <x:c r="V219" s="94"/>
    </x:row>
    <x:row r="220">
      <x:c r="A220" s="129"/>
      <x:c r="B220" s="94"/>
      <x:c r="C220" s="94"/>
      <x:c r="D220" s="94"/>
      <x:c r="E220" s="130"/>
      <x:c r="F220" s="130"/>
      <x:c r="G220" s="130"/>
      <x:c r="H220" s="130"/>
      <x:c r="I220" s="94"/>
      <x:c r="J220" s="131"/>
      <x:c r="K220" s="94"/>
      <x:c r="L220" s="94"/>
      <x:c r="M220" s="94"/>
      <x:c r="N220" s="94"/>
      <x:c r="O220" s="94"/>
      <x:c r="P220" s="94"/>
      <x:c r="Q220" s="94"/>
      <x:c r="R220" s="94"/>
      <x:c r="S220" s="94"/>
      <x:c r="T220" s="94"/>
      <x:c r="U220" s="94"/>
      <x:c r="V220" s="94"/>
    </x:row>
    <x:row r="221">
      <x:c r="A221" s="129"/>
      <x:c r="B221" s="94"/>
      <x:c r="C221" s="94"/>
      <x:c r="D221" s="94"/>
      <x:c r="E221" s="130"/>
      <x:c r="F221" s="130"/>
      <x:c r="G221" s="130"/>
      <x:c r="H221" s="130"/>
      <x:c r="I221" s="94"/>
      <x:c r="J221" s="131"/>
      <x:c r="K221" s="94"/>
      <x:c r="L221" s="94"/>
      <x:c r="M221" s="94"/>
      <x:c r="N221" s="94"/>
      <x:c r="O221" s="94"/>
      <x:c r="P221" s="94"/>
      <x:c r="Q221" s="94"/>
      <x:c r="R221" s="94"/>
      <x:c r="S221" s="94"/>
      <x:c r="T221" s="94"/>
      <x:c r="U221" s="94"/>
      <x:c r="V221" s="94"/>
    </x:row>
  </x:sheetData>
  <x:mergeCells>
    <x:mergeCell ref="A27:A33"/>
    <x:mergeCell ref="B27:B33"/>
    <x:mergeCell ref="B20:B26"/>
    <x:mergeCell ref="A20:A26"/>
    <x:mergeCell ref="C4:D4"/>
    <x:mergeCell ref="A6:A8"/>
    <x:mergeCell ref="B6:B10"/>
    <x:mergeCell ref="A12:A16"/>
    <x:mergeCell ref="B12:B16"/>
  </x:mergeCells>
  <x:dataValidations count="1">
    <x:dataValidation type="list" errorStyle="stop" allowBlank="1" showErrorMessage="1" sqref="I3:I17 I19:I35 I37:I40">
      <x:formula1>"未开始,进行中,已延期,已完成"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42" hidden="0" customWidth="1"/>
    <x:col min="5" max="5" width="46" hidden="0" customWidth="1"/>
    <x:col min="6" max="6" width="24" hidden="0" customWidth="1"/>
    <x:col min="7" max="7" width="24" hidden="0" customWidth="1"/>
    <x:col min="8" max="8" width="18" hidden="0" customWidth="1"/>
  </x:cols>
  <x:sheetData>
    <x:row r="1" ht="30" customHeight="1">
      <x:c r="A1" s="133" t="str">
        <x:v>NeuSAR AUTOSAR外包计划工程取证评审</x:v>
      </x:c>
      <x:c r="B1" s="133" t="str">
        <x:v>NeuSAR AUTOSAR外包计划工程取证评审</x:v>
      </x:c>
      <x:c r="C1" s="133" t="str">
        <x:v>NeuSAR AUTOSAR外包计划工程取证评审</x:v>
      </x:c>
      <x:c r="D1" s="133" t="str">
        <x:v>NeuSAR AUTOSAR外包计划工程取证评审</x:v>
      </x:c>
      <x:c r="E1" s="133" t="str">
        <x:v>NeuSAR AUTOSAR外包计划工程取证评审</x:v>
      </x:c>
      <x:c r="F1" s="133" t="str">
        <x:v>NeuSAR AUTOSAR外包计划工程取证评审</x:v>
      </x:c>
      <x:c r="G1" s="133" t="str">
        <x:v>NeuSAR AUTOSAR外包计划工程取证评审</x:v>
      </x:c>
      <x:c r="H1" s="133" t="str">
        <x:v>NeuSAR AUTOSAR外包计划工程取证评审</x:v>
      </x:c>
    </x:row>
    <x:row r="2" ht="36" customHeight="1">
      <x:c r="A2" s="136" t="str">
        <x:v>基于 D:/Project/CR60LightBYD/xxx 与附件实际内容；只输出中立需求、配置事实和验收标准，不复制源码。评审日期：2026-07-17。</x:v>
      </x:c>
      <x:c r="B2" s="136" t="str">
        <x:v>基于 D:/Project/CR60LightBYD/xxx 与附件实际内容；只输出中立需求、配置事实和验收标准，不复制源码。评审日期：2026-07-17。</x:v>
      </x:c>
      <x:c r="C2" s="136" t="str">
        <x:v>基于 D:/Project/CR60LightBYD/xxx 与附件实际内容；只输出中立需求、配置事实和验收标准，不复制源码。评审日期：2026-07-17。</x:v>
      </x:c>
      <x:c r="D2" s="136" t="str">
        <x:v>基于 D:/Project/CR60LightBYD/xxx 与附件实际内容；只输出中立需求、配置事实和验收标准，不复制源码。评审日期：2026-07-17。</x:v>
      </x:c>
      <x:c r="E2" s="136" t="str">
        <x:v>基于 D:/Project/CR60LightBYD/xxx 与附件实际内容；只输出中立需求、配置事实和验收标准，不复制源码。评审日期：2026-07-17。</x:v>
      </x:c>
      <x:c r="F2" s="136" t="str">
        <x:v>基于 D:/Project/CR60LightBYD/xxx 与附件实际内容；只输出中立需求、配置事实和验收标准，不复制源码。评审日期：2026-07-17。</x:v>
      </x:c>
      <x:c r="G2" s="136" t="str">
        <x:v>基于 D:/Project/CR60LightBYD/xxx 与附件实际内容；只输出中立需求、配置事实和验收标准，不复制源码。评审日期：2026-07-17。</x:v>
      </x:c>
      <x:c r="H2" s="136" t="str">
        <x:v>基于 D:/Project/CR60LightBYD/xxx 与附件实际内容；只输出中立需求、配置事实和验收标准，不复制源码。评审日期：2026-07-17。</x:v>
      </x:c>
    </x:row>
    <x:row r="3" ht="30" customHeight="1">
      <x:c r="A3" s="160" t="str">
        <x:v>细化WBS</x:v>
      </x:c>
      <x:c r="B3" s="161" t="n">
        <x:f>COUNTA('02_细化开发计划'!A6:A500)</x:f>
        <x:v>90</x:v>
      </x:c>
      <x:c r="C3" s="161" t="str">
        <x:v>验收用例</x:v>
      </x:c>
      <x:c r="D3" s="161" t="n">
        <x:f>COUNTA('03_验收矩阵'!A6:A500)</x:f>
        <x:v>52</x:v>
      </x:c>
      <x:c r="E3" s="161" t="str">
        <x:v>P0风险</x:v>
      </x:c>
      <x:c r="F3" s="161" t="n">
        <x:f>COUNTIF('08_待确认与风险'!B6:B200,"P0")</x:f>
        <x:v>26</x:v>
      </x:c>
      <x:c r="G3" s="161" t="str">
        <x:v>NvM业务块</x:v>
      </x:c>
      <x:c r="H3" s="162" t="n">
        <x:f>COUNTIF('05_NvM配置详表'!A6:A200,"&gt;=2")</x:f>
        <x:v>103</x:v>
      </x:c>
    </x:row>
    <x:row r="5" ht="32" customHeight="1">
      <x:c r="A5" s="165" t="str">
        <x:v>评审维度</x:v>
      </x:c>
      <x:c r="B5" s="165" t="str">
        <x:v>原计划状态</x:v>
      </x:c>
      <x:c r="C5" s="165" t="str">
        <x:v>评审结果</x:v>
      </x:c>
      <x:c r="D5" s="165" t="str">
        <x:v>必须调整</x:v>
      </x:c>
      <x:c r="E5" s="165" t="str">
        <x:v>实际工程依据</x:v>
      </x:c>
      <x:c r="F5" s="165" t="str">
        <x:v>对排期的影响</x:v>
      </x:c>
      <x:c r="G5" s="165" t="str">
        <x:v>Gate</x:v>
      </x:c>
      <x:c r="H5" s="165" t="str">
        <x:v>优先级</x:v>
      </x:c>
    </x:row>
    <x:row r="6" ht="76" customHeight="1">
      <x:c r="A6" s="171" t="str">
        <x:v>总体分期</x:v>
      </x:c>
      <x:c r="B6" s="171" t="str">
        <x:v>T1主链、T2完善，方向正确。</x:v>
      </x:c>
      <x:c r="C6" s="171" t="str">
        <x:v>保留方向但增加M0和M3。</x:v>
      </x:c>
      <x:c r="D6" s="171" t="str">
        <x:v>M0基线/合规/工具链；M3量产发布闸门。</x:v>
      </x:c>
      <x:c r="E6" s="171" t="str">
        <x:v>当前源码存在RF/构建/生成配置矛盾，不能直接作为唯一需求。</x:v>
      </x:c>
      <x:c r="F6" s="171" t="str">
        <x:v>原11周开发+笼统验收不足；建议M0 2–3周、M1 8–10周、M2 10–12周、M3 4–6周。</x:v>
      </x:c>
      <x:c r="G6" s="171" t="str">
        <x:v>M0/M3</x:v>
      </x:c>
      <x:c r="H6" s="171" t="str">
        <x:v>P0</x:v>
      </x:c>
    </x:row>
    <x:row r="7" ht="76" customHeight="1">
      <x:c r="A7" s="172" t="str">
        <x:v>T1定义</x:v>
      </x:c>
      <x:c r="B7" s="172" t="str">
        <x:v>能配置、编译、最小CAN/IPC即可。</x:v>
      </x:c>
      <x:c r="C7" s="172" t="str">
        <x:v>验收口径过软。</x:v>
      </x:c>
      <x:c r="D7" s="172" t="str">
        <x:v>必须是NORMAL/FUNTEST_OFF真实发波同帧闭环。</x:v>
      </x:c>
      <x:c r="E7" s="172" t="str">
        <x:v>HIL/INJECT绕开发波；主链实际依赖CUDA/CLDA、StbM、IPC、算法适配。</x:v>
      </x:c>
      <x:c r="F7" s="172" t="str">
        <x:v>T1从6周调整为M0后8–10周。</x:v>
      </x:c>
      <x:c r="G7" s="172" t="str">
        <x:v>M1</x:v>
      </x:c>
      <x:c r="H7" s="172" t="str">
        <x:v>P0</x:v>
      </x:c>
    </x:row>
    <x:row r="8" ht="76" customHeight="1">
      <x:c r="A8" s="172" t="str">
        <x:v>M1范围</x:v>
      </x:c>
      <x:c r="B8" s="172" t="str">
        <x:v>把完整NvM/NM/Wdg/诊断都推到T2。</x:v>
      </x:c>
      <x:c r="C8" s="172" t="str">
        <x:v>需要前移最小子集。</x:v>
      </x:c>
      <x:c r="D8" s="172" t="str">
        <x:v>CUDA/CLDA/rbBlock、最小ReadAll、StbM发波同步、PMIC Wdg、关键DEM/DCM前移。</x:v>
      </x:c>
      <x:c r="E8" s="172" t="str">
        <x:v>缺少这些会直接阻断或无法安全运行主链。</x:v>
      </x:c>
      <x:c r="F8" s="172" t="str">
        <x:v>M1任务增加，但降低后续返工。</x:v>
      </x:c>
      <x:c r="G8" s="172" t="str">
        <x:v>M1</x:v>
      </x:c>
      <x:c r="H8" s="172" t="str">
        <x:v>P0</x:v>
      </x:c>
    </x:row>
    <x:row r="9" ht="76" customHeight="1">
      <x:c r="A9" s="172" t="str">
        <x:v>RTE方案</x:v>
      </x:c>
      <x:c r="B9" s="172" t="str">
        <x:v>无ASW ARXML，同时写生成RTE骨架/Map。</x:v>
      </x:c>
      <x:c r="C9" s="172" t="str">
        <x:v>存在自相矛盾。</x:v>
      </x:c>
      <x:c r="D9" s="172" t="str">
        <x:v>提供ARXML，或明确“手工ICD+Stub+SchM”，不承诺自动MapCom/E2E。</x:v>
      </x:c>
      <x:c r="E9" s="172" t="str">
        <x:v>gen_rte含大量旧路径/warning。</x:v>
      </x:c>
      <x:c r="F9" s="172" t="str">
        <x:v>M0先冻结接口方案。</x:v>
      </x:c>
      <x:c r="G9" s="172" t="str">
        <x:v>M0</x:v>
      </x:c>
      <x:c r="H9" s="172" t="str">
        <x:v>P0</x:v>
      </x:c>
    </x:row>
    <x:row r="10" ht="76" customHeight="1">
      <x:c r="A10" s="172" t="str">
        <x:v>T2工期</x:v>
      </x:c>
      <x:c r="B10" s="172" t="str">
        <x:v>T1+5周完成完整量产功能。</x:v>
      </x:c>
      <x:c r="C10" s="172" t="str">
        <x:v>显著低估。</x:v>
      </x:c>
      <x:c r="D10" s="172" t="str">
        <x:v>按通信、诊断、NvM/Fee、Dem、生命周期、Wdg、XCP、安全拆包。</x:v>
      </x:c>
      <x:c r="E10" s="172" t="str">
        <x:v>38/70 PDU、687/770 signal、105 NvM、217 Event、48 DID。</x:v>
      </x:c>
      <x:c r="F10" s="172" t="str">
        <x:v>建议10–12周，视输入关闭和人员并行度。</x:v>
      </x:c>
      <x:c r="G10" s="172" t="str">
        <x:v>M2</x:v>
      </x:c>
      <x:c r="H10" s="172" t="str">
        <x:v>P0</x:v>
      </x:c>
    </x:row>
    <x:row r="11" ht="76" customHeight="1">
      <x:c r="A11" s="172" t="str">
        <x:v>Boot</x:v>
      </x:c>
      <x:c r="B11" s="172" t="str">
        <x:v>BT0+9周，需求TBD。</x:v>
      </x:c>
      <x:c r="C11" s="172" t="str">
        <x:v>不能在TBD上承诺。</x:v>
      </x:c>
      <x:c r="D11" s="172" t="str">
        <x:v>独立并行轨，需求冻结后估10–12周；明确HSM/KMS/回滚职责。</x:v>
      </x:c>
      <x:c r="E11" s="172" t="str">
        <x:v>现工程anti-rollback未证实，签名依赖外部KMS。</x:v>
      </x:c>
      <x:c r="F11" s="172" t="str">
        <x:v>不占M1关键路径，但接口需M0冻结。</x:v>
      </x:c>
      <x:c r="G11" s="172" t="str">
        <x:v>BT</x:v>
      </x:c>
      <x:c r="H11" s="172" t="str">
        <x:v>P0</x:v>
      </x:c>
    </x:row>
    <x:row r="12" ht="76" customHeight="1">
      <x:c r="A12" s="172" t="str">
        <x:v>验收</x:v>
      </x:c>
      <x:c r="B12" s="172" t="str">
        <x:v>写“功能正常/自测报告”。</x:v>
      </x:c>
      <x:c r="C12" s="172" t="str">
        <x:v>不可客观签收。</x:v>
      </x:c>
      <x:c r="D12" s="172" t="str">
        <x:v>使用03页刺激—观测—判据矩阵；所有P0项为硬门禁。</x:v>
      </x:c>
      <x:c r="E12" s="172" t="str">
        <x:v>现任务计划缺量化周期、资源、断电、安全和同帧证据。</x:v>
      </x:c>
      <x:c r="F12" s="172" t="str">
        <x:v>M3单列4–6周。</x:v>
      </x:c>
      <x:c r="G12" s="172" t="str">
        <x:v>M1/M2/M3</x:v>
      </x:c>
      <x:c r="H12" s="172" t="str">
        <x:v>P0</x:v>
      </x:c>
    </x:row>
    <x:row r="13" ht="76" customHeight="1">
      <x:c r="A13" s="172" t="str">
        <x:v>IP/交付边界</x:v>
      </x:c>
      <x:c r="B13" s="172" t="str">
        <x:v>目标表述为“一模一样”。</x:v>
      </x:c>
      <x:c r="C13" s="172" t="str">
        <x:v>应改为功能/配置/接口等价。</x:v>
      </x:c>
      <x:c r="D13" s="172" t="str">
        <x:v>Clean-room三组隔离；实现组不接触参考源码、生成C、密钥和未授权商业库。</x:v>
      </x:c>
      <x:c r="E13" s="172" t="str">
        <x:v>用户明确参考源码不能交付。</x:v>
      </x:c>
      <x:c r="F13" s="172" t="str">
        <x:v>M0增加合规审查，不影响合法的黑盒/需求验证。</x:v>
      </x:c>
      <x:c r="G13" s="172" t="str">
        <x:v>M0</x:v>
      </x:c>
      <x:c r="H13" s="172" t="str">
        <x:v>P0</x:v>
      </x:c>
    </x:row>
    <x:row r="15" ht="30" customHeight="1">
      <x:c r="A15" s="173" t="str">
        <x:v>建议主线：M0（2–3周） → M1（8–10周） → M2（10–12周） → M3（4–6周）；Boot在需求冻结后并行10–12周</x:v>
      </x:c>
      <x:c r="B15" s="173"/>
      <x:c r="C15" s="173"/>
      <x:c r="D15" s="173"/>
      <x:c r="E15" s="173"/>
      <x:c r="F15" s="173"/>
      <x:c r="G15" s="173"/>
      <x:c r="H15" s="173"/>
    </x:row>
    <x:row r="16" ht="30" customHeight="1">
      <x:c r="A16" s="176" t="str">
        <x:v>阶段</x:v>
      </x:c>
      <x:c r="B16" s="176" t="str">
        <x:v>核心结果</x:v>
      </x:c>
      <x:c r="C16" s="176" t="str">
        <x:v>不可替代的Gate证据</x:v>
      </x:c>
      <x:c r="D16" s="176" t="str">
        <x:v>建议工期</x:v>
      </x:c>
      <x:c r="E16" s="176" t="str">
        <x:v>原计划</x:v>
      </x:c>
      <x:c r="F16" s="176" t="str">
        <x:v>评审判断</x:v>
      </x:c>
      <x:c r="G16" s="176" t="str">
        <x:v>主要风险</x:v>
      </x:c>
      <x:c r="H16" s="176" t="str">
        <x:v>详见</x:v>
      </x:c>
    </x:row>
    <x:row r="17" ht="58" customHeight="1">
      <x:c r="A17" s="171" t="str">
        <x:v>M0</x:v>
      </x:c>
      <x:c r="B17" s="171" t="str">
        <x:v>合法、可复现、可实现的唯一基线</x:v>
      </x:c>
      <x:c r="C17" s="171" t="str">
        <x:v>Clean-room审计；release/hash；clean build；RF/IPC/接口真值表</x:v>
      </x:c>
      <x:c r="D17" s="171" t="str">
        <x:v>2–3周</x:v>
      </x:c>
      <x:c r="E17" s="171" t="str">
        <x:v>缺失</x:v>
      </x:c>
      <x:c r="F17" s="171" t="str">
        <x:v>新增</x:v>
      </x:c>
      <x:c r="G17" s="171" t="str">
        <x:v>输入、工具、版本、RF矛盾</x:v>
      </x:c>
      <x:c r="H17" s="171" t="str">
        <x:v>01/02/08/09</x:v>
      </x:c>
    </x:row>
    <x:row r="18" ht="58" customHeight="1">
      <x:c r="A18" s="172" t="str">
        <x:v>M1</x:v>
      </x:c>
      <x:c r="B18" s="172" t="str">
        <x:v>真实雷达同帧闭环</x:v>
      </x:c>
      <x:c r="C18" s="172" t="str">
        <x:v>NORMAL/OFF真实发波→M4→IPC→R5→CAN；CUDA/CLDA与故障恢复</x:v>
      </x:c>
      <x:c r="D18" s="172" t="str">
        <x:v>8–10周</x:v>
      </x:c>
      <x:c r="E18" s="172" t="str">
        <x:v>T0+6周</x:v>
      </x:c>
      <x:c r="F18" s="172" t="str">
        <x:v>范围和工期上调</x:v>
      </x:c>
      <x:c r="G18" s="172" t="str">
        <x:v>多核、RF、调度、标定、资源</x:v>
      </x:c>
      <x:c r="H18" s="172" t="str">
        <x:v>02/03/07</x:v>
      </x:c>
    </x:row>
    <x:row r="19" ht="58" customHeight="1">
      <x:c r="A19" s="172" t="str">
        <x:v>M2</x:v>
      </x:c>
      <x:c r="B19" s="172" t="str">
        <x:v>完整量产功能</x:v>
      </x:c>
      <x:c r="C19" s="172" t="str">
        <x:v>全量通信/诊断/NvM/Dem/NM/Wdg/XCP/生命周期配置与自动回归</x:v>
      </x:c>
      <x:c r="D19" s="172" t="str">
        <x:v>10–12周</x:v>
      </x:c>
      <x:c r="E19" s="172" t="str">
        <x:v>T1+5周</x:v>
      </x:c>
      <x:c r="F19" s="172" t="str">
        <x:v>显著低估</x:v>
      </x:c>
      <x:c r="G19" s="172" t="str">
        <x:v>105 NvM、217 Event、48 DID、1457 signals</x:v>
      </x:c>
      <x:c r="H19" s="172" t="str">
        <x:v>02/03/05/06</x:v>
      </x:c>
    </x:row>
    <x:row r="20" ht="58" customHeight="1">
      <x:c r="A20" s="172" t="str">
        <x:v>M3</x:v>
      </x:c>
      <x:c r="B20" s="172" t="str">
        <x:v>可量产发布</x:v>
      </x:c>
      <x:c r="C20" s="172" t="str">
        <x:v>质量/覆盖/断电/安全/车辆/release/SBOM/回退全部硬门禁</x:v>
      </x:c>
      <x:c r="D20" s="172" t="str">
        <x:v>4–6周</x:v>
      </x:c>
      <x:c r="E20" s="172" t="str">
        <x:v>验收T1+8周</x:v>
      </x:c>
      <x:c r="F20" s="172" t="str">
        <x:v>必须单列</x:v>
      </x:c>
      <x:c r="G20" s="172" t="str">
        <x:v>CI/制品/安全/长稳</x:v>
      </x:c>
      <x:c r="H20" s="172" t="str">
        <x:v>02/03/08</x:v>
      </x:c>
    </x:row>
    <x:row r="21" ht="58" customHeight="1">
      <x:c r="A21" s="172" t="str">
        <x:v>BT</x:v>
      </x:c>
      <x:c r="B21" s="172" t="str">
        <x:v>独立Boot量产包</x:v>
      </x:c>
      <x:c r="C21" s="172" t="str">
        <x:v>刷写、签名、掉电恢复、App联调、生命周期</x:v>
      </x:c>
      <x:c r="D21" s="172" t="str">
        <x:v>10–12周</x:v>
      </x:c>
      <x:c r="E21" s="172" t="str">
        <x:v>BT0+9周</x:v>
      </x:c>
      <x:c r="F21" s="172" t="str">
        <x:v>需求冻结后重估</x:v>
      </x:c>
      <x:c r="G21" s="172" t="str">
        <x:v>HSM/KMS/anti-rollback/0x34等TBD</x:v>
      </x:c>
      <x:c r="H21" s="172" t="str">
        <x:v>01/02/03</x:v>
      </x:c>
    </x:row>
    <x:row r="23" ht="44" customHeight="1">
      <x:c r="A23" s="185" t="str">
        <x:v>使用说明：05/06/07页的“工程显式值”是需求提炼证据，不等于未经验证的量产真值；08页P0问题关闭后，才能把对应数值转为正式SRS/ECUC输入。对外合同应写“功能、配置、接口等价”，不写“复制现有源码或内部实现一模一样”。</x:v>
      </x:c>
      <x:c r="B23" s="186"/>
      <x:c r="C23" s="186"/>
      <x:c r="D23" s="186"/>
      <x:c r="E23" s="186"/>
      <x:c r="F23" s="186"/>
      <x:c r="G23" s="186"/>
      <x:c r="H23" s="187"/>
    </x:row>
    <x:row r="24" ht="44" customHeight="1">
      <x:c r="A24" s="188"/>
      <x:c r="B24" s="189"/>
      <x:c r="C24" s="189"/>
      <x:c r="D24" s="189"/>
      <x:c r="E24" s="189"/>
      <x:c r="F24" s="189"/>
      <x:c r="G24" s="189"/>
      <x:c r="H24" s="190"/>
    </x:row>
  </x:sheetData>
  <x:mergeCells>
    <x:mergeCell ref="A1:H1"/>
    <x:mergeCell ref="A2:H2"/>
    <x:mergeCell ref="A15:H15"/>
    <x:mergeCell ref="A23:H24"/>
  </x:mergeCells>
  <x:pageMargins left="0.7" right="0.7" top="0.75" bottom="0.75" header="0.3" footer="0.3"/>
  <x:tableParts count="2">
    <x:tablePart xmlns:r="http://schemas.openxmlformats.org/officeDocument/2006/relationships" r:id="R22f7374d27c044a3"/>
    <x:tablePart xmlns:r="http://schemas.openxmlformats.org/officeDocument/2006/relationships" r:id="R52c663c2fa344b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52" hidden="0" customWidth="1"/>
    <x:col min="5" max="5" width="42" hidden="0" customWidth="1"/>
    <x:col min="6" max="6" width="48" hidden="0" customWidth="1"/>
    <x:col min="7" max="7" width="52" hidden="0" customWidth="1"/>
    <x:col min="8" max="8" width="14" hidden="0" customWidth="1"/>
    <x:col min="9" max="9" width="20" hidden="0" customWidth="1"/>
    <x:col min="10" max="10" width="22" hidden="0" customWidth="1"/>
    <x:col min="11" max="11" width="32" hidden="0" customWidth="1"/>
  </x:cols>
  <x:sheetData>
    <x:row r="1" ht="30" customHeight="1">
      <x:c r="A1" s="133" t="str">
        <x:v>调整后里程碑计划（工程取证版）</x:v>
      </x:c>
      <x:c r="B1" s="133" t="str">
        <x:v>调整后里程碑计划（工程取证版）</x:v>
      </x:c>
      <x:c r="C1" s="133" t="str">
        <x:v>调整后里程碑计划（工程取证版）</x:v>
      </x:c>
      <x:c r="D1" s="133" t="str">
        <x:v>调整后里程碑计划（工程取证版）</x:v>
      </x:c>
      <x:c r="E1" s="133" t="str">
        <x:v>调整后里程碑计划（工程取证版）</x:v>
      </x:c>
      <x:c r="F1" s="133" t="str">
        <x:v>调整后里程碑计划（工程取证版）</x:v>
      </x:c>
      <x:c r="G1" s="133" t="str">
        <x:v>调整后里程碑计划（工程取证版）</x:v>
      </x:c>
      <x:c r="H1" s="133" t="str">
        <x:v>调整后里程碑计划（工程取证版）</x:v>
      </x:c>
      <x:c r="I1" s="133" t="str">
        <x:v>调整后里程碑计划（工程取证版）</x:v>
      </x:c>
      <x:c r="J1" s="133" t="str">
        <x:v>调整后里程碑计划（工程取证版）</x:v>
      </x:c>
      <x:c r="K1" s="133" t="str">
        <x:v>调整后里程碑计划（工程取证版）</x:v>
      </x:c>
    </x:row>
    <x:row r="2" ht="36" customHeight="1">
      <x:c r="A2" s="136" t="str">
        <x:v>工期为风险评估区间，不是未经资源确认的承诺日期。计时前提：M0输入/工具/接口Gate完成。</x:v>
      </x:c>
      <x:c r="B2" s="136" t="str">
        <x:v>工期为风险评估区间，不是未经资源确认的承诺日期。计时前提：M0输入/工具/接口Gate完成。</x:v>
      </x:c>
      <x:c r="C2" s="136" t="str">
        <x:v>工期为风险评估区间，不是未经资源确认的承诺日期。计时前提：M0输入/工具/接口Gate完成。</x:v>
      </x:c>
      <x:c r="D2" s="136" t="str">
        <x:v>工期为风险评估区间，不是未经资源确认的承诺日期。计时前提：M0输入/工具/接口Gate完成。</x:v>
      </x:c>
      <x:c r="E2" s="136" t="str">
        <x:v>工期为风险评估区间，不是未经资源确认的承诺日期。计时前提：M0输入/工具/接口Gate完成。</x:v>
      </x:c>
      <x:c r="F2" s="136" t="str">
        <x:v>工期为风险评估区间，不是未经资源确认的承诺日期。计时前提：M0输入/工具/接口Gate完成。</x:v>
      </x:c>
      <x:c r="G2" s="136" t="str">
        <x:v>工期为风险评估区间，不是未经资源确认的承诺日期。计时前提：M0输入/工具/接口Gate完成。</x:v>
      </x:c>
      <x:c r="H2" s="136" t="str">
        <x:v>工期为风险评估区间，不是未经资源确认的承诺日期。计时前提：M0输入/工具/接口Gate完成。</x:v>
      </x:c>
      <x:c r="I2" s="136" t="str">
        <x:v>工期为风险评估区间，不是未经资源确认的承诺日期。计时前提：M0输入/工具/接口Gate完成。</x:v>
      </x:c>
      <x:c r="J2" s="136" t="str">
        <x:v>工期为风险评估区间，不是未经资源确认的承诺日期。计时前提：M0输入/工具/接口Gate完成。</x:v>
      </x:c>
      <x:c r="K2" s="136" t="str">
        <x:v>工期为风险评估区间，不是未经资源确认的承诺日期。计时前提：M0输入/工具/接口Gate完成。</x:v>
      </x:c>
    </x:row>
    <x:row r="5" ht="34" customHeight="1">
      <x:c r="A5" s="150" t="str">
        <x:v>里程碑ID</x:v>
      </x:c>
      <x:c r="B5" s="151" t="str">
        <x:v>里程碑</x:v>
      </x:c>
      <x:c r="C5" s="151" t="str">
        <x:v>目标</x:v>
      </x:c>
      <x:c r="D5" s="151" t="str">
        <x:v>范围/关键活动</x:v>
      </x:c>
      <x:c r="E5" s="151" t="str">
        <x:v>前置输入</x:v>
      </x:c>
      <x:c r="F5" s="151" t="str">
        <x:v>必须交付物</x:v>
      </x:c>
      <x:c r="G5" s="151" t="str">
        <x:v>退出准则（合同Gate）</x:v>
      </x:c>
      <x:c r="H5" s="151" t="str">
        <x:v>建议工期</x:v>
      </x:c>
      <x:c r="I5" s="151" t="str">
        <x:v>对应原计划</x:v>
      </x:c>
      <x:c r="J5" s="151" t="str">
        <x:v>评审结论</x:v>
      </x:c>
      <x:c r="K5" s="152" t="str">
        <x:v>备注</x:v>
      </x:c>
    </x:row>
    <x:row r="6" ht="88" customHeight="1">
      <x:c r="A6" s="144" t="str">
        <x:v>M0</x:v>
      </x:c>
      <x:c r="B6" s="144" t="str">
        <x:v>基线与接口冻结</x:v>
      </x:c>
      <x:c r="C6" s="144" t="str">
        <x:v>把来源受限工程转成合法、可实现、可验收的中立需求基线。</x:v>
      </x:c>
      <x:c r="D6" s="144" t="str">
        <x:v>合规/clean-room边界；量产版本身份；工具链；硬件/变体；M4/RSS/算法接口；黑盒轨迹；需求追踪矩阵。</x:v>
      </x:c>
      <x:c r="E6" s="144" t="str">
        <x:v>量产ECU与允许留存的二进制；OEM规范；DBC；原理图；MCAL/NeuSAR许可；甲方模块ICD。</x:v>
      </x:c>
      <x:c r="F6" s="144" t="str">
        <x:v>基线清单、版本/hash manifest、工具版本矩阵、黑盒golden trace、接口ICD、待决问题清单、RTM。</x:v>
      </x:c>
      <x:c r="G6" s="144" t="str">
        <x:v>全新目录一键生成/编译通过；所有输入有版本与责任人；P0风险关闭或签署偏差；实现组不接触参考源码。</x:v>
      </x:c>
      <x:c r="H6" s="144" t="str">
        <x:v>2–3周</x:v>
      </x:c>
      <x:c r="I6" s="144" t="str">
        <x:v>原计划缺失</x:v>
      </x:c>
      <x:c r="J6" s="144" t="str">
        <x:v>必须新增</x:v>
      </x:c>
      <x:c r="K6" s="144" t="str">
        <x:v>未完成M0不得进入M1正式计时。</x:v>
      </x:c>
    </x:row>
    <x:row r="7" ht="88" customHeight="1">
      <x:c r="A7" s="144" t="str">
        <x:v>M1-A</x:v>
      </x:c>
      <x:c r="B7" s="144" t="str">
        <x:v>平台最小Bring-up</x:v>
      </x:c>
      <x:c r="C7" s="144" t="str">
        <x:v>在目标板上建立可调度、可观测、可恢复的MSS平台。</x:v>
      </x:c>
      <x:c r="D7" s="144" t="str">
        <x:v>三核镜像链；startup/linker/MPU/cache；Mcu/Port/Gpt/Can/Spi/Fls/DMA/IPC；EcuM/BswM；OS任务/ISR；RTE/SchM手工接口骨架。</x:v>
      </x:c>
      <x:c r="E7" s="144" t="str">
        <x:v>M0 Gate；板卡/线束/XDS；M4/RSS合法二进制；Pin/clock/memory/IRQ/DMA ownership。</x:v>
      </x:c>
      <x:c r="F7" s="144" t="str">
        <x:v>可复现集成工程、R5 ELF/map、M4/RSS镜像、appimage、启动时序、资源预算、最小CAN收发。</x:v>
      </x:c>
      <x:c r="G7" s="144" t="str">
        <x:v>冷启动100次无死机/OS错误；M4/RSS握手有超时和恢复；任务周期/栈/WCET初测通过；两次clean build结果可追溯。</x:v>
      </x:c>
      <x:c r="H7" s="144" t="str">
        <x:v>3–4周</x:v>
      </x:c>
      <x:c r="I7" s="144" t="str">
        <x:v>T1的一部分</x:v>
      </x:c>
      <x:c r="J7" s="144" t="str">
        <x:v>保留但重构</x:v>
      </x:c>
      <x:c r="K7" s="144" t="str">
        <x:v>不能只以“配置生成成功”验收。</x:v>
      </x:c>
    </x:row>
    <x:row r="8" ht="88" customHeight="1">
      <x:c r="A8" s="144" t="str">
        <x:v>M1-B</x:v>
      </x:c>
      <x:c r="B8" s="144" t="str">
        <x:v>真实雷达主链路</x:v>
      </x:c>
      <x:c r="C8" s="144" t="str">
        <x:v>实现上电→标定→发波→M4→IPC→R5算法→CAN输出的同帧闭环。</x:v>
      </x:c>
      <x:c r="D8" s="144" t="str">
        <x:v>CUDA/CLDA/rbBlock；mmWaveLink/RF；StbM/发波时片；ADCBuf/eDMA；共享内存ABI；算法回调；最小COM；基础DEM/看门狗。</x:v>
      </x:c>
      <x:c r="E8" s="144" t="str">
        <x:v>M1-A；冻结RF参数；甲方M4/算法接口包与golden vector；合法CUDA/CLDA样本；最小CAN矩阵。</x:v>
      </x:c>
      <x:c r="F8" s="144" t="str">
        <x:v>RF/IPC/共享内存ICD、量产参数表、同帧trace、golden对比、异常矩阵、阶段自测报告。</x:v>
      </x:c>
      <x:c r="G8" s="144" t="str">
        <x:v>NORMAL/FUNTEST_OFF真实发波；连续运行；同一frame ID贯通RF/M4/R5/CAN；无永久busy-wait；非法CUDA/CLDA禁止发波并可诊断。</x:v>
      </x:c>
      <x:c r="H8" s="144" t="str">
        <x:v>5–6周</x:v>
      </x:c>
      <x:c r="I8" s="144" t="str">
        <x:v>T1：T0+6周</x:v>
      </x:c>
      <x:c r="J8" s="144" t="str">
        <x:v>目标正确、工期和范围需调整</x:v>
      </x:c>
      <x:c r="K8" s="144" t="str">
        <x:v>M0后M1合计建议8–10周；HIL/注入不能替代此Gate。</x:v>
      </x:c>
    </x:row>
    <x:row r="9" ht="88" customHeight="1">
      <x:c r="A9" s="144" t="str">
        <x:v>M2</x:v>
      </x:c>
      <x:c r="B9" s="144" t="str">
        <x:v>量产功能完备</x:v>
      </x:c>
      <x:c r="C9" s="144" t="str">
        <x:v>补齐OEM集成、诊断、存储、网络管理、安全与服务功能。</x:v>
      </x:c>
      <x:c r="D9" s="144" t="str">
        <x:v>全量CAN/COM/E2E；Nm/CanSM/ComM；完整NvM/Fee；217 Dem事件/59 DTC；48 DID/5 Routine；Wdg策略；XCP量产策略；Boot/HSM接口；上下电/复位。</x:v>
      </x:c>
      <x:c r="E9" s="144" t="str">
        <x:v>M1 Gate；完整OEM/诊断/安全需求；DID/DTC/NvM数据字典；Boot与签名职责；Wdg监控矩阵。</x:v>
      </x:c>
      <x:c r="F9" s="144" t="str">
        <x:v>可编辑配置工程、全部矩阵、配置diff、接口代码、自测源码/报告、KnownIssues。</x:v>
      </x:c>
      <x:c r="G9" s="144" t="str">
        <x:v>全量正负向用例；断电一致性；休眠唤醒/Bus-Off；安全访问；故障持久化；需求↔配置↔测试双向追踪。</x:v>
      </x:c>
      <x:c r="H9" s="144" t="str">
        <x:v>10–12周</x:v>
      </x:c>
      <x:c r="I9" s="144" t="str">
        <x:v>T2：T1+5周</x:v>
      </x:c>
      <x:c r="J9" s="144" t="str">
        <x:v>范围明显低估</x:v>
      </x:c>
      <x:c r="K9" s="144" t="str">
        <x:v>信息安全与功能安全不能只写“待讨论”，应形成输入Gate。</x:v>
      </x:c>
    </x:row>
    <x:row r="10" ht="88" customHeight="1">
      <x:c r="A10" s="144" t="str">
        <x:v>M3</x:v>
      </x:c>
      <x:c r="B10" s="144" t="str">
        <x:v>量产发布闸门</x:v>
      </x:c>
      <x:c r="C10" s="144" t="str">
        <x:v>把“功能完成”与“可量产发布”分离。</x:v>
      </x:c>
      <x:c r="D10" s="144" t="str">
        <x:v>全变体回归；车辆/HIL；电源循环；Flash断电/耐久；总线鲁棒；静态分析；覆盖率；安全测试；可复现release；SBOM/许可证/回退。</x:v>
      </x:c>
      <x:c r="E10" s="144" t="str">
        <x:v>M2 Gate；车辆和台架；发布规范；质量阈值；签名/KMS接口。</x:v>
      </x:c>
      <x:c r="F10" s="144" t="str">
        <x:v>Release manifest、完整制品/hash、测试与质量报告、SBOM、许可证、烧写/回退手顺、培训材料。</x:v>
      </x:c>
      <x:c r="G10" s="144" t="str">
        <x:v>所有硬门禁通过；零未解释高危问题；发布包可从空环境复现；签名与容器校验通过；交付件无空归档。</x:v>
      </x:c>
      <x:c r="H10" s="144" t="str">
        <x:v>4–6周</x:v>
      </x:c>
      <x:c r="I10" s="144" t="str">
        <x:v>“验收 T1+8周”</x:v>
      </x:c>
      <x:c r="J10" s="144" t="str">
        <x:v>必须单列</x:v>
      </x:c>
      <x:c r="K10" s="144" t="str">
        <x:v>原验收节点与T2关系不清。</x:v>
      </x:c>
    </x:row>
    <x:row r="11" ht="88" customHeight="1">
      <x:c r="A11" s="144" t="str">
        <x:v>BT</x:v>
      </x:c>
      <x:c r="B11" s="144" t="str">
        <x:v>Bootloader并行轨</x:v>
      </x:c>
      <x:c r="C11" s="144" t="str">
        <x:v>按冻结的刷新、安全和生命周期需求实现Boot。</x:v>
      </x:c>
      <x:c r="D11" s="144" t="str">
        <x:v>PBL/FBL/容器；诊断编程；warm response；签名/加密接口；回滚策略；断电恢复。</x:v>
      </x:c>
      <x:c r="E11" s="144" t="str">
        <x:v>Boot需求、内存图、HSM/KMS职责、生命周期、反回滚决策。</x:v>
      </x:c>
      <x:c r="F11" s="144" t="str">
        <x:v>Boot源码/配置、容器recipe、unsigned制品、签名请求manifest、刷写/回退手顺和报告。</x:v>
      </x:c>
      <x:c r="G11" s="144" t="str">
        <x:v>正确/错误签名、篡改、截断、掉电、版本降级、HSM异常均有明确行为；禁止泄露密钥。</x:v>
      </x:c>
      <x:c r="H11" s="144" t="str">
        <x:v>需求冻结后10–12周</x:v>
      </x:c>
      <x:c r="I11" s="144" t="str">
        <x:v>BT0+9周</x:v>
      </x:c>
      <x:c r="J11" s="144" t="str">
        <x:v>待需求后重估</x:v>
      </x:c>
      <x:c r="K11" s="144" t="str">
        <x:v>现工程没有可据此承诺的完整anti-rollback。</x:v>
      </x:c>
    </x:row>
    <x:row r="12" ht="88" customHeight="1">
      <x:c r="A12" s="144" t="str">
        <x:v>TR</x:v>
      </x:c>
      <x:c r="B12" s="144" t="str">
        <x:v>培训与移交</x:v>
      </x:c>
      <x:c r="C12" s="144" t="str">
        <x:v>确保甲方可独立生成、构建、调试、配置和发布。</x:v>
      </x:c>
      <x:c r="D12" s="144" t="str">
        <x:v>NeuSAR/RTA/MCAL；配置生成；调试；NvM/诊断/通信；release；故障定位。</x:v>
      </x:c>
      <x:c r="E12" s="144" t="str">
        <x:v>M2或M3候选版本；培训环境与许可。</x:v>
      </x:c>
      <x:c r="F12" s="144" t="str">
        <x:v>不少于2次×4h培训、录屏/课件、实操练习、Q&amp;A关闭记录、维护手册。</x:v>
      </x:c>
      <x:c r="G12" s="144" t="str">
        <x:v>甲方人员在不依赖东软操作的情况下完成clean build、配置变更和回归；问题清单关闭。</x:v>
      </x:c>
      <x:c r="H12" s="144" t="str">
        <x:v>贯穿项目，M3前完成</x:v>
      </x:c>
      <x:c r="I12" s="144" t="str">
        <x:v>培训TBD</x:v>
      </x:c>
      <x:c r="J12" s="144" t="str">
        <x:v>补量化验收</x:v>
      </x:c>
      <x:c r="K12" s="144" t="str">
        <x:v>技术支持SLA另行合同化。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ff3a346306d48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26" hidden="0" customWidth="1"/>
    <x:col min="5" max="5" width="52" hidden="0" customWidth="1"/>
    <x:col min="6" max="6" width="42" hidden="0" customWidth="1"/>
    <x:col min="7" max="7" width="38" hidden="0" customWidth="1"/>
    <x:col min="8" max="8" width="18" hidden="0" customWidth="1"/>
    <x:col min="9" max="9" width="22" hidden="0" customWidth="1"/>
    <x:col min="10" max="10" width="42" hidden="0" customWidth="1"/>
    <x:col min="11" max="11" width="52" hidden="0" customWidth="1"/>
    <x:col min="12" max="12" width="10" hidden="0" customWidth="1"/>
    <x:col min="13" max="13" width="14" hidden="0" customWidth="1"/>
    <x:col min="14" max="14" width="12" hidden="0" customWidth="1"/>
    <x:col min="15" max="15" width="22" hidden="0" customWidth="1"/>
    <x:col min="16" max="16" width="42" hidden="0" customWidth="1"/>
  </x:cols>
  <x:sheetData>
    <x:row r="1" ht="30" customHeight="1">
      <x:c r="A1" s="133" t="str">
        <x:v>东软外包细化开发计划（WBS）</x:v>
      </x:c>
      <x:c r="B1" s="133" t="str">
        <x:v>东软外包细化开发计划（WBS）</x:v>
      </x:c>
      <x:c r="C1" s="133" t="str">
        <x:v>东软外包细化开发计划（WBS）</x:v>
      </x:c>
      <x:c r="D1" s="133" t="str">
        <x:v>东软外包细化开发计划（WBS）</x:v>
      </x:c>
      <x:c r="E1" s="133" t="str">
        <x:v>东软外包细化开发计划（WBS）</x:v>
      </x:c>
      <x:c r="F1" s="133" t="str">
        <x:v>东软外包细化开发计划（WBS）</x:v>
      </x:c>
      <x:c r="G1" s="133" t="str">
        <x:v>东软外包细化开发计划（WBS）</x:v>
      </x:c>
      <x:c r="H1" s="133" t="str">
        <x:v>东软外包细化开发计划（WBS）</x:v>
      </x:c>
      <x:c r="I1" s="133" t="str">
        <x:v>东软外包细化开发计划（WBS）</x:v>
      </x:c>
      <x:c r="J1" s="133" t="str">
        <x:v>东软外包细化开发计划（WBS）</x:v>
      </x:c>
      <x:c r="K1" s="133" t="str">
        <x:v>东软外包细化开发计划（WBS）</x:v>
      </x:c>
      <x:c r="L1" s="133" t="str">
        <x:v>东软外包细化开发计划（WBS）</x:v>
      </x:c>
      <x:c r="M1" s="133" t="str">
        <x:v>东软外包细化开发计划（WBS）</x:v>
      </x:c>
      <x:c r="N1" s="133" t="str">
        <x:v>东软外包细化开发计划（WBS）</x:v>
      </x:c>
      <x:c r="O1" s="133" t="str">
        <x:v>东软外包细化开发计划（WBS）</x:v>
      </x:c>
      <x:c r="P1" s="133" t="str">
        <x:v>东软外包细化开发计划（WBS）</x:v>
      </x:c>
    </x:row>
    <x:row r="2" ht="36" customHeight="1">
      <x:c r="A2" s="136" t="str">
        <x:v>责任建议不替代合同责任；“工程现状”均来自只读取证，“需求化结论”需通过M0签署后作为正式输入。</x:v>
      </x:c>
      <x:c r="B2" s="136" t="str">
        <x:v>责任建议不替代合同责任；“工程现状”均来自只读取证，“需求化结论”需通过M0签署后作为正式输入。</x:v>
      </x:c>
      <x:c r="C2" s="136" t="str">
        <x:v>责任建议不替代合同责任；“工程现状”均来自只读取证，“需求化结论”需通过M0签署后作为正式输入。</x:v>
      </x:c>
      <x:c r="D2" s="136" t="str">
        <x:v>责任建议不替代合同责任；“工程现状”均来自只读取证，“需求化结论”需通过M0签署后作为正式输入。</x:v>
      </x:c>
      <x:c r="E2" s="136" t="str">
        <x:v>责任建议不替代合同责任；“工程现状”均来自只读取证，“需求化结论”需通过M0签署后作为正式输入。</x:v>
      </x:c>
      <x:c r="F2" s="136" t="str">
        <x:v>责任建议不替代合同责任；“工程现状”均来自只读取证，“需求化结论”需通过M0签署后作为正式输入。</x:v>
      </x:c>
      <x:c r="G2" s="136" t="str">
        <x:v>责任建议不替代合同责任；“工程现状”均来自只读取证，“需求化结论”需通过M0签署后作为正式输入。</x:v>
      </x:c>
      <x:c r="H2" s="136" t="str">
        <x:v>责任建议不替代合同责任；“工程现状”均来自只读取证，“需求化结论”需通过M0签署后作为正式输入。</x:v>
      </x:c>
      <x:c r="I2" s="136" t="str">
        <x:v>责任建议不替代合同责任；“工程现状”均来自只读取证，“需求化结论”需通过M0签署后作为正式输入。</x:v>
      </x:c>
      <x:c r="J2" s="136" t="str">
        <x:v>责任建议不替代合同责任；“工程现状”均来自只读取证，“需求化结论”需通过M0签署后作为正式输入。</x:v>
      </x:c>
      <x:c r="K2" s="136" t="str">
        <x:v>责任建议不替代合同责任；“工程现状”均来自只读取证，“需求化结论”需通过M0签署后作为正式输入。</x:v>
      </x:c>
      <x:c r="L2" s="136" t="str">
        <x:v>责任建议不替代合同责任；“工程现状”均来自只读取证，“需求化结论”需通过M0签署后作为正式输入。</x:v>
      </x:c>
      <x:c r="M2" s="136" t="str">
        <x:v>责任建议不替代合同责任；“工程现状”均来自只读取证，“需求化结论”需通过M0签署后作为正式输入。</x:v>
      </x:c>
      <x:c r="N2" s="136" t="str">
        <x:v>责任建议不替代合同责任；“工程现状”均来自只读取证，“需求化结论”需通过M0签署后作为正式输入。</x:v>
      </x:c>
      <x:c r="O2" s="136" t="str">
        <x:v>责任建议不替代合同责任；“工程现状”均来自只读取证，“需求化结论”需通过M0签署后作为正式输入。</x:v>
      </x:c>
      <x:c r="P2" s="136" t="str">
        <x:v>责任建议不替代合同责任；“工程现状”均来自只读取证，“需求化结论”需通过M0签署后作为正式输入。</x:v>
      </x:c>
    </x:row>
    <x:row r="5" ht="34" customHeight="1">
      <x:c r="A5" s="150" t="str">
        <x:v>WBS ID</x:v>
      </x:c>
      <x:c r="B5" s="151" t="str">
        <x:v>阶段</x:v>
      </x:c>
      <x:c r="C5" s="151" t="str">
        <x:v>工作流</x:v>
      </x:c>
      <x:c r="D5" s="151" t="str">
        <x:v>任务名称</x:v>
      </x:c>
      <x:c r="E5" s="151" t="str">
        <x:v>详细需求/工作内容</x:v>
      </x:c>
      <x:c r="F5" s="151" t="str">
        <x:v>工程现状或取证事实</x:v>
      </x:c>
      <x:c r="G5" s="151" t="str">
        <x:v>甲方/第三方输入</x:v>
      </x:c>
      <x:c r="H5" s="151" t="str">
        <x:v>责任建议</x:v>
      </x:c>
      <x:c r="I5" s="151" t="str">
        <x:v>前置依赖</x:v>
      </x:c>
      <x:c r="J5" s="151" t="str">
        <x:v>交付物</x:v>
      </x:c>
      <x:c r="K5" s="151" t="str">
        <x:v>验收方法与判据</x:v>
      </x:c>
      <x:c r="L5" s="151" t="str">
        <x:v>优先级</x:v>
      </x:c>
      <x:c r="M5" s="151" t="str">
        <x:v>建议工期(工作日)</x:v>
      </x:c>
      <x:c r="N5" s="151" t="str">
        <x:v>状态</x:v>
      </x:c>
      <x:c r="O5" s="151" t="str">
        <x:v>原计划映射</x:v>
      </x:c>
      <x:c r="P5" s="152" t="str">
        <x:v>主要证据</x:v>
      </x:c>
    </x:row>
    <x:row r="6" ht="82" customHeight="1">
      <x:c r="A6" s="144" t="str">
        <x:v>M0-01</x:v>
      </x:c>
      <x:c r="B6" s="144" t="str">
        <x:v>M0</x:v>
      </x:c>
      <x:c r="C6" s="144" t="str">
        <x:v>合规/IP</x:v>
      </x:c>
      <x:c r="D6" s="144" t="str">
        <x:v>Clean-room边界与授权审查</x:v>
      </x:c>
      <x:c r="E6" s="144" t="str">
        <x:v>建立参考组、实现组、独立验证组；定义允许披露的需求、接口、黑盒轨迹及禁止披露的源码/密钥/商业库。</x:v>
      </x:c>
      <x:c r="F6" s="144" t="str">
        <x:v>参考工程来源受限，不能交给外包方。</x:v>
      </x:c>
      <x:c r="G6" s="144" t="str">
        <x:v>授权链、第三方许可证、法务意见。</x:v>
      </x:c>
      <x:c r="H6" s="144" t="str">
        <x:v>双方/法务</x:v>
      </x:c>
      <x:c r="I6" s="144" t="str">
        <x:v>无</x:v>
      </x:c>
      <x:c r="J6" s="144" t="str">
        <x:v>边界协议、人员/资料访问矩阵、证据台账模板。</x:v>
      </x:c>
      <x:c r="K6" s="144" t="str">
        <x:v>实现组资料库抽查无参考源码/生成C/私钥；每份输入有批准记录。</x:v>
      </x:c>
      <x:c r="L6" s="144" t="str">
        <x:v>P0</x:v>
      </x:c>
      <x:c r="M6" s="153" t="n">
        <x:v>3</x:v>
      </x:c>
      <x:c r="N6" s="144" t="str">
        <x:v>未开始</x:v>
      </x:c>
      <x:c r="O6" s="144" t="str">
        <x:v>原计划缺失</x:v>
      </x:c>
      <x:c r="P6" s="144" t="str">
        <x:v>AGENTS.md安全提示；工程含商业BSW/HSM/KMS资产</x:v>
      </x:c>
    </x:row>
    <x:row r="7" ht="82" customHeight="1">
      <x:c r="A7" s="144" t="str">
        <x:v>M0-02</x:v>
      </x:c>
      <x:c r="B7" s="144" t="str">
        <x:v>M0</x:v>
      </x:c>
      <x:c r="C7" s="144" t="str">
        <x:v>版本基线</x:v>
      </x:c>
      <x:c r="D7" s="144" t="str">
        <x:v>量产Release Manifest</x:v>
      </x:c>
      <x:c r="E7" s="144" t="str">
        <x:v>冻结参考ECU、烧录件、MSS/M4/RSS、算法库、配置、DBC、A2L、工具版本和hash；区分DEVELOP/SERIES。</x:v>
      </x:c>
      <x:c r="F7" s="144" t="str">
        <x:v>BYD build入口实际为DEVELOP/KL15/FUNTEST_OFF/SYMMETRY，不能证明量产身份。</x:v>
      </x:c>
      <x:c r="G7" s="144" t="str">
        <x:v>量产ECU、正式发布包、版本记录。</x:v>
      </x:c>
      <x:c r="H7" s="144" t="str">
        <x:v>我方</x:v>
      </x:c>
      <x:c r="I7" s="144" t="str">
        <x:v>M0-01</x:v>
      </x:c>
      <x:c r="J7" s="144" t="str">
        <x:v>签署版release manifest与hash清单。</x:v>
      </x:c>
      <x:c r="K7" s="144" t="str">
        <x:v>参考ECU读出的版本、总线行为、镜像hash与manifest一致。</x:v>
      </x:c>
      <x:c r="L7" s="144" t="str">
        <x:v>P0</x:v>
      </x:c>
      <x:c r="M7" s="153" t="n">
        <x:v>3</x:v>
      </x:c>
      <x:c r="N7" s="144" t="str">
        <x:v>未开始</x:v>
      </x:c>
      <x:c r="O7" s="144" t="str">
        <x:v>需求解析</x:v>
      </x:c>
      <x:c r="P7" s="144" t="str">
        <x:v>coem/BYD_UKE/buildscripts/build.bat:61</x:v>
      </x:c>
    </x:row>
    <x:row r="8" ht="82" customHeight="1">
      <x:c r="A8" s="144" t="str">
        <x:v>M0-03</x:v>
      </x:c>
      <x:c r="B8" s="144" t="str">
        <x:v>M0</x:v>
      </x:c>
      <x:c r="C8" s="144" t="str">
        <x:v>需求基线</x:v>
      </x:c>
      <x:c r="D8" s="144" t="str">
        <x:v>硬件/变体矩阵冻结</x:v>
      </x:c>
      <x:c r="E8" s="144" t="str">
        <x:v>冻结AWR2E44P、W25Q32、LP87745、TCAN1043、四角位置、KL30/KL15、天线/车型/生命周期及构建矩阵。</x:v>
      </x:c>
      <x:c r="F8" s="144" t="str">
        <x:v>当前工程和附件存在型号/目标OEM/构建变体表述差异。</x:v>
      </x:c>
      <x:c r="G8" s="144" t="str">
        <x:v>BOM、原理图、Pin map、样件矩阵。</x:v>
      </x:c>
      <x:c r="H8" s="144" t="str">
        <x:v>我方</x:v>
      </x:c>
      <x:c r="I8" s="144" t="str">
        <x:v>M0-02</x:v>
      </x:c>
      <x:c r="J8" s="144" t="str">
        <x:v>硬件与变体配置矩阵。</x:v>
      </x:c>
      <x:c r="K8" s="144" t="str">
        <x:v>每个变体均有唯一宏组合、Pin/clock/CAN/RF/标定/输出映射。</x:v>
      </x:c>
      <x:c r="L8" s="144" t="str">
        <x:v>P0</x:v>
      </x:c>
      <x:c r="M8" s="153" t="n">
        <x:v>4</x:v>
      </x:c>
      <x:c r="N8" s="144" t="str">
        <x:v>未开始</x:v>
      </x:c>
      <x:c r="O8" s="144" t="str">
        <x:v>需求解析</x:v>
      </x:c>
      <x:c r="P8" s="144" t="str">
        <x:v>settings.py:8,30-45；项目信息Sheet</x:v>
      </x:c>
    </x:row>
    <x:row r="9" ht="82" customHeight="1">
      <x:c r="A9" s="144" t="str">
        <x:v>M0-04</x:v>
      </x:c>
      <x:c r="B9" s="144" t="str">
        <x:v>M0</x:v>
      </x:c>
      <x:c r="C9" s="144" t="str">
        <x:v>工具链</x:v>
      </x:c>
      <x:c r="D9" s="144" t="str">
        <x:v>工具/许可证版本锁定</x:v>
      </x:c>
      <x:c r="E9" s="144" t="str">
        <x:v>锁定TI armclang、CCS、RTA-CAR/OS/RTE、MCAL配置工具、Python/SCons及许可证；禁止个人盘符。</x:v>
      </x:c>
      <x:c r="F9" s="144" t="str">
        <x:v>生成物标识RTA-CAR 12.3.2与RTA-RTE 12.4.0；脚本硬编码C:/I:/J:。</x:v>
      </x:c>
      <x:c r="G9" s="144" t="str">
        <x:v>合法安装包与License。</x:v>
      </x:c>
      <x:c r="H9" s="144" t="str">
        <x:v>东软</x:v>
      </x:c>
      <x:c r="I9" s="144" t="str">
        <x:v>M0-01</x:v>
      </x:c>
      <x:c r="J9" s="144" t="str">
        <x:v>工具版本矩阵、安装脚本、许可证说明。</x:v>
      </x:c>
      <x:c r="K9" s="144" t="str">
        <x:v>全新机器按说明安装后版本校验一致；无硬编码个人路径。</x:v>
      </x:c>
      <x:c r="L9" s="144" t="str">
        <x:v>P0</x:v>
      </x:c>
      <x:c r="M9" s="153" t="n">
        <x:v>5</x:v>
      </x:c>
      <x:c r="N9" s="144" t="str">
        <x:v>未开始</x:v>
      </x:c>
      <x:c r="O9" s="144" t="str">
        <x:v>环境搭建</x:v>
      </x:c>
      <x:c r="P9" s="144" t="str">
        <x:v>gen_bsw/Com/Com_Cfg.h:19；gen_rte/Rte.c:7-8</x:v>
      </x:c>
    </x:row>
    <x:row r="10" ht="82" customHeight="1">
      <x:c r="A10" s="144" t="str">
        <x:v>M0-05</x:v>
      </x:c>
      <x:c r="B10" s="144" t="str">
        <x:v>M0</x:v>
      </x:c>
      <x:c r="C10" s="144" t="str">
        <x:v>构建</x:v>
      </x:c>
      <x:c r="D10" s="144" t="str">
        <x:v>生成链补齐与Fail-fast</x:v>
      </x:c>
      <x:c r="E10" s="144" t="str">
        <x:v>补齐genMCAL/postGenMCAL；每步校验退出码；精确输入文件，不得“选最新文件”回退。</x:v>
      </x:c>
      <x:c r="F10" s="144" t="str">
        <x:v>build.bat调用的两个脚本缺失；ImageGen存在最新文件回退。</x:v>
      </x:c>
      <x:c r="G10" s="144" t="str">
        <x:v>MCAL工具接口、生成模板。</x:v>
      </x:c>
      <x:c r="H10" s="144" t="str">
        <x:v>东软</x:v>
      </x:c>
      <x:c r="I10" s="144" t="str">
        <x:v>M0-04</x:v>
      </x:c>
      <x:c r="J10" s="144" t="str">
        <x:v>一键generate/build/package脚本与日志规范。</x:v>
      </x:c>
      <x:c r="K10" s="144" t="str">
        <x:v>任一步缺输入/失败均非零退出；两次clean build生成物差异可解释。</x:v>
      </x:c>
      <x:c r="L10" s="144" t="str">
        <x:v>P0</x:v>
      </x:c>
      <x:c r="M10" s="153" t="n">
        <x:v>8</x:v>
      </x:c>
      <x:c r="N10" s="144" t="str">
        <x:v>未开始</x:v>
      </x:c>
      <x:c r="O10" s="144" t="str">
        <x:v>环境搭建/系统BringUp</x:v>
      </x:c>
      <x:c r="P10" s="144" t="str">
        <x:v>buildscripts/build.bat:31-49；ImageGen.py:181-203</x:v>
      </x:c>
    </x:row>
    <x:row r="11" ht="82" customHeight="1">
      <x:c r="A11" s="144" t="str">
        <x:v>M0-06</x:v>
      </x:c>
      <x:c r="B11" s="144" t="str">
        <x:v>M0</x:v>
      </x:c>
      <x:c r="C11" s="144" t="str">
        <x:v>生成配置</x:v>
      </x:c>
      <x:c r="D11" s="144" t="str">
        <x:v>旧工程路径与生成告警清零</x:v>
      </x:c>
      <x:c r="E11" s="144" t="str">
        <x:v>重建RTA工程，移除BAIC旧路径；对所有RTE warning逐项分类关闭。</x:v>
      </x:c>
      <x:c r="F11" s="144" t="str">
        <x:v>RteErr.xml约1648 warning、1881处旧coem/baic引用。</x:v>
      </x:c>
      <x:c r="G11" s="144" t="str">
        <x:v>ASW接口列表或ARXML决策。</x:v>
      </x:c>
      <x:c r="H11" s="144" t="str">
        <x:v>东软</x:v>
      </x:c>
      <x:c r="I11" s="144" t="str">
        <x:v>M0-04,M0-05</x:v>
      </x:c>
      <x:c r="J11" s="144" t="str">
        <x:v>干净生成工程、warning处置表。</x:v>
      </x:c>
      <x:c r="K11" s="144" t="str">
        <x:v>生成日志无旧项目路径；所有warning有关闭证据或批准偏差。</x:v>
      </x:c>
      <x:c r="L11" s="144" t="str">
        <x:v>P0</x:v>
      </x:c>
      <x:c r="M11" s="153" t="n">
        <x:v>8</x:v>
      </x:c>
      <x:c r="N11" s="144" t="str">
        <x:v>未开始</x:v>
      </x:c>
      <x:c r="O11" s="144" t="str">
        <x:v>NeuSAR CP配置</x:v>
      </x:c>
      <x:c r="P11" s="144" t="str">
        <x:v>coem/BYD_UKE/gen_rte/RteErr.xml</x:v>
      </x:c>
    </x:row>
    <x:row r="12" ht="82" customHeight="1">
      <x:c r="A12" s="144" t="str">
        <x:v>M0-07</x:v>
      </x:c>
      <x:c r="B12" s="144" t="str">
        <x:v>M0</x:v>
      </x:c>
      <x:c r="C12" s="144" t="str">
        <x:v>接口</x:v>
      </x:c>
      <x:c r="D12" s="144" t="str">
        <x:v>M4/RSS/算法接口包冻结</x:v>
      </x:c>
      <x:c r="E12" s="144" t="str">
        <x:v>定义镜像版本/hash、core ID、boot handshake、IPC消息、共享结构ABI、内存所有权、超时、缓存、endianness、升级兼容。</x:v>
      </x:c>
      <x:c r="F12" s="144" t="str">
        <x:v>M4为预编译xem4；现有pre-start两次只发同一0x11字节。</x:v>
      </x:c>
      <x:c r="G12" s="144" t="str">
        <x:v>甲方M4源码/二进制、公共头文件、golden数据。</x:v>
      </x:c>
      <x:c r="H12" s="144" t="str">
        <x:v>双方</x:v>
      </x:c>
      <x:c r="I12" s="144" t="str">
        <x:v>M0-02</x:v>
      </x:c>
      <x:c r="J12" s="144" t="str">
        <x:v>版本化ICD、sizeof/offsetof、序列图、兼容矩阵。</x:v>
      </x:c>
      <x:c r="K12" s="144" t="str">
        <x:v>双方编译期static assert通过；错误版本/超时/乱序有确定响应。</x:v>
      </x:c>
      <x:c r="L12" s="144" t="str">
        <x:v>P0</x:v>
      </x:c>
      <x:c r="M12" s="153" t="n">
        <x:v>8</x:v>
      </x:c>
      <x:c r="N12" s="144" t="str">
        <x:v>未开始</x:v>
      </x:c>
      <x:c r="O12" s="144" t="str">
        <x:v>T1 mmWave/IPC</x:v>
      </x:c>
      <x:c r="P12" s="144" t="str">
        <x:v>SConstruct:276-285；mmwave/mmw_main.c:1179-1197</x:v>
      </x:c>
    </x:row>
    <x:row r="13" ht="82" customHeight="1">
      <x:c r="A13" s="144" t="str">
        <x:v>M0-08</x:v>
      </x:c>
      <x:c r="B13" s="144" t="str">
        <x:v>M0</x:v>
      </x:c>
      <x:c r="C13" s="144" t="str">
        <x:v>RF</x:v>
      </x:c>
      <x:c r="D13" s="144" t="str">
        <x:v>RF参数与真实行为冻结</x:v>
      </x:c>
      <x:c r="E13" s="144" t="str">
        <x:v>用量产ECU抓取并冻结profile/chirp/frame/subframe/采样/Tx/Rx/时间片；关闭continuous与advanced-frame等矛盾。</x:v>
      </x:c>
      <x:c r="F13" s="144" t="str">
        <x:v>源码存在连续模式、advanced frame、2/4 subframe和profile参数冲突。</x:v>
      </x:c>
      <x:c r="G13" s="144" t="str">
        <x:v>量产ECU、频谱仪/采集工具、正式RF参数表。</x:v>
      </x:c>
      <x:c r="H13" s="144" t="str">
        <x:v>我方/验证组</x:v>
      </x:c>
      <x:c r="I13" s="144" t="str">
        <x:v>M0-02</x:v>
      </x:c>
      <x:c r="J13" s="144" t="str">
        <x:v>签署RF唯一真值表、抓测报告。</x:v>
      </x:c>
      <x:c r="K13" s="144" t="str">
        <x:v>实际下发/频谱测量与参数表一致；所有源码矛盾有结论。</x:v>
      </x:c>
      <x:c r="L13" s="144" t="str">
        <x:v>P0</x:v>
      </x:c>
      <x:c r="M13" s="153" t="n">
        <x:v>8</x:v>
      </x:c>
      <x:c r="N13" s="144" t="str">
        <x:v>未开始</x:v>
      </x:c>
      <x:c r="O13" s="144" t="str">
        <x:v>T1 mmWaveLink</x:v>
      </x:c>
      <x:c r="P13" s="144" t="str">
        <x:v>mmw_cli.c:140-177；mmwave_link_common.c:11667-11672</x:v>
      </x:c>
    </x:row>
    <x:row r="14" ht="82" customHeight="1">
      <x:c r="A14" s="144" t="str">
        <x:v>M0-09</x:v>
      </x:c>
      <x:c r="B14" s="144" t="str">
        <x:v>M0</x:v>
      </x:c>
      <x:c r="C14" s="144" t="str">
        <x:v>通信诊断</x:v>
      </x:c>
      <x:c r="D14" s="144" t="str">
        <x:v>DBC/诊断/NvM需求包冻结</x:v>
      </x:c>
      <x:c r="E14" s="144" t="str">
        <x:v>DBC/ARXML、E2E、网络管理、DID/DTC/Routine、安全访问、NvM数据字典形成版本化输入。</x:v>
      </x:c>
      <x:c r="F14" s="144" t="str">
        <x:v>QA中仍有DID长度、DEM去抖/老化、Fee地址、WdgM等阻塞问题。</x:v>
      </x:c>
      <x:c r="G14" s="144" t="str">
        <x:v>OEM规范、诊断Excel、DBC、block owner。</x:v>
      </x:c>
      <x:c r="H14" s="144" t="str">
        <x:v>我方</x:v>
      </x:c>
      <x:c r="I14" s="144" t="str">
        <x:v>M0-01</x:v>
      </x:c>
      <x:c r="J14" s="144" t="str">
        <x:v>输入包、差异清单、QA关闭记录。</x:v>
      </x:c>
      <x:c r="K14" s="144" t="str">
        <x:v>每个配置项有来源、owner、版本和验收方法；阻塞项不得默认拍板。</x:v>
      </x:c>
      <x:c r="L14" s="144" t="str">
        <x:v>P0</x:v>
      </x:c>
      <x:c r="M14" s="153" t="n">
        <x:v>10</x:v>
      </x:c>
      <x:c r="N14" s="144" t="str">
        <x:v>未开始</x:v>
      </x:c>
      <x:c r="O14" s="144" t="str">
        <x:v>需求解析</x:v>
      </x:c>
      <x:c r="P14" s="144" t="str">
        <x:v>附件问题清单List: QA 7-51</x:v>
      </x:c>
    </x:row>
    <x:row r="15" ht="82" customHeight="1">
      <x:c r="A15" s="144" t="str">
        <x:v>M0-10</x:v>
      </x:c>
      <x:c r="B15" s="144" t="str">
        <x:v>M0</x:v>
      </x:c>
      <x:c r="C15" s="144" t="str">
        <x:v>验证</x:v>
      </x:c>
      <x:c r="D15" s="144" t="str">
        <x:v>黑盒Golden基线</x:v>
      </x:c>
      <x:c r="E15" s="144" t="str">
        <x:v>在参考ECU采集启动、RF、IPC、CAN、诊断、休眠/唤醒、故障与功耗轨迹，作为独立验证输入。</x:v>
      </x:c>
      <x:c r="F15" s="144" t="str">
        <x:v>现有源码存在矛盾，代码本身不是唯一量产真值。</x:v>
      </x:c>
      <x:c r="G15" s="144" t="str">
        <x:v>参考ECU与台架。</x:v>
      </x:c>
      <x:c r="H15" s="144" t="str">
        <x:v>独立验证组</x:v>
      </x:c>
      <x:c r="I15" s="144" t="str">
        <x:v>M0-01,M0-02</x:v>
      </x:c>
      <x:c r="J15" s="144" t="str">
        <x:v>可重复测试脚本、trace、容差与判定规则。</x:v>
      </x:c>
      <x:c r="K15" s="144" t="str">
        <x:v>同一用例重复结果稳定；实现组仅看到中立输入/输出。</x:v>
      </x:c>
      <x:c r="L15" s="144" t="str">
        <x:v>P0</x:v>
      </x:c>
      <x:c r="M15" s="153" t="n">
        <x:v>10</x:v>
      </x:c>
      <x:c r="N15" s="144" t="str">
        <x:v>未开始</x:v>
      </x:c>
      <x:c r="O15" s="144" t="str">
        <x:v>原计划缺失</x:v>
      </x:c>
      <x:c r="P15" s="144" t="str">
        <x:v>工程取证交叉验证结论</x:v>
      </x:c>
    </x:row>
    <x:row r="16" ht="82" customHeight="1">
      <x:c r="A16" s="144" t="str">
        <x:v>M0-11</x:v>
      </x:c>
      <x:c r="B16" s="144" t="str">
        <x:v>M0</x:v>
      </x:c>
      <x:c r="C16" s="144" t="str">
        <x:v>项目管理</x:v>
      </x:c>
      <x:c r="D16" s="144" t="str">
        <x:v>RTM与配置差异机制</x:v>
      </x:c>
      <x:c r="E16" s="144" t="str">
        <x:v>建立需求→ARXML/配置→生成物→代码→测试双向追踪；设置自动配置diff和变更审批。</x:v>
      </x:c>
      <x:c r="F16" s="144" t="str">
        <x:v>原计划交付物缺少RTM与配置差异报告。</x:v>
      </x:c>
      <x:c r="G16" s="144" t="str">
        <x:v>需求ID规则、基线仓库。</x:v>
      </x:c>
      <x:c r="H16" s="144" t="str">
        <x:v>东软</x:v>
      </x:c>
      <x:c r="I16" s="144" t="str">
        <x:v>M0-09</x:v>
      </x:c>
      <x:c r="J16" s="144" t="str">
        <x:v>RTM、diff工具、变更模板。</x:v>
      </x:c>
      <x:c r="K16" s="144" t="str">
        <x:v>抽样需求可双向追溯；未经批准的生成物差异为零。</x:v>
      </x:c>
      <x:c r="L16" s="144" t="str">
        <x:v>P1</x:v>
      </x:c>
      <x:c r="M16" s="153" t="n">
        <x:v>5</x:v>
      </x:c>
      <x:c r="N16" s="144" t="str">
        <x:v>未开始</x:v>
      </x:c>
      <x:c r="O16" s="144" t="str">
        <x:v>版本交付</x:v>
      </x:c>
      <x:c r="P16" s="144" t="str">
        <x:v>全工程配置/生成物</x:v>
      </x:c>
    </x:row>
    <x:row r="17" ht="82" customHeight="1">
      <x:c r="A17" s="144" t="str">
        <x:v>M0-12</x:v>
      </x:c>
      <x:c r="B17" s="144" t="str">
        <x:v>M0</x:v>
      </x:c>
      <x:c r="C17" s="144" t="str">
        <x:v>计划门禁</x:v>
      </x:c>
      <x:c r="D17" s="144" t="str">
        <x:v>P0 Gate Review</x:v>
      </x:c>
      <x:c r="E17" s="144" t="str">
        <x:v>逐项关闭工具、输入、接口、RF、合规和待决问题；冻结M1范围与量化指标。</x:v>
      </x:c>
      <x:c r="F17" s="144" t="str">
        <x:v>原T1直接从需求解析进入配置，缺少可开发门。</x:v>
      </x:c>
      <x:c r="G17" s="144" t="str">
        <x:v>M0全部交付物。</x:v>
      </x:c>
      <x:c r="H17" s="144" t="str">
        <x:v>双方</x:v>
      </x:c>
      <x:c r="I17" s="144" t="str">
        <x:v>M0-01..11</x:v>
      </x:c>
      <x:c r="J17" s="144" t="str">
        <x:v>Gate评审纪要和签署基线。</x:v>
      </x:c>
      <x:c r="K17" s="144" t="str">
        <x:v>P0项全关闭或有批准偏差、责任人和关闭日期。</x:v>
      </x:c>
      <x:c r="L17" s="144" t="str">
        <x:v>P0</x:v>
      </x:c>
      <x:c r="M17" s="153" t="n">
        <x:v>2</x:v>
      </x:c>
      <x:c r="N17" s="144" t="str">
        <x:v>未开始</x:v>
      </x:c>
      <x:c r="O17" s="144" t="str">
        <x:v>原计划缺失</x:v>
      </x:c>
      <x:c r="P17" s="144" t="str">
        <x:v>本评审结论</x:v>
      </x:c>
    </x:row>
    <x:row r="18" ht="82" customHeight="1">
      <x:c r="A18" s="144" t="str">
        <x:v>M1-01</x:v>
      </x:c>
      <x:c r="B18" s="144" t="str">
        <x:v>M1</x:v>
      </x:c>
      <x:c r="C18" s="144" t="str">
        <x:v>构建/镜像</x:v>
      </x:c>
      <x:c r="D18" s="144" t="str">
        <x:v>三核镜像生成链</x:v>
      </x:c>
      <x:c r="E18" s="144" t="str">
        <x:v>固定R5@0、M4@2、RadarSS@3的输入、header、CRC、对齐、文件名与hash。</x:v>
      </x:c>
      <x:c r="F18" s="144" t="str">
        <x:v>最终镜像实际由MSS R5、M4、RadarSS合成。</x:v>
      </x:c>
      <x:c r="G18" s="144" t="str">
        <x:v>M0 manifest、合法M4/RSS镜像。</x:v>
      </x:c>
      <x:c r="H18" s="144" t="str">
        <x:v>东软</x:v>
      </x:c>
      <x:c r="I18" s="144" t="str">
        <x:v>M0-05,M0-07</x:v>
      </x:c>
      <x:c r="J18" s="144" t="str">
        <x:v>ELF/HEX/XEM4/RSS BIN/appimage/map/manifest。</x:v>
      </x:c>
      <x:c r="K18" s="144" t="str">
        <x:v>两次clean build可追溯；镜像核ID、CRC、大小、地址正确。</x:v>
      </x:c>
      <x:c r="L18" s="144" t="str">
        <x:v>P0</x:v>
      </x:c>
      <x:c r="M18" s="153" t="n">
        <x:v>6</x:v>
      </x:c>
      <x:c r="N18" s="144" t="str">
        <x:v>未开始</x:v>
      </x:c>
      <x:c r="O18" s="144" t="str">
        <x:v>集成编译工程</x:v>
      </x:c>
      <x:c r="P18" s="144" t="str">
        <x:v>tools/ImageGen/ImageGen.py:388-406</x:v>
      </x:c>
    </x:row>
    <x:row r="19" ht="82" customHeight="1">
      <x:c r="A19" s="144" t="str">
        <x:v>M1-02</x:v>
      </x:c>
      <x:c r="B19" s="144" t="str">
        <x:v>M1</x:v>
      </x:c>
      <x:c r="C19" s="144" t="str">
        <x:v>启动/内存</x:v>
      </x:c>
      <x:c r="D19" s="144" t="str">
        <x:v>Reset与启动链</x:v>
      </x:c>
      <x:c r="E19" s="144" t="str">
        <x:v>实现R5 reset/vector、Mcu/clock/RAM、EcuM DriverInit、StartupTwo、OS启动和异常trap。</x:v>
      </x:c>
      <x:c r="F19" s="144" t="str">
        <x:v>现工程EcuM按Mcu/Gpt/Port/Can/Spi/Fls/IPC等顺序初始化。</x:v>
      </x:c>
      <x:c r="G19" s="144" t="str">
        <x:v>原理图、clock tree、复位需求。</x:v>
      </x:c>
      <x:c r="H19" s="144" t="str">
        <x:v>东软</x:v>
      </x:c>
      <x:c r="I19" s="144" t="str">
        <x:v>M1-01</x:v>
      </x:c>
      <x:c r="J19" s="144" t="str">
        <x:v>startup、EcuM callout、启动时序图。</x:v>
      </x:c>
      <x:c r="K19" s="144" t="str">
        <x:v>冷/热/欠压复位均进入预期状态，无未解释DET/OS Error。</x:v>
      </x:c>
      <x:c r="L19" s="144" t="str">
        <x:v>P0</x:v>
      </x:c>
      <x:c r="M19" s="153" t="n">
        <x:v>8</x:v>
      </x:c>
      <x:c r="N19" s="144" t="str">
        <x:v>未开始</x:v>
      </x:c>
      <x:c r="O19" s="144" t="str">
        <x:v>环境搭建/系统BringUp</x:v>
      </x:c>
      <x:c r="P19" s="144" t="str">
        <x:v>EcuM_Callout_Stubs.c:515-586</x:v>
      </x:c>
    </x:row>
    <x:row r="20" ht="82" customHeight="1">
      <x:c r="A20" s="144" t="str">
        <x:v>M1-03</x:v>
      </x:c>
      <x:c r="B20" s="144" t="str">
        <x:v>M1</x:v>
      </x:c>
      <x:c r="C20" s="144" t="str">
        <x:v>内存</x:v>
      </x:c>
      <x:c r="D20" s="144" t="str">
        <x:v>Linker/MPU/共享内存冻结</x:v>
      </x:c>
      <x:c r="E20" s="144" t="str">
        <x:v>冻结TCMA/B、L2/L3、M4保留、Mailbox、shared_mem、算法heap；设置non-cacheable/shareable属性。</x:v>
      </x:c>
      <x:c r="F20" s="144" t="str">
        <x:v>shared_mem 0x88180F00/0x1000；gheapSigL3 0x88181F00/0x1E000；Mailbox 0xC5000200。</x:v>
      </x:c>
      <x:c r="G20" s="144" t="str">
        <x:v>M4/算法内存需求。</x:v>
      </x:c>
      <x:c r="H20" s="144" t="str">
        <x:v>东软</x:v>
      </x:c>
      <x:c r="I20" s="144" t="str">
        <x:v>M0-07,M1-01</x:v>
      </x:c>
      <x:c r="J20" s="144" t="str">
        <x:v>linker、MPU配置、map审计和余量表。</x:v>
      </x:c>
      <x:c r="K20" s="144" t="str">
        <x:v>无重叠/越界；共享区属性一致；运行期内存保护异常可定位。</x:v>
      </x:c>
      <x:c r="L20" s="144" t="str">
        <x:v>P0</x:v>
      </x:c>
      <x:c r="M20" s="153" t="n">
        <x:v>7</x:v>
      </x:c>
      <x:c r="N20" s="144" t="str">
        <x:v>未开始</x:v>
      </x:c>
      <x:c r="O20" s="144" t="str">
        <x:v>eDMA/共享内存</x:v>
      </x:c>
      <x:c r="P20" s="144" t="str">
        <x:v>TPR12_MCU_LS.lds:25-48,164-171；ti_dpl_config.c:156-183</x:v>
      </x:c>
    </x:row>
    <x:row r="21" ht="82" customHeight="1">
      <x:c r="A21" s="144" t="str">
        <x:v>M1-04</x:v>
      </x:c>
      <x:c r="B21" s="144" t="str">
        <x:v>M1</x:v>
      </x:c>
      <x:c r="C21" s="144" t="str">
        <x:v>MCAL</x:v>
      </x:c>
      <x:c r="D21" s="144" t="str">
        <x:v>Mcu/Port/Dio/Gpt基础配置</x:v>
      </x:c>
      <x:c r="E21" s="144" t="str">
        <x:v>配置40MHz晶振/DPLL、43 pin、GPIO/电源/CAN/QSPI/SPI、GPT OS/看门狗通道。</x:v>
      </x:c>
      <x:c r="F21" s="144" t="str">
        <x:v>生成配置含20 clock consumer、43 pin、2 GPT连续通道。</x:v>
      </x:c>
      <x:c r="G21" s="144" t="str">
        <x:v>Pin map、时钟、电平/上下电要求。</x:v>
      </x:c>
      <x:c r="H21" s="144" t="str">
        <x:v>东软</x:v>
      </x:c>
      <x:c r="I21" s="144" t="str">
        <x:v>M1-02</x:v>
      </x:c>
      <x:c r="J21" s="144" t="str">
        <x:v>可编辑MCAL配置、寄存器golden、板级测试。</x:v>
      </x:c>
      <x:c r="K21" s="144" t="str">
        <x:v>实测频率/Pin电平/时序与矩阵一致；预留Pin不误驱动。</x:v>
      </x:c>
      <x:c r="L21" s="144" t="str">
        <x:v>P0</x:v>
      </x:c>
      <x:c r="M21" s="153" t="n">
        <x:v>8</x:v>
      </x:c>
      <x:c r="N21" s="144" t="str">
        <x:v>未开始</x:v>
      </x:c>
      <x:c r="O21" s="144" t="str">
        <x:v>MCAL配置</x:v>
      </x:c>
      <x:c r="P21" s="144" t="str">
        <x:v>Mcu_PBcfg_awr2e44p.c:81-290；Port_PBcfg_awr2e44p.c:67-1333</x:v>
      </x:c>
    </x:row>
    <x:row r="22" ht="82" customHeight="1">
      <x:c r="A22" s="144" t="str">
        <x:v>M1-05</x:v>
      </x:c>
      <x:c r="B22" s="144" t="str">
        <x:v>M1</x:v>
      </x:c>
      <x:c r="C22" s="144" t="str">
        <x:v>MCAL</x:v>
      </x:c>
      <x:c r="D22" s="144" t="str">
        <x:v>CAN/CANFD最小驱动</x:v>
      </x:c>
      <x:c r="E22" s="144" t="str">
        <x:v>两路MCAN默认500k/2M，配置中断/mailbox/auto wake；完成最小Tx/Rx。</x:v>
      </x:c>
      <x:c r="F22" s="144" t="str">
        <x:v>工程另支持1M/5M；auto retransmission关闭。</x:v>
      </x:c>
      <x:c r="G22" s="144" t="str">
        <x:v>收发器控制、最小DBC、终端/网络环境。</x:v>
      </x:c>
      <x:c r="H22" s="144" t="str">
        <x:v>东软</x:v>
      </x:c>
      <x:c r="I22" s="144" t="str">
        <x:v>M1-04</x:v>
      </x:c>
      <x:c r="J22" s="144" t="str">
        <x:v>Can MCAL配置、loopback/总线日志。</x:v>
      </x:c>
      <x:c r="K22" s="144" t="str">
        <x:v>两控制器500k/2M稳定收发；错误DLC/Bus-Off可观测并恢复。</x:v>
      </x:c>
      <x:c r="L22" s="144" t="str">
        <x:v>P0</x:v>
      </x:c>
      <x:c r="M22" s="153" t="n">
        <x:v>6</x:v>
      </x:c>
      <x:c r="N22" s="144" t="str">
        <x:v>未开始</x:v>
      </x:c>
      <x:c r="O22" s="144" t="str">
        <x:v>MCAL CAN</x:v>
      </x:c>
      <x:c r="P22" s="144" t="str">
        <x:v>gen_mcal/src/Can_PBcfg.c:69-223,1684-1695</x:v>
      </x:c>
    </x:row>
    <x:row r="23" ht="82" customHeight="1">
      <x:c r="A23" s="144" t="str">
        <x:v>M1-06</x:v>
      </x:c>
      <x:c r="B23" s="144" t="str">
        <x:v>M1</x:v>
      </x:c>
      <x:c r="C23" s="144" t="str">
        <x:v>MCAL</x:v>
      </x:c>
      <x:c r="D23" s="144" t="str">
        <x:v>SPI/PMIC/TCAN基础链</x:v>
      </x:c>
      <x:c r="E23" s="144" t="str">
        <x:v>配置MIBSPI1 CS0 mode0 8bit并完成LP87745/TCAN1043基础控制。</x:v>
      </x:c>
      <x:c r="F23" s="144" t="str">
        <x:v>现SPI为EB、无DMA、最大100字节。</x:v>
      </x:c>
      <x:c r="G23" s="144" t="str">
        <x:v>LP87745/TCAN1043手册和CDD接口。</x:v>
      </x:c>
      <x:c r="H23" s="144" t="str">
        <x:v>东软</x:v>
      </x:c>
      <x:c r="I23" s="144" t="str">
        <x:v>M1-04</x:v>
      </x:c>
      <x:c r="J23" s="144" t="str">
        <x:v>SPI配置、CDD适配、上电/故障日志。</x:v>
      </x:c>
      <x:c r="K23" s="144" t="str">
        <x:v>寄存器读写正确；早/晚CS、CRC/超时和掉线有错误处理。</x:v>
      </x:c>
      <x:c r="L23" s="144" t="str">
        <x:v>P0</x:v>
      </x:c>
      <x:c r="M23" s="153" t="n">
        <x:v>6</x:v>
      </x:c>
      <x:c r="N23" s="144" t="str">
        <x:v>未开始</x:v>
      </x:c>
      <x:c r="O23" s="144" t="str">
        <x:v>SBC联调</x:v>
      </x:c>
      <x:c r="P23" s="144" t="str">
        <x:v>Spi_PBCfg.c:68-147</x:v>
      </x:c>
    </x:row>
    <x:row r="24" ht="82" customHeight="1">
      <x:c r="A24" s="144" t="str">
        <x:v>M1-07</x:v>
      </x:c>
      <x:c r="B24" s="144" t="str">
        <x:v>M1</x:v>
      </x:c>
      <x:c r="C24" s="144" t="str">
        <x:v>MCAL</x:v>
      </x:c>
      <x:c r="D24" s="144" t="str">
        <x:v>Fls最小访问与rbBlock</x:v>
      </x:c>
      <x:c r="E24" s="144" t="str">
        <x:v>集成QSPI/Fls，为CUDA/CLDA/rbBlock和后续Fee提供读/擦/写/compare。</x:v>
      </x:c>
      <x:c r="F24" s="144" t="str">
        <x:v>Fls单4MiB sector模型、page 8、max read/write 768；QSPI base 0xC8000000。</x:v>
      </x:c>
      <x:c r="G24" s="144" t="str">
        <x:v>W25Q32器件参数、烧录边界。</x:v>
      </x:c>
      <x:c r="H24" s="144" t="str">
        <x:v>东软</x:v>
      </x:c>
      <x:c r="I24" s="144" t="str">
        <x:v>M1-04</x:v>
      </x:c>
      <x:c r="J24" s="144" t="str">
        <x:v>Fls配置、访问测试、地址窗口说明。</x:v>
      </x:c>
      <x:c r="K24" s="144" t="str">
        <x:v>边界/对齐/blank/compare通过；非法地址拒绝；解释4MiB与1GiB宏口径。</x:v>
      </x:c>
      <x:c r="L24" s="144" t="str">
        <x:v>P0</x:v>
      </x:c>
      <x:c r="M24" s="153" t="n">
        <x:v>6</x:v>
      </x:c>
      <x:c r="N24" s="144" t="str">
        <x:v>未开始</x:v>
      </x:c>
      <x:c r="O24" s="144" t="str">
        <x:v>Fls最小闭环</x:v>
      </x:c>
      <x:c r="P24" s="144" t="str">
        <x:v>Fls_PBcfg.c:63-81；Fls_Cfg.h:95-155</x:v>
      </x:c>
    </x:row>
    <x:row r="25" ht="82" customHeight="1">
      <x:c r="A25" s="144" t="str">
        <x:v>M1-08</x:v>
      </x:c>
      <x:c r="B25" s="144" t="str">
        <x:v>M1</x:v>
      </x:c>
      <x:c r="C25" s="144" t="str">
        <x:v>OS</x:v>
      </x:c>
      <x:c r="D25" s="144" t="str">
        <x:v>SC1任务/ISR与节拍</x:v>
      </x:c>
      <x:c r="E25" s="144" t="str">
        <x:v>配置10个BCC2 Basic Task、14 Cat2+3 Cat1 ISR、10ms schedule table；明确1ms GPT与10ms RTE tick关系。</x:v>
      </x:c>
      <x:c r="F25" s="144" t="str">
        <x:v>现任务栈预算为空；TriggerWave激活点可疑。</x:v>
      </x:c>
      <x:c r="G25" s="144" t="str">
        <x:v>任务/中断表、M4/RF调度需求。</x:v>
      </x:c>
      <x:c r="H25" s="144" t="str">
        <x:v>东软</x:v>
      </x:c>
      <x:c r="I25" s="144" t="str">
        <x:v>M1-02,M1-04</x:v>
      </x:c>
      <x:c r="J25" s="144" t="str">
        <x:v>OS配置、优先级/激活/栈/WCET预算、trace。</x:v>
      </x:c>
      <x:c r="K25" s="144" t="str">
        <x:v>1/10/20/66/100ms周期和jitter满足冻结指标；无丢激活/优先级反转。</x:v>
      </x:c>
      <x:c r="L25" s="144" t="str">
        <x:v>P0</x:v>
      </x:c>
      <x:c r="M25" s="153" t="n">
        <x:v>8</x:v>
      </x:c>
      <x:c r="N25" s="144" t="str">
        <x:v>未开始</x:v>
      </x:c>
      <x:c r="O25" s="144" t="str">
        <x:v>OS SC1/Task调度</x:v>
      </x:c>
      <x:c r="P25" s="144" t="str">
        <x:v>Configuration Summary.txt:524-600；Rte_Const.h:45</x:v>
      </x:c>
    </x:row>
    <x:row r="26" ht="82" customHeight="1">
      <x:c r="A26" s="144" t="str">
        <x:v>M1-09</x:v>
      </x:c>
      <x:c r="B26" s="144" t="str">
        <x:v>M1</x:v>
      </x:c>
      <x:c r="C26" s="144" t="str">
        <x:v>RTE/SchM</x:v>
      </x:c>
      <x:c r="D26" s="144" t="str">
        <x:v>手工接口合同与Stub</x:v>
      </x:c>
      <x:c r="E26" s="144" t="str">
        <x:v>无ASW ARXML情况下，不承诺自动Map；建立BSW服务、SchM、任务入口、数据接口、错误码和线程上下文。</x:v>
      </x:c>
      <x:c r="F26" s="144" t="str">
        <x:v>附件同时写“无ARXML”和“生成RTE骨架”，存在边界冲突。</x:v>
      </x:c>
      <x:c r="G26" s="144" t="str">
        <x:v>甲方ASW接口列表、调用时序。</x:v>
      </x:c>
      <x:c r="H26" s="144" t="str">
        <x:v>双方</x:v>
      </x:c>
      <x:c r="I26" s="144" t="str">
        <x:v>M0-06,M0-07,M1-08</x:v>
      </x:c>
      <x:c r="J26" s="144" t="str">
        <x:v>ICD、公共头文件、Stub、mapping表。</x:v>
      </x:c>
      <x:c r="K26" s="144" t="str">
        <x:v>接口逐项编译/单测；无隐式旧项目mapping；重入/上下文/超时明确。</x:v>
      </x:c>
      <x:c r="L26" s="144" t="str">
        <x:v>P0</x:v>
      </x:c>
      <x:c r="M26" s="153" t="n">
        <x:v>8</x:v>
      </x:c>
      <x:c r="N26" s="144" t="str">
        <x:v>未开始</x:v>
      </x:c>
      <x:c r="O26" s="144" t="str">
        <x:v>RTE骨架/ASW Stub</x:v>
      </x:c>
      <x:c r="P26" s="144" t="str">
        <x:v>问题清单QA7；gen_rte/RteErr.xml</x:v>
      </x:c>
    </x:row>
    <x:row r="27" ht="82" customHeight="1">
      <x:c r="A27" s="144" t="str">
        <x:v>M1-10</x:v>
      </x:c>
      <x:c r="B27" s="144" t="str">
        <x:v>M1</x:v>
      </x:c>
      <x:c r="C27" s="144" t="str">
        <x:v>EcuM/BswM</x:v>
      </x:c>
      <x:c r="D27" s="144" t="str">
        <x:v>最小生命周期</x:v>
      </x:c>
      <x:c r="E27" s="144" t="str">
        <x:v>实现StartupTwo→CDD/Fee/NvM/ReadAll→Run；最小FullCom；PrepareShutdown/复位路径可观测。</x:v>
      </x:c>
      <x:c r="F27" s="144" t="str">
        <x:v>现BswM有23规则、24 action list，ReadAll在启动链中。</x:v>
      </x:c>
      <x:c r="G27" s="144" t="str">
        <x:v>启动/下电/复位策略。</x:v>
      </x:c>
      <x:c r="H27" s="144" t="str">
        <x:v>东软</x:v>
      </x:c>
      <x:c r="I27" s="144" t="str">
        <x:v>M1-02,M1-08</x:v>
      </x:c>
      <x:c r="J27" s="144" t="str">
        <x:v>EcuM/BswM配置、状态图和trace。</x:v>
      </x:c>
      <x:c r="K27" s="144" t="str">
        <x:v>ReadAll完成前不启动依赖标定的雷达；复位不绕过NvM/DEM收尾。</x:v>
      </x:c>
      <x:c r="L27" s="144" t="str">
        <x:v>P0</x:v>
      </x:c>
      <x:c r="M27" s="153" t="n">
        <x:v>7</x:v>
      </x:c>
      <x:c r="N27" s="144" t="str">
        <x:v>未开始</x:v>
      </x:c>
      <x:c r="O27" s="144" t="str">
        <x:v>EcuM/BswM</x:v>
      </x:c>
      <x:c r="P27" s="144" t="str">
        <x:v>BswM_PBcfg.c:115-255,917-2214</x:v>
      </x:c>
    </x:row>
    <x:row r="28" ht="82" customHeight="1">
      <x:c r="A28" s="144" t="str">
        <x:v>M1-11</x:v>
      </x:c>
      <x:c r="B28" s="144" t="str">
        <x:v>M1</x:v>
      </x:c>
      <x:c r="C28" s="144" t="str">
        <x:v>工厂数据</x:v>
      </x:c>
      <x:c r="D28" s="144" t="str">
        <x:v>CUDA/CLDA数据链</x:v>
      </x:c>
      <x:c r="E28" s="144" t="str">
        <x:v>实现CUDA 0x320000/64KiB、CLDA 0x330000/64KiB的读取、校验、位置/variant选择、默认/损坏策略。</x:v>
      </x:c>
      <x:c r="F28" s="144" t="str">
        <x:v>CUDA含EgoCar/RadarPos/CalibInput；CLDA子块2048/1212/1172；失败则不启动雷达。</x:v>
      </x:c>
      <x:c r="G28" s="144" t="str">
        <x:v>合法样本、schema、CRC/保护和烧录工具。</x:v>
      </x:c>
      <x:c r="H28" s="144" t="str">
        <x:v>双方</x:v>
      </x:c>
      <x:c r="I28" s="144" t="str">
        <x:v>M1-07,M1-10</x:v>
      </x:c>
      <x:c r="J28" s="144" t="str">
        <x:v>数据字典、生成/烧录工具、读取接口与故障码。</x:v>
      </x:c>
      <x:c r="K28" s="144" t="str">
        <x:v>逐块合法/损坏/缺失注入；错误时禁止发波并报告；四位置选择正确。</x:v>
      </x:c>
      <x:c r="L28" s="144" t="str">
        <x:v>P0</x:v>
      </x:c>
      <x:c r="M28" s="153" t="n">
        <x:v>8</x:v>
      </x:c>
      <x:c r="N28" s="144" t="str">
        <x:v>未开始</x:v>
      </x:c>
      <x:c r="O28" s="144" t="str">
        <x:v>原T1未列</x:v>
      </x:c>
      <x:c r="P28" s="144" t="str">
        <x:v>rbBlock.h:45-50；rbBlock.c:34-40；ReadCUDA2Asw.c:31-97</x:v>
      </x:c>
    </x:row>
    <x:row r="29" ht="82" customHeight="1">
      <x:c r="A29" s="144" t="str">
        <x:v>M1-12</x:v>
      </x:c>
      <x:c r="B29" s="144" t="str">
        <x:v>M1</x:v>
      </x:c>
      <x:c r="C29" s="144" t="str">
        <x:v>多核</x:v>
      </x:c>
      <x:c r="D29" s="144" t="str">
        <x:v>M4/RSS启动握手</x:v>
      </x:c>
      <x:c r="E29" s="144" t="str">
        <x:v>实现mmWave FULL init/sync、MSS/M4 boot bits、超时、复位和降级；禁止无界循环。</x:v>
      </x:c>
      <x:c r="F29" s="144" t="str">
        <x:v>当前M4同步和DPM ACK均有busy-wait无timeout。</x:v>
      </x:c>
      <x:c r="G29" s="144" t="str">
        <x:v>M0-07 ICD、RSS API。</x:v>
      </x:c>
      <x:c r="H29" s="144" t="str">
        <x:v>东软</x:v>
      </x:c>
      <x:c r="I29" s="144" t="str">
        <x:v>M1-01,M1-03</x:v>
      </x:c>
      <x:c r="J29" s="144" t="str">
        <x:v>启动状态机、timeout/DEM矩阵、trace。</x:v>
      </x:c>
      <x:c r="K29" s="144" t="str">
        <x:v>对端缺失/晚到/重启时无死锁；可诊断、可恢复或安全降级。</x:v>
      </x:c>
      <x:c r="L29" s="144" t="str">
        <x:v>P0</x:v>
      </x:c>
      <x:c r="M29" s="153" t="n">
        <x:v>7</x:v>
      </x:c>
      <x:c r="N29" s="144" t="str">
        <x:v>未开始</x:v>
      </x:c>
      <x:c r="O29" s="144" t="str">
        <x:v>Mailbox/IPC</x:v>
      </x:c>
      <x:c r="P29" s="144" t="str">
        <x:v>mmw_main.c:2724-2807,1194-1196</x:v>
      </x:c>
    </x:row>
    <x:row r="30" ht="82" customHeight="1">
      <x:c r="A30" s="144" t="str">
        <x:v>M1-13</x:v>
      </x:c>
      <x:c r="B30" s="144" t="str">
        <x:v>M1</x:v>
      </x:c>
      <x:c r="C30" s="144" t="str">
        <x:v>IPC</x:v>
      </x:c>
      <x:c r="D30" s="144" t="str">
        <x:v>Mailbox协议0x10/0x11/0x12</x:v>
      </x:c>
      <x:c r="E30" s="144" t="str">
        <x:v>实现chirp start/stop、frame complete、ACK的长度、字段、序号、CRC/版本、超时、乱序/重复处理。</x:v>
      </x:c>
      <x:c r="F30" s="144" t="str">
        <x:v>现0x10携CFAR/wave/interference，0x11锁存输入，0x12清状态。</x:v>
      </x:c>
      <x:c r="G30" s="144" t="str">
        <x:v>M4 ICD、公共头文件。</x:v>
      </x:c>
      <x:c r="H30" s="144" t="str">
        <x:v>双方</x:v>
      </x:c>
      <x:c r="I30" s="144" t="str">
        <x:v>M0-07,M1-12</x:v>
      </x:c>
      <x:c r="J30" s="144" t="str">
        <x:v>IPC ICD、序列图、异常用例和统计接口。</x:v>
      </x:c>
      <x:c r="K30" s="144" t="str">
        <x:v>正常时序一致；丢/乱序/重复/洪泛不死锁、不污染下一帧。</x:v>
      </x:c>
      <x:c r="L30" s="144" t="str">
        <x:v>P0</x:v>
      </x:c>
      <x:c r="M30" s="153" t="n">
        <x:v>8</x:v>
      </x:c>
      <x:c r="N30" s="144" t="str">
        <x:v>未开始</x:v>
      </x:c>
      <x:c r="O30" s="144" t="str">
        <x:v>Mailbox/IPC</x:v>
      </x:c>
      <x:c r="P30" s="144" t="str">
        <x:v>rte/OsTask_MMW.c:93-139</x:v>
      </x:c>
    </x:row>
    <x:row r="31" ht="82" customHeight="1">
      <x:c r="A31" s="144" t="str">
        <x:v>M1-14</x:v>
      </x:c>
      <x:c r="B31" s="144" t="str">
        <x:v>M1</x:v>
      </x:c>
      <x:c r="C31" s="144" t="str">
        <x:v>共享内存</x:v>
      </x:c>
      <x:c r="D31" s="144" t="str">
        <x:v>SharedDataInfo ABI与所有权</x:v>
      </x:c>
      <x:c r="E31" s="144" t="str">
        <x:v>冻结sizeof/offsetof/packing/endianness、裸指针地址和生命周期；加入版本/长度/状态字段。</x:v>
      </x:c>
      <x:c r="F31" s="144" t="str">
        <x:v>结构含AoA因子、车辆速度、cube/RD/AoA/antenna/net object指针。</x:v>
      </x:c>
      <x:c r="G31" s="144" t="str">
        <x:v>M4/算法公共数据定义。</x:v>
      </x:c>
      <x:c r="H31" s="144" t="str">
        <x:v>双方</x:v>
      </x:c>
      <x:c r="I31" s="144" t="str">
        <x:v>M1-03,M1-13</x:v>
      </x:c>
      <x:c r="J31" s="144" t="str">
        <x:v>ABI清单、static assert、所有权表、cache协议。</x:v>
      </x:c>
      <x:c r="K31" s="144" t="str">
        <x:v>双方map与编译断言一致；并发/缓存压力下无撕裂、越界、旧帧。</x:v>
      </x:c>
      <x:c r="L31" s="144" t="str">
        <x:v>P0</x:v>
      </x:c>
      <x:c r="M31" s="153" t="n">
        <x:v>6</x:v>
      </x:c>
      <x:c r="N31" s="144" t="str">
        <x:v>未开始</x:v>
      </x:c>
      <x:c r="O31" s="144" t="str">
        <x:v>eDMA/共享内存</x:v>
      </x:c>
      <x:c r="P31" s="144" t="str">
        <x:v>sys_conf.h:693-753</x:v>
      </x:c>
    </x:row>
    <x:row r="32" ht="82" customHeight="1">
      <x:c r="A32" s="144" t="str">
        <x:v>M1-15</x:v>
      </x:c>
      <x:c r="B32" s="144" t="str">
        <x:v>M1</x:v>
      </x:c>
      <x:c r="C32" s="144" t="str">
        <x:v>RF</x:v>
      </x:c>
      <x:c r="D32" s="144" t="str">
        <x:v>mmWaveLink控制链</x:v>
      </x:c>
      <x:c r="E32" s="144" t="str">
        <x:v>按M0唯一参数实现init/open/config/start/stop/event/CRC，关闭continuous/advanced冲突。</x:v>
      </x:c>
      <x:c r="F32" s="144" t="str">
        <x:v>现源码路径存在模式和subframe矛盾。</x:v>
      </x:c>
      <x:c r="G32" s="144" t="str">
        <x:v>M0-08 RF表。</x:v>
      </x:c>
      <x:c r="H32" s="144" t="str">
        <x:v>东软</x:v>
      </x:c>
      <x:c r="I32" s="144" t="str">
        <x:v>M1-11,M1-12</x:v>
      </x:c>
      <x:c r="J32" s="144" t="str">
        <x:v>RF配置代码/参数表、异步事件映射。</x:v>
      </x:c>
      <x:c r="K32" s="144" t="str">
        <x:v>频谱/芯片日志验证频率、斜率、采样、chirp/frame；错误可诊断和恢复。</x:v>
      </x:c>
      <x:c r="L32" s="144" t="str">
        <x:v>P0</x:v>
      </x:c>
      <x:c r="M32" s="153" t="n">
        <x:v>10</x:v>
      </x:c>
      <x:c r="N32" s="144" t="str">
        <x:v>未开始</x:v>
      </x:c>
      <x:c r="O32" s="144" t="str">
        <x:v>mmWaveLink</x:v>
      </x:c>
      <x:c r="P32" s="144" t="str">
        <x:v>mmw_cli.c；mmwave_link_common.c</x:v>
      </x:c>
    </x:row>
    <x:row r="33" ht="82" customHeight="1">
      <x:c r="A33" s="144" t="str">
        <x:v>M1-16</x:v>
      </x:c>
      <x:c r="B33" s="144" t="str">
        <x:v>M1</x:v>
      </x:c>
      <x:c r="C33" s="144" t="str">
        <x:v>时间同步</x:v>
      </x:c>
      <x:c r="D33" s="144" t="str">
        <x:v>StbM/分时发波最小链</x:v>
      </x:c>
      <x:c r="E33" s="144" t="str">
        <x:v>实现所需timebase和四角发波时片；明确TriggerWave实际激活源。</x:v>
      </x:c>
      <x:c r="F33" s="144" t="str">
        <x:v>TriggerWave唯一有效调用在任务中，但1ms ActivateTask被注释。</x:v>
      </x:c>
      <x:c r="G33" s="144" t="str">
        <x:v>时间同步系统方案、位置/车型表。</x:v>
      </x:c>
      <x:c r="H33" s="144" t="str">
        <x:v>东软</x:v>
      </x:c>
      <x:c r="I33" s="144" t="str">
        <x:v>M1-08,M1-15</x:v>
      </x:c>
      <x:c r="J33" s="144" t="str">
        <x:v>时间基准/发波时序表、task trace。</x:v>
      </x:c>
      <x:c r="K33" s="144" t="str">
        <x:v>66ms周期、窗口和角位置偏移满足冻结参数；失步时禁止碰撞并可诊断。</x:v>
      </x:c>
      <x:c r="L33" s="144" t="str">
        <x:v>P0</x:v>
      </x:c>
      <x:c r="M33" s="153" t="n">
        <x:v>8</x:v>
      </x:c>
      <x:c r="N33" s="144" t="str">
        <x:v>未开始</x:v>
      </x:c>
      <x:c r="O33" s="144" t="str">
        <x:v>原T2时钟同步（需前移）</x:v>
      </x:c>
      <x:c r="P33" s="144" t="str">
        <x:v>OsTask_MMW.c:159-186；ASWIN_DivWave.c:172-240</x:v>
      </x:c>
    </x:row>
    <x:row r="34" ht="82" customHeight="1">
      <x:c r="A34" s="144" t="str">
        <x:v>M1-17</x:v>
      </x:c>
      <x:c r="B34" s="144" t="str">
        <x:v>M1</x:v>
      </x:c>
      <x:c r="C34" s="144" t="str">
        <x:v>采集/DMA</x:v>
      </x:c>
      <x:c r="D34" s="144" t="str">
        <x:v>ADCBuf/eDMA数据通道</x:v>
      </x:c>
      <x:c r="E34" s="144" t="str">
        <x:v>配置real16、4Rx、512 samples、ping/pong threshold1和DMA通道；冻结TPCC资源。</x:v>
      </x:c>
      <x:c r="F34" s="144" t="str">
        <x:v>R5信号库使用DMA ch26/27；AoA结果单元1104字节，最大350点。</x:v>
      </x:c>
      <x:c r="G34" s="144" t="str">
        <x:v>M4 DMA/ADCBuf契约、资源表。</x:v>
      </x:c>
      <x:c r="H34" s="144" t="str">
        <x:v>东软</x:v>
      </x:c>
      <x:c r="I34" s="144" t="str">
        <x:v>M1-03,M1-15</x:v>
      </x:c>
      <x:c r="J34" s="144" t="str">
        <x:v>ADCBuf/DMA配置、所有权矩阵、overrun统计。</x:v>
      </x:c>
      <x:c r="K34" s="144" t="str">
        <x:v>连续帧无overrun/通道冲突/错位；边界点数与数据长度校验。</x:v>
      </x:c>
      <x:c r="L34" s="144" t="str">
        <x:v>P0</x:v>
      </x:c>
      <x:c r="M34" s="153" t="n">
        <x:v>8</x:v>
      </x:c>
      <x:c r="N34" s="144" t="str">
        <x:v>未开始</x:v>
      </x:c>
      <x:c r="O34" s="144" t="str">
        <x:v>eDMA/共享内存</x:v>
      </x:c>
      <x:c r="P34" s="144" t="str">
        <x:v>mmwdemo_adcconfig.c:71-215；cdd_doa_dma.c:47-105</x:v>
      </x:c>
    </x:row>
    <x:row r="35" ht="82" customHeight="1">
      <x:c r="A35" s="144" t="str">
        <x:v>M1-18</x:v>
      </x:c>
      <x:c r="B35" s="144" t="str">
        <x:v>M1</x:v>
      </x:c>
      <x:c r="C35" s="144" t="str">
        <x:v>算法集成</x:v>
      </x:c>
      <x:c r="D35" s="144" t="str">
        <x:v>信号处理适配</x:v>
      </x:c>
      <x:c r="E35" s="144" t="str">
        <x:v>接入甲方库；实现EDMA/cache/time回调、90KiB L2与120KiB L3；确认us/ms单位。</x:v>
      </x:c>
      <x:c r="F35" s="144" t="str">
        <x:v>cb_time_get_us实际返回ms，接口单位不一致。</x:v>
      </x:c>
      <x:c r="G35" s="144" t="str">
        <x:v>算法库/源码、golden vectors、容差、WCET预算。</x:v>
      </x:c>
      <x:c r="H35" s="144" t="str">
        <x:v>双方</x:v>
      </x:c>
      <x:c r="I35" s="144" t="str">
        <x:v>M1-14,M1-17</x:v>
      </x:c>
      <x:c r="J35" s="144" t="str">
        <x:v>适配层、版本hash、内存/WCET报告。</x:v>
      </x:c>
      <x:c r="K35" s="144" t="str">
        <x:v>逐帧中间/输出与golden一致；WCET&lt;66ms并留合同裕量；单位问题关闭。</x:v>
      </x:c>
      <x:c r="L35" s="144" t="str">
        <x:v>P0</x:v>
      </x:c>
      <x:c r="M35" s="153" t="n">
        <x:v>10</x:v>
      </x:c>
      <x:c r="N35" s="144" t="str">
        <x:v>未开始</x:v>
      </x:c>
      <x:c r="O35" s="144" t="str">
        <x:v>信号处理（甲方代码）</x:v>
      </x:c>
      <x:c r="P35" s="144" t="str">
        <x:v>signal_process.c:35-72</x:v>
      </x:c>
    </x:row>
    <x:row r="36" ht="82" customHeight="1">
      <x:c r="A36" s="144" t="str">
        <x:v>M1-19</x:v>
      </x:c>
      <x:c r="B36" s="144" t="str">
        <x:v>M1</x:v>
      </x:c>
      <x:c r="C36" s="144" t="str">
        <x:v>算法集成</x:v>
      </x:c>
      <x:c r="D36" s="144" t="str">
        <x:v>感知/数据处理适配</x:v>
      </x:c>
      <x:c r="E36" s="144" t="str">
        <x:v>接入甲方感知；正确提供RD map、车辆输入、安装参数、wave/profile和输出缓冲。</x:v>
      </x:c>
      <x:c r="F36" s="144" t="str">
        <x:v>Trigger66任务依次signal→perception→mapping。</x:v>
      </x:c>
      <x:c r="G36" s="144" t="str">
        <x:v>感知源码/库、接口和golden场景。</x:v>
      </x:c>
      <x:c r="H36" s="144" t="str">
        <x:v>双方</x:v>
      </x:c>
      <x:c r="I36" s="144" t="str">
        <x:v>M1-18,M1-21</x:v>
      </x:c>
      <x:c r="J36" s="144" t="str">
        <x:v>适配层、场景对比、资源报告。</x:v>
      </x:c>
      <x:c r="K36" s="144" t="str">
        <x:v>功能输出/状态与golden容差一致；错误输入/缺帧不产生伪有效目标。</x:v>
      </x:c>
      <x:c r="L36" s="144" t="str">
        <x:v>P0</x:v>
      </x:c>
      <x:c r="M36" s="153" t="n">
        <x:v>10</x:v>
      </x:c>
      <x:c r="N36" s="144" t="str">
        <x:v>未开始</x:v>
      </x:c>
      <x:c r="O36" s="144" t="str">
        <x:v>数据处理（甲方代码）</x:v>
      </x:c>
      <x:c r="P36" s="144" t="str">
        <x:v>OsTask_MMW.c:242-334；Algo_Perception.c:35-38</x:v>
      </x:c>
    </x:row>
    <x:row r="37" ht="82" customHeight="1">
      <x:c r="A37" s="144" t="str">
        <x:v>M1-20</x:v>
      </x:c>
      <x:c r="B37" s="144" t="str">
        <x:v>M1</x:v>
      </x:c>
      <x:c r="C37" s="144" t="str">
        <x:v>CAN/COM</x:v>
      </x:c>
      <x:c r="D37" s="144" t="str">
        <x:v>最小输入信号链</x:v>
      </x:c>
      <x:c r="E37" s="144" t="str">
        <x:v>从DBC选择车速/yaw/加速度/轮速/挡位等，完成CanIf/PduR/Com/RteLite到帧锁存。</x:v>
      </x:c>
      <x:c r="F37" s="144" t="str">
        <x:v>0x11时锁存车辆输入，避免CAN更新与算法帧错位。</x:v>
      </x:c>
      <x:c r="G37" s="144" t="str">
        <x:v>最小DBC与物理值规则。</x:v>
      </x:c>
      <x:c r="H37" s="144" t="str">
        <x:v>东软</x:v>
      </x:c>
      <x:c r="I37" s="144" t="str">
        <x:v>M1-05,M1-09,M1-13</x:v>
      </x:c>
      <x:c r="J37" s="144" t="str">
        <x:v>最小通信矩阵、配置和注入脚本。</x:v>
      </x:c>
      <x:c r="K37" s="144" t="str">
        <x:v>总线注入后0x11锁存值与算法消费值一致；缩放/端序/超时正确。</x:v>
      </x:c>
      <x:c r="L37" s="144" t="str">
        <x:v>P0</x:v>
      </x:c>
      <x:c r="M37" s="153" t="n">
        <x:v>8</x:v>
      </x:c>
      <x:c r="N37" s="144" t="str">
        <x:v>未开始</x:v>
      </x:c>
      <x:c r="O37" s="144" t="str">
        <x:v>CAN最小Tx/Rx</x:v>
      </x:c>
      <x:c r="P37" s="144" t="str">
        <x:v>RteComMapping_Rx.c:36-140；ASWIN_InCalc.c:41-84</x:v>
      </x:c>
    </x:row>
    <x:row r="38" ht="82" customHeight="1">
      <x:c r="A38" s="144" t="str">
        <x:v>M1-21</x:v>
      </x:c>
      <x:c r="B38" s="144" t="str">
        <x:v>M1</x:v>
      </x:c>
      <x:c r="C38" s="144" t="str">
        <x:v>CAN/COM</x:v>
      </x:c>
      <x:c r="D38" s="144" t="str">
        <x:v>最小输出PDU链</x:v>
      </x:c>
      <x:c r="E38" s="144" t="str">
        <x:v>按雷达位置映射目标/状态到RteLite/Com并发送正确PDU。</x:v>
      </x:c>
      <x:c r="F38" s="144" t="str">
        <x:v>输出位置映射最终调用Com_SendSignal。</x:v>
      </x:c>
      <x:c r="G38" s="144" t="str">
        <x:v>最小输出矩阵、E2E决策。</x:v>
      </x:c>
      <x:c r="H38" s="144" t="str">
        <x:v>东软</x:v>
      </x:c>
      <x:c r="I38" s="144" t="str">
        <x:v>M1-19,M1-20</x:v>
      </x:c>
      <x:c r="J38" s="144" t="str">
        <x:v>输出PDU配置、restbus脚本和trace。</x:v>
      </x:c>
      <x:c r="K38" s="144" t="str">
        <x:v>同一frame ID对应正确CAN PDU；ID/DLC/周期/缩放/E2E满足矩阵。</x:v>
      </x:c>
      <x:c r="L38" s="144" t="str">
        <x:v>P0</x:v>
      </x:c>
      <x:c r="M38" s="153" t="n">
        <x:v>8</x:v>
      </x:c>
      <x:c r="N38" s="144" t="str">
        <x:v>未开始</x:v>
      </x:c>
      <x:c r="O38" s="144" t="str">
        <x:v>CAN最小Tx/Rx</x:v>
      </x:c>
      <x:c r="P38" s="144" t="str">
        <x:v>RteComMapping_Tx.c:198-250；rteLite_PriCan.c:687-698</x:v>
      </x:c>
    </x:row>
    <x:row r="39" ht="82" customHeight="1">
      <x:c r="A39" s="144" t="str">
        <x:v>M1-22</x:v>
      </x:c>
      <x:c r="B39" s="144" t="str">
        <x:v>M1</x:v>
      </x:c>
      <x:c r="C39" s="144" t="str">
        <x:v>诊断/故障</x:v>
      </x:c>
      <x:c r="D39" s="144" t="str">
        <x:v>基础DCM/DEM与异常闭环</x:v>
      </x:c>
      <x:c r="E39" s="144" t="str">
        <x:v>至少支持10/11/22/3E和版本DID；对M4/RSS/IPC/RF/CUDA/CLDA/ADC异常建立事件、NRC/降级。</x:v>
      </x:c>
      <x:c r="F39" s="144" t="str">
        <x:v>完整Dcm/DEM很大，但主链故障不能推到M2。</x:v>
      </x:c>
      <x:c r="G39" s="144" t="str">
        <x:v>基础DID、故障反应矩阵。</x:v>
      </x:c>
      <x:c r="H39" s="144" t="str">
        <x:v>东软</x:v>
      </x:c>
      <x:c r="I39" s="144" t="str">
        <x:v>M1-10,M1-12..17</x:v>
      </x:c>
      <x:c r="J39" s="144" t="str">
        <x:v>基础诊断配置、事件表和故障注入报告。</x:v>
      </x:c>
      <x:c r="K39" s="144" t="str">
        <x:v>每个关键故障不永久阻塞；DTC/状态与恢复符合矩阵。</x:v>
      </x:c>
      <x:c r="L39" s="144" t="str">
        <x:v>P0</x:v>
      </x:c>
      <x:c r="M39" s="153" t="n">
        <x:v>8</x:v>
      </x:c>
      <x:c r="N39" s="144" t="str">
        <x:v>未开始</x:v>
      </x:c>
      <x:c r="O39" s="144" t="str">
        <x:v>诊断基础服务</x:v>
      </x:c>
      <x:c r="P39" s="144" t="str">
        <x:v>Dcm_Lcfg_Dsd.c；Dem_Cfg_EventId.h</x:v>
      </x:c>
    </x:row>
    <x:row r="40" ht="82" customHeight="1">
      <x:c r="A40" s="144" t="str">
        <x:v>M1-23</x:v>
      </x:c>
      <x:c r="B40" s="144" t="str">
        <x:v>M1</x:v>
      </x:c>
      <x:c r="C40" s="144" t="str">
        <x:v>看门狗</x:v>
      </x:c>
      <x:c r="D40" s="144" t="str">
        <x:v>PMIC/FuSa有效监控链</x:v>
      </x:c>
      <x:c r="E40" s="144" t="str">
        <x:v>明确WdgM与LP87745架构；M1至少保证主链卡死可触发外部看门狗并记录原因。</x:v>
      </x:c>
      <x:c r="F40" s="144" t="str">
        <x:v>现WdgM/checkpoint和Wdg驱动为空；独立PMIC FuSa链看起来有效。</x:v>
      </x:c>
      <x:c r="G40" s="144" t="str">
        <x:v>安全监控矩阵、复位时间。</x:v>
      </x:c>
      <x:c r="H40" s="144" t="str">
        <x:v>双方</x:v>
      </x:c>
      <x:c r="I40" s="144" t="str">
        <x:v>M1-06,M1-08,M1-22</x:v>
      </x:c>
      <x:c r="J40" s="144" t="str">
        <x:v>看门狗架构决策、配置、复位注入报告。</x:v>
      </x:c>
      <x:c r="K40" s="144" t="str">
        <x:v>分别卡死10/100ms和主链任务，实测复位时间/原因正确，无早喂/误复位。</x:v>
      </x:c>
      <x:c r="L40" s="144" t="str">
        <x:v>P0</x:v>
      </x:c>
      <x:c r="M40" s="153" t="n">
        <x:v>8</x:v>
      </x:c>
      <x:c r="N40" s="144" t="str">
        <x:v>未开始</x:v>
      </x:c>
      <x:c r="O40" s="144" t="str">
        <x:v>原T2 Wdg（需部分前移）</x:v>
      </x:c>
      <x:c r="P40" s="144" t="str">
        <x:v>ASW_WDG.c:56-251；FUSA_WDGDrv.c:47-134</x:v>
      </x:c>
    </x:row>
    <x:row r="41" ht="82" customHeight="1">
      <x:c r="A41" s="144" t="str">
        <x:v>M1-24</x:v>
      </x:c>
      <x:c r="B41" s="144" t="str">
        <x:v>M1</x:v>
      </x:c>
      <x:c r="C41" s="144" t="str">
        <x:v>性能</x:v>
      </x:c>
      <x:c r="D41" s="144" t="str">
        <x:v>主链资源与长稳</x:v>
      </x:c>
      <x:c r="E41" s="144" t="str">
        <x:v>测CPU、WCET、stack watermark、L2/L3、DMA、总线负载、丢帧率和首帧时间。</x:v>
      </x:c>
      <x:c r="F41" s="144" t="str">
        <x:v>现OS stack预算为空，算法周期66ms。</x:v>
      </x:c>
      <x:c r="G41" s="144" t="str">
        <x:v>量化指标与台架场景。</x:v>
      </x:c>
      <x:c r="H41" s="144" t="str">
        <x:v>东软/验证组</x:v>
      </x:c>
      <x:c r="I41" s="144" t="str">
        <x:v>M1-18..23</x:v>
      </x:c>
      <x:c r="J41" s="144" t="str">
        <x:v>资源报告、连续运行日志。</x:v>
      </x:c>
      <x:c r="K41" s="144" t="str">
        <x:v>指标满足双方冻结阈值；无内存增长、队列积压、丢激活和不可恢复错误。</x:v>
      </x:c>
      <x:c r="L41" s="144" t="str">
        <x:v>P0</x:v>
      </x:c>
      <x:c r="M41" s="153" t="n">
        <x:v>7</x:v>
      </x:c>
      <x:c r="N41" s="144" t="str">
        <x:v>未开始</x:v>
      </x:c>
      <x:c r="O41" s="144" t="str">
        <x:v>阶段1自测</x:v>
      </x:c>
      <x:c r="P41" s="144" t="str">
        <x:v>OS配置与主链trace</x:v>
      </x:c>
    </x:row>
    <x:row r="42" ht="82" customHeight="1">
      <x:c r="A42" s="144" t="str">
        <x:v>M1-25</x:v>
      </x:c>
      <x:c r="B42" s="144" t="str">
        <x:v>M1</x:v>
      </x:c>
      <x:c r="C42" s="144" t="str">
        <x:v>Gate</x:v>
      </x:c>
      <x:c r="D42" s="144" t="str">
        <x:v>真实主链端到端验收</x:v>
      </x:c>
      <x:c r="E42" s="144" t="str">
        <x:v>NORMAL/FUNTEST_OFF下，从上电、合法标定、真实发波、M4、IPC、R5到CAN建立同帧证据。</x:v>
      </x:c>
      <x:c r="F42" s="144" t="str">
        <x:v>HIL/INJECT会绕过毫米波初始化和发波，不能替代。</x:v>
      </x:c>
      <x:c r="G42" s="144" t="str">
        <x:v>M1全部交付；真实目标/射频环境。</x:v>
      </x:c>
      <x:c r="H42" s="144" t="str">
        <x:v>独立验证组</x:v>
      </x:c>
      <x:c r="I42" s="144" t="str">
        <x:v>M1-01..24</x:v>
      </x:c>
      <x:c r="J42" s="144" t="str">
        <x:v>M1验收报告、trace、KnownIssues和签署单。</x:v>
      </x:c>
      <x:c r="K42" s="144" t="str">
        <x:v>同一frame贯通所有观测点；连续运行和故障恢复通过；P0缺陷为零。</x:v>
      </x:c>
      <x:c r="L42" s="144" t="str">
        <x:v>P0</x:v>
      </x:c>
      <x:c r="M42" s="153" t="n">
        <x:v>5</x:v>
      </x:c>
      <x:c r="N42" s="144" t="str">
        <x:v>未开始</x:v>
      </x:c>
      <x:c r="O42" s="144" t="str">
        <x:v>T1验收</x:v>
      </x:c>
      <x:c r="P42" s="144" t="str">
        <x:v>integration/Os_Cbk_Idle.c:84-94；ASWIN_DivWave.c:216-238</x:v>
      </x:c>
    </x:row>
    <x:row r="43" ht="82" customHeight="1">
      <x:c r="A43" s="144" t="str">
        <x:v>M2-01</x:v>
      </x:c>
      <x:c r="B43" s="144" t="str">
        <x:v>M2</x:v>
      </x:c>
      <x:c r="C43" s="144" t="str">
        <x:v>通信</x:v>
      </x:c>
      <x:c r="D43" s="144" t="str">
        <x:v>全量CanIf/PduR/Com重建</x:v>
      </x:c>
      <x:c r="E43" s="144" t="str">
        <x:v>从授权DBC/ARXML重建2控制器、38 Tx/70 Rx PDU、34 Tx/64 Rx Com I-PDU及687 Rx/770 Tx signals。</x:v>
      </x:c>
      <x:c r="F43" s="144" t="str">
        <x:v>现工程为此规模；signal group为0，与E2E需求冲突待决。</x:v>
      </x:c>
      <x:c r="G43" s="144" t="str">
        <x:v>完整DBC/ARXML、节点/动态ID/E2E规则。</x:v>
      </x:c>
      <x:c r="H43" s="144" t="str">
        <x:v>东软</x:v>
      </x:c>
      <x:c r="I43" s="144" t="str">
        <x:v>M1-25</x:v>
      </x:c>
      <x:c r="J43" s="144" t="str">
        <x:v>全量通信矩阵、可编辑配置、自动diff。</x:v>
      </x:c>
      <x:c r="K43" s="144" t="str">
        <x:v>逐PDU/signal端序、位长、init/invalid、timeout、周期和路由100%自动对比。</x:v>
      </x:c>
      <x:c r="L43" s="144" t="str">
        <x:v>P0</x:v>
      </x:c>
      <x:c r="M43" s="153" t="n">
        <x:v>15</x:v>
      </x:c>
      <x:c r="N43" s="144" t="str">
        <x:v>未开始</x:v>
      </x:c>
      <x:c r="O43" s="144" t="str">
        <x:v>T2 Can</x:v>
      </x:c>
      <x:c r="P43" s="144" t="str">
        <x:v>CanIf_Cfg.h:113,252,342；Com_PBcfg_Variant.h:41-67</x:v>
      </x:c>
    </x:row>
    <x:row r="44" ht="82" customHeight="1">
      <x:c r="A44" s="144" t="str">
        <x:v>M2-02</x:v>
      </x:c>
      <x:c r="B44" s="144" t="str">
        <x:v>M2</x:v>
      </x:c>
      <x:c r="C44" s="144" t="str">
        <x:v>E2E</x:v>
      </x:c>
      <x:c r="D44" s="144" t="str">
        <x:v>E2E/ComXf设计与配置</x:v>
      </x:c>
      <x:c r="E44" s="144" t="str">
        <x:v>将受保护报文建为signal group；冻结Profile01参数、counter/data ID/error reaction。</x:v>
      </x:c>
      <x:c r="F44" s="144" t="str">
        <x:v>当前Com signal group=0；附件要求Profile01。</x:v>
      </x:c>
      <x:c r="G44" s="144" t="str">
        <x:v>OEM E2E规范、group定义。</x:v>
      </x:c>
      <x:c r="H44" s="144" t="str">
        <x:v>双方</x:v>
      </x:c>
      <x:c r="I44" s="144" t="str">
        <x:v>M2-01</x:v>
      </x:c>
      <x:c r="J44" s="144" t="str">
        <x:v>E2E矩阵、ComXf/E2EXf配置和负向测试。</x:v>
      </x:c>
      <x:c r="K44" s="144" t="str">
        <x:v>counter/CRC/DataID、重复/丢帧/乱序/重启均符合规范。</x:v>
      </x:c>
      <x:c r="L44" s="144" t="str">
        <x:v>P0</x:v>
      </x:c>
      <x:c r="M44" s="153" t="n">
        <x:v>8</x:v>
      </x:c>
      <x:c r="N44" s="144" t="str">
        <x:v>未开始</x:v>
      </x:c>
      <x:c r="O44" s="144" t="str">
        <x:v>T2 E2EXF/ComXF</x:v>
      </x:c>
      <x:c r="P44" s="144" t="str">
        <x:v>问题清单QA22/51；Com_PBcfg_Variant.h</x:v>
      </x:c>
    </x:row>
    <x:row r="45" ht="82" customHeight="1">
      <x:c r="A45" s="144" t="str">
        <x:v>M2-03</x:v>
      </x:c>
      <x:c r="B45" s="144" t="str">
        <x:v>M2</x:v>
      </x:c>
      <x:c r="C45" s="144" t="str">
        <x:v>网络管理</x:v>
      </x:c>
      <x:c r="D45" s="144" t="str">
        <x:v>Nm/CanNm/ComM/CanSM完整状态机</x:v>
      </x:c>
      <x:c r="E45" s="144" t="str">
        <x:v>实现FullCom/NoCom、25帧immediate、Repeat/Timeout/WaitBusSleep、Bus-Off L1/L2、诊断保持通信。</x:v>
      </x:c>
      <x:c r="F45" s="144" t="str">
        <x:v>现CanNm:500ms/20ms×25/1.6s/2s/2s；NodeID 0x4C。</x:v>
      </x:c>
      <x:c r="G45" s="144" t="str">
        <x:v>OEM NM/功耗/唤醒规范。</x:v>
      </x:c>
      <x:c r="H45" s="144" t="str">
        <x:v>东软</x:v>
      </x:c>
      <x:c r="I45" s="144" t="str">
        <x:v>M2-01</x:v>
      </x:c>
      <x:c r="J45" s="144" t="str">
        <x:v>配置、状态机和总线/功耗报告。</x:v>
      </x:c>
      <x:c r="K45" s="144" t="str">
        <x:v>所有计时、Bus-Off、休眠/唤醒和诊断保持通信通过边界测试。</x:v>
      </x:c>
      <x:c r="L45" s="144" t="str">
        <x:v>P0</x:v>
      </x:c>
      <x:c r="M45" s="153" t="n">
        <x:v>10</x:v>
      </x:c>
      <x:c r="N45" s="144" t="str">
        <x:v>未开始</x:v>
      </x:c>
      <x:c r="O45" s="144" t="str">
        <x:v>T2 NM</x:v>
      </x:c>
      <x:c r="P45" s="144" t="str">
        <x:v>CanNm_PBcfg.c:40-95；CanSM ARXML:19-107</x:v>
      </x:c>
    </x:row>
    <x:row r="46" ht="82" customHeight="1">
      <x:c r="A46" s="144" t="str">
        <x:v>M2-04</x:v>
      </x:c>
      <x:c r="B46" s="144" t="str">
        <x:v>M2</x:v>
      </x:c>
      <x:c r="C46" s="144" t="str">
        <x:v>时间同步</x:v>
      </x:c>
      <x:c r="D46" s="144" t="str">
        <x:v>CanTSyn/StbM完整配置</x:v>
      </x:c>
      <x:c r="E46" s="144" t="str">
        <x:v>冻结1 master/2 slave、3 timebase、CRC、丢同步/跳变/恢复和记录。</x:v>
      </x:c>
      <x:c r="F46" s="144" t="str">
        <x:v>现master 0x6FC，50 tick；slave超时10/25；StbM主周期10ms。</x:v>
      </x:c>
      <x:c r="G46" s="144" t="str">
        <x:v>OEM时钟域与同步方案。</x:v>
      </x:c>
      <x:c r="H46" s="144" t="str">
        <x:v>东软</x:v>
      </x:c>
      <x:c r="I46" s="144" t="str">
        <x:v>M1-16,M2-01</x:v>
      </x:c>
      <x:c r="J46" s="144" t="str">
        <x:v>时间同步矩阵、配置和误差报告。</x:v>
      </x:c>
      <x:c r="K46" s="144" t="str">
        <x:v>正常/丢帧/跳变/CRC错误/重启下时间基状态与误差满足规范。</x:v>
      </x:c>
      <x:c r="L46" s="144" t="str">
        <x:v>P0</x:v>
      </x:c>
      <x:c r="M46" s="153" t="n">
        <x:v>8</x:v>
      </x:c>
      <x:c r="N46" s="144" t="str">
        <x:v>未开始</x:v>
      </x:c>
      <x:c r="O46" s="144" t="str">
        <x:v>T2 StbM/CanTSyn</x:v>
      </x:c>
      <x:c r="P46" s="144" t="str">
        <x:v>CanTSyn_PBcfg.c:82-138；StbM_Cfg.c:44-112</x:v>
      </x:c>
    </x:row>
    <x:row r="47" ht="82" customHeight="1">
      <x:c r="A47" s="144" t="str">
        <x:v>M2-05</x:v>
      </x:c>
      <x:c r="B47" s="144" t="str">
        <x:v>M2</x:v>
      </x:c>
      <x:c r="C47" s="144" t="str">
        <x:v>NvM</x:v>
      </x:c>
      <x:c r="D47" s="144" t="str">
        <x:v>NvM 105项配置重建</x:v>
      </x:c>
      <x:c r="E47" s="144" t="str">
        <x:v>按05_NvM配置详表重建ID0..104；业务103块，NoCrc、priority1；仅ID15冗余；处理ReadAll/WriteAll/Sync/ROM默认。</x:v>
      </x:c>
      <x:c r="F47" s="144" t="str">
        <x:v>现最终生成表与附件blocklist可交叉核对。</x:v>
      </x:c>
      <x:c r="G47" s="144" t="str">
        <x:v>块owner、更新频率、寿命/掉电需求、默认值批准。</x:v>
      </x:c>
      <x:c r="H47" s="144" t="str">
        <x:v>东软</x:v>
      </x:c>
      <x:c r="I47" s="144" t="str">
        <x:v>M1-07,M1-10</x:v>
      </x:c>
      <x:c r="J47" s="144" t="str">
        <x:v>NvM block dictionary、ARXML、生成表diff、默认值bin。</x:v>
      </x:c>
      <x:c r="K47" s="144" t="str">
        <x:v>105项属性逐项自动diff；API/默认/NULL-RAM/同步块用例通过。</x:v>
      </x:c>
      <x:c r="L47" s="144" t="str">
        <x:v>P0</x:v>
      </x:c>
      <x:c r="M47" s="153" t="n">
        <x:v>15</x:v>
      </x:c>
      <x:c r="N47" s="144" t="str">
        <x:v>未开始</x:v>
      </x:c>
      <x:c r="O47" s="144" t="str">
        <x:v>T2 NvM</x:v>
      </x:c>
      <x:c r="P47" s="144" t="str">
        <x:v>gen_bsw/NvM/NvM_Cfg.c:1176,1303,4871,4984</x:v>
      </x:c>
    </x:row>
    <x:row r="48" ht="82" customHeight="1">
      <x:c r="A48" s="144" t="str">
        <x:v>M2-06</x:v>
      </x:c>
      <x:c r="B48" s="144" t="str">
        <x:v>M2</x:v>
      </x:c>
      <x:c r="C48" s="144" t="str">
        <x:v>Fee/Fls</x:v>
      </x:c>
      <x:c r="D48" s="144" t="str">
        <x:v>Fee双Bank与断电一致性</x:v>
      </x:c>
      <x:c r="E48" s="144" t="str">
        <x:v>配置两个256KiB Bank 0x00350000–0x0038FFFF、0x00390000–0x003CFFFF；磨损均衡、reorg、冗余恢复。</x:v>
      </x:c>
      <x:c r="F48" s="144" t="str">
        <x:v>Fee persistent ID是逻辑ID，不能承诺块固定物理地址。</x:v>
      </x:c>
      <x:c r="G48" s="144" t="str">
        <x:v>Flash耐久/写频率/断电模型。</x:v>
      </x:c>
      <x:c r="H48" s="144" t="str">
        <x:v>东软</x:v>
      </x:c>
      <x:c r="I48" s="144" t="str">
        <x:v>M2-05</x:v>
      </x:c>
      <x:c r="J48" s="144" t="str">
        <x:v>Fee/Fls布局、寿命估算、断电测试。</x:v>
      </x:c>
      <x:c r="K48" s="144" t="str">
        <x:v>erase/write/reorg各阶段掉电恢复；ID15单副本损坏恢复；无越界。</x:v>
      </x:c>
      <x:c r="L48" s="144" t="str">
        <x:v>P0</x:v>
      </x:c>
      <x:c r="M48" s="153" t="n">
        <x:v>12</x:v>
      </x:c>
      <x:c r="N48" s="144" t="str">
        <x:v>未开始</x:v>
      </x:c>
      <x:c r="O48" s="144" t="str">
        <x:v>T2 Fee/Fls</x:v>
      </x:c>
      <x:c r="P48" s="144" t="str">
        <x:v>rba_FeeFs1x_Prv_Cfg.h:68,77-86</x:v>
      </x:c>
    </x:row>
    <x:row r="49" ht="82" customHeight="1">
      <x:c r="A49" s="144" t="str">
        <x:v>M2-07</x:v>
      </x:c>
      <x:c r="B49" s="144" t="str">
        <x:v>M2</x:v>
      </x:c>
      <x:c r="C49" s="144" t="str">
        <x:v>NvM</x:v>
      </x:c>
      <x:c r="D49" s="144" t="str">
        <x:v>默认值/迁移/兼容策略</x:v>
      </x:c>
      <x:c r="E49" s="144" t="str">
        <x:v>为版本升级定义数据版本、迁移、旧数据保留、无效块默认、配置ID和回滚。</x:v>
      </x:c>
      <x:c r="F49" s="144" t="str">
        <x:v>现NoCrc且多数块native，升级兼容不能靠复制配置。</x:v>
      </x:c>
      <x:c r="G49" s="144" t="str">
        <x:v>版本兼容需求、默认值签署。</x:v>
      </x:c>
      <x:c r="H49" s="144" t="str">
        <x:v>双方</x:v>
      </x:c>
      <x:c r="I49" s="144" t="str">
        <x:v>M2-05,M2-06</x:v>
      </x:c>
      <x:c r="J49" s="144" t="str">
        <x:v>迁移矩阵、转换代码、升级/降级测试。</x:v>
      </x:c>
      <x:c r="K49" s="144" t="str">
        <x:v>旧版本数据、长度变化、坏块、第一次初始化均得到批准结果。</x:v>
      </x:c>
      <x:c r="L49" s="144" t="str">
        <x:v>P0</x:v>
      </x:c>
      <x:c r="M49" s="153" t="n">
        <x:v>8</x:v>
      </x:c>
      <x:c r="N49" s="144" t="str">
        <x:v>未开始</x:v>
      </x:c>
      <x:c r="O49" s="144" t="str">
        <x:v>原计划缺失</x:v>
      </x:c>
      <x:c r="P49" s="144" t="str">
        <x:v>NvM属性与发布需求</x:v>
      </x:c>
    </x:row>
    <x:row r="50" ht="82" customHeight="1">
      <x:c r="A50" s="144" t="str">
        <x:v>M2-08</x:v>
      </x:c>
      <x:c r="B50" s="144" t="str">
        <x:v>M2</x:v>
      </x:c>
      <x:c r="C50" s="144" t="str">
        <x:v>Dem</x:v>
      </x:c>
      <x:c r="D50" s="144" t="str">
        <x:v>217事件/59 DTC完整矩阵</x:v>
      </x:c>
      <x:c r="E50" s="144" t="str">
        <x:v>导出Event↔DTC、debounce、priority、aging、operation cycle、enable/storage condition、FF/ExtData、NvM ID。</x:v>
      </x:c>
      <x:c r="F50" s="144" t="str">
        <x:v>主存储40条、无displacement；仅POWER cycle；2 FF/2 extended。</x:v>
      </x:c>
      <x:c r="G50" s="144" t="str">
        <x:v>完整DTC需求与故障反应。</x:v>
      </x:c>
      <x:c r="H50" s="144" t="str">
        <x:v>双方</x:v>
      </x:c>
      <x:c r="I50" s="144" t="str">
        <x:v>M2-05</x:v>
      </x:c>
      <x:c r="J50" s="144" t="str">
        <x:v>Dem事件/DTC矩阵、配置和注入脚本。</x:v>
      </x:c>
      <x:c r="K50" s="144" t="str">
        <x:v>217事件逐项或覆盖等价类；40条满载、断电、ClearDTC、老化均通过。</x:v>
      </x:c>
      <x:c r="L50" s="144" t="str">
        <x:v>P0</x:v>
      </x:c>
      <x:c r="M50" s="153" t="n">
        <x:v>15</x:v>
      </x:c>
      <x:c r="N50" s="144" t="str">
        <x:v>未开始</x:v>
      </x:c>
      <x:c r="O50" s="144" t="str">
        <x:v>T2 DEM</x:v>
      </x:c>
      <x:c r="P50" s="144" t="str">
        <x:v>Dem_Cfg_EventId.h:24-25；Dem_Cfg_EvMem.h:39-143</x:v>
      </x:c>
    </x:row>
    <x:row r="51" ht="82" customHeight="1">
      <x:c r="A51" s="144" t="str">
        <x:v>M2-09</x:v>
      </x:c>
      <x:c r="B51" s="144" t="str">
        <x:v>M2</x:v>
      </x:c>
      <x:c r="C51" s="144" t="str">
        <x:v>Dcm</x:v>
      </x:c>
      <x:c r="D51" s="144" t="str">
        <x:v>UDS服务/会话/寻址完整配置</x:v>
      </x:c>
      <x:c r="E51" s="144" t="str">
        <x:v>实现现基线11项服务、5 session、物理/功能寻址、P2/P2*/S3和NRC矩阵；未授权服务必须明确禁用。</x:v>
      </x:c>
      <x:c r="F51" s="144" t="str">
        <x:v>启用10/11/14/19/22/27/28/2E/31/3E/85。</x:v>
      </x:c>
      <x:c r="G51" s="144" t="str">
        <x:v>OEM诊断规范。</x:v>
      </x:c>
      <x:c r="H51" s="144" t="str">
        <x:v>东软</x:v>
      </x:c>
      <x:c r="I51" s="144" t="str">
        <x:v>M2-01,M2-08</x:v>
      </x:c>
      <x:c r="J51" s="144" t="str">
        <x:v>服务矩阵、Dcm配置、正负向脚本。</x:v>
      </x:c>
      <x:c r="K51" s="144" t="str">
        <x:v>每服务在每session/security下正负向和NRC通过；时序边界通过。</x:v>
      </x:c>
      <x:c r="L51" s="144" t="str">
        <x:v>P0</x:v>
      </x:c>
      <x:c r="M51" s="153" t="n">
        <x:v>12</x:v>
      </x:c>
      <x:c r="N51" s="144" t="str">
        <x:v>未开始</x:v>
      </x:c>
      <x:c r="O51" s="144" t="str">
        <x:v>T2 DCM</x:v>
      </x:c>
      <x:c r="P51" s="144" t="str">
        <x:v>Dcm_Lcfg_Dsd.c:367-556；Dcm_Cfg_DslDsd.h:29-52</x:v>
      </x:c>
    </x:row>
    <x:row r="52" ht="82" customHeight="1">
      <x:c r="A52" s="144" t="str">
        <x:v>M2-10</x:v>
      </x:c>
      <x:c r="B52" s="144" t="str">
        <x:v>M2</x:v>
      </x:c>
      <x:c r="C52" s="144" t="str">
        <x:v>Dcm</x:v>
      </x:c>
      <x:c r="D52" s="144" t="str">
        <x:v>48 DID数据合同</x:v>
      </x:c>
      <x:c r="E52" s="144" t="str">
        <x:v>对48 DID定义长度、读写属性、端序、回调、NvM关联、session/security、NRC和更新时点。</x:v>
      </x:c>
      <x:c r="F52" s="144" t="str">
        <x:v>工程可确认48 DID及长度，但附件仍有多个DID长度待确认。</x:v>
      </x:c>
      <x:c r="G52" s="144" t="str">
        <x:v>DID需求、数据owner。</x:v>
      </x:c>
      <x:c r="H52" s="144" t="str">
        <x:v>双方</x:v>
      </x:c>
      <x:c r="I52" s="144" t="str">
        <x:v>M2-09,M2-05</x:v>
      </x:c>
      <x:c r="J52" s="144" t="str">
        <x:v>DID矩阵、回调接口和自动测试。</x:v>
      </x:c>
      <x:c r="K52" s="144" t="str">
        <x:v>所有DID边界长度、条件、持久化、负响应和复位后行为通过。</x:v>
      </x:c>
      <x:c r="L52" s="144" t="str">
        <x:v>P0</x:v>
      </x:c>
      <x:c r="M52" s="153" t="n">
        <x:v>15</x:v>
      </x:c>
      <x:c r="N52" s="144" t="str">
        <x:v>未开始</x:v>
      </x:c>
      <x:c r="O52" s="144" t="str">
        <x:v>T2 DID矩阵</x:v>
      </x:c>
      <x:c r="P52" s="144" t="str">
        <x:v>Dcm_Lcfg_DspUds.c:2921-3005</x:v>
      </x:c>
    </x:row>
    <x:row r="53" ht="82" customHeight="1">
      <x:c r="A53" s="144" t="str">
        <x:v>M2-11</x:v>
      </x:c>
      <x:c r="B53" s="144" t="str">
        <x:v>M2</x:v>
      </x:c>
      <x:c r="C53" s="144" t="str">
        <x:v>Dcm</x:v>
      </x:c>
      <x:c r="D53" s="144" t="str">
        <x:v>5 Routine与异步处理</x:v>
      </x:c>
      <x:c r="E53" s="144" t="str">
        <x:v>实现0203/0302/54DF/FD00/FD01等现基线Routine，定义输入输出、异步、取消、NRC和安全影响。</x:v>
      </x:c>
      <x:c r="F53" s="144" t="str">
        <x:v>现Routine权限存在多种session/security mask。</x:v>
      </x:c>
      <x:c r="G53" s="144" t="str">
        <x:v>Routine规范/安全职责。</x:v>
      </x:c>
      <x:c r="H53" s="144" t="str">
        <x:v>双方</x:v>
      </x:c>
      <x:c r="I53" s="144" t="str">
        <x:v>M2-09</x:v>
      </x:c>
      <x:c r="J53" s="144" t="str">
        <x:v>Routine矩阵、回调和测试。</x:v>
      </x:c>
      <x:c r="K53" s="144" t="str">
        <x:v>start/stop/result、busy、超时、取消、错误参数和掉电行为完整。</x:v>
      </x:c>
      <x:c r="L53" s="144" t="str">
        <x:v>P0</x:v>
      </x:c>
      <x:c r="M53" s="153" t="n">
        <x:v>10</x:v>
      </x:c>
      <x:c r="N53" s="144" t="str">
        <x:v>未开始</x:v>
      </x:c>
      <x:c r="O53" s="144" t="str">
        <x:v>T2 Routine</x:v>
      </x:c>
      <x:c r="P53" s="144" t="str">
        <x:v>Dcm_Lcfg_DspUds.c:359-404,823-951</x:v>
      </x:c>
    </x:row>
    <x:row r="54" ht="82" customHeight="1">
      <x:c r="A54" s="144" t="str">
        <x:v>M2-12</x:v>
      </x:c>
      <x:c r="B54" s="144" t="str">
        <x:v>M2</x:v>
      </x:c>
      <x:c r="C54" s="144" t="str">
        <x:v>安全访问</x:v>
      </x:c>
      <x:c r="D54" s="144" t="str">
        <x:v>0x27安全等级与尝试计数</x:v>
      </x:c>
      <x:c r="E54" s="144" t="str">
        <x:v>定义L1/L31/L32 seed/key长度、算法接口、延迟、失败次数、持久化和生命周期；密钥由客户/HSM掌管。</x:v>
      </x:c>
      <x:c r="F54" s="144" t="str">
        <x:v>现L1 4/4；L31 seed250/key2000；L32同；样例实现不可开放复制。</x:v>
      </x:c>
      <x:c r="G54" s="144" t="str">
        <x:v>批准的算法/接口、HSM服务、测试向量。</x:v>
      </x:c>
      <x:c r="H54" s="144" t="str">
        <x:v>双方/安全方</x:v>
      </x:c>
      <x:c r="I54" s="144" t="str">
        <x:v>M2-09,M2-05</x:v>
      </x:c>
      <x:c r="J54" s="144" t="str">
        <x:v>安全访问规范、适配层和安全测试。</x:v>
      </x:c>
      <x:c r="K54" s="144" t="str">
        <x:v>正确/错误/重放/暴力/掉电/超时/计数持久化通过；不泄露秘密。</x:v>
      </x:c>
      <x:c r="L54" s="144" t="str">
        <x:v>P0</x:v>
      </x:c>
      <x:c r="M54" s="153" t="n">
        <x:v>12</x:v>
      </x:c>
      <x:c r="N54" s="144" t="str">
        <x:v>未开始</x:v>
      </x:c>
      <x:c r="O54" s="144" t="str">
        <x:v>T2 SecurityAccess</x:v>
      </x:c>
      <x:c r="P54" s="144" t="str">
        <x:v>Dcm_Lcfg_DspUds.c:102-181；DiaSecurityAccess.c</x:v>
      </x:c>
    </x:row>
    <x:row r="55" ht="82" customHeight="1">
      <x:c r="A55" s="144" t="str">
        <x:v>M2-13</x:v>
      </x:c>
      <x:c r="B55" s="144" t="str">
        <x:v>M2</x:v>
      </x:c>
      <x:c r="C55" s="144" t="str">
        <x:v>CanTp</x:v>
      </x:c>
      <x:c r="D55" s="144" t="str">
        <x:v>诊断传输层</x:v>
      </x:c>
      <x:c r="E55" s="144" t="str">
        <x:v>配置物理/功能Rx、1Tx，STmin20ms、BS8、WFTmax0、Ncr/Nbs180ms、Nar/Nbr/Nas/Ncs70ms、padding AA。</x:v>
      </x:c>
      <x:c r="F55" s="144" t="str">
        <x:v>诊断链配置DLC8但栈具CAN-FD能力。</x:v>
      </x:c>
      <x:c r="G55" s="144" t="str">
        <x:v>诊断通信规范。</x:v>
      </x:c>
      <x:c r="H55" s="144" t="str">
        <x:v>东软</x:v>
      </x:c>
      <x:c r="I55" s="144" t="str">
        <x:v>M2-01,M2-09</x:v>
      </x:c>
      <x:c r="J55" s="144" t="str">
        <x:v>CanTp/PduR配置和多帧脚本。</x:v>
      </x:c>
      <x:c r="K55" s="144" t="str">
        <x:v>SF/FF/CF/FC、4095边界、超时、丢帧、乱序、Bus-Off和padding通过。</x:v>
      </x:c>
      <x:c r="L55" s="144" t="str">
        <x:v>P0</x:v>
      </x:c>
      <x:c r="M55" s="153" t="n">
        <x:v>8</x:v>
      </x:c>
      <x:c r="N55" s="144" t="str">
        <x:v>未开始</x:v>
      </x:c>
      <x:c r="O55" s="144" t="str">
        <x:v>T2 CanTp/PduR</x:v>
      </x:c>
      <x:c r="P55" s="144" t="str">
        <x:v>MCU_Project_Diag_CanTp_EcucValues.arxml:20-182</x:v>
      </x:c>
    </x:row>
    <x:row r="56" ht="82" customHeight="1">
      <x:c r="A56" s="144" t="str">
        <x:v>M2-14</x:v>
      </x:c>
      <x:c r="B56" s="144" t="str">
        <x:v>M2</x:v>
      </x:c>
      <x:c r="C56" s="144" t="str">
        <x:v>FiM/DET</x:v>
      </x:c>
      <x:c r="D56" s="144" t="str">
        <x:v>功能抑制与开发错误策略</x:v>
      </x:c>
      <x:c r="E56" s="144" t="str">
        <x:v>根据DTC定义FiM FunctionId、抑制条件和恢复；明确DET在开发/量产构建的路由与反应。</x:v>
      </x:c>
      <x:c r="F56" s="144" t="str">
        <x:v>附件首版FiM缺失；现工程不能替代OEM策略。</x:v>
      </x:c>
      <x:c r="G56" s="144" t="str">
        <x:v>故障反应/功能降级矩阵。</x:v>
      </x:c>
      <x:c r="H56" s="144" t="str">
        <x:v>双方</x:v>
      </x:c>
      <x:c r="I56" s="144" t="str">
        <x:v>M2-08</x:v>
      </x:c>
      <x:c r="J56" s="144" t="str">
        <x:v>FiM矩阵、DET策略和测试。</x:v>
      </x:c>
      <x:c r="K56" s="144" t="str">
        <x:v>每个抑制条件、恢复和多故障组合符合矩阵；量产无调试副作用。</x:v>
      </x:c>
      <x:c r="L56" s="144" t="str">
        <x:v>P1</x:v>
      </x:c>
      <x:c r="M56" s="153" t="n">
        <x:v>8</x:v>
      </x:c>
      <x:c r="N56" s="144" t="str">
        <x:v>未开始</x:v>
      </x:c>
      <x:c r="O56" s="144" t="str">
        <x:v>T2 FiM/DET</x:v>
      </x:c>
      <x:c r="P56" s="144" t="str">
        <x:v>问题清单QA19</x:v>
      </x:c>
    </x:row>
    <x:row r="57" ht="82" customHeight="1">
      <x:c r="A57" s="144" t="str">
        <x:v>M2-15</x:v>
      </x:c>
      <x:c r="B57" s="144" t="str">
        <x:v>M2</x:v>
      </x:c>
      <x:c r="C57" s="144" t="str">
        <x:v>生命周期</x:v>
      </x:c>
      <x:c r="D57" s="144" t="str">
        <x:v>EcuM/BswM上下电/复位/唤醒</x:v>
      </x:c>
      <x:c r="E57" s="144" t="str">
        <x:v>完整实现KL30/KL15、Can wake、诊断复位、硬/软复位、NvM WriteAll、Dem shutdown和NoCom。</x:v>
      </x:c>
      <x:c r="F57" s="144" t="str">
        <x:v>现默认shutdown OFF、无sleep mode、8 wake source且无validation。</x:v>
      </x:c>
      <x:c r="G57" s="144" t="str">
        <x:v>OEM电源/唤醒/功耗规范。</x:v>
      </x:c>
      <x:c r="H57" s="144" t="str">
        <x:v>东软</x:v>
      </x:c>
      <x:c r="I57" s="144" t="str">
        <x:v>M2-03,M2-05,M2-09</x:v>
      </x:c>
      <x:c r="J57" s="144" t="str">
        <x:v>状态机、action list、功耗/复位报告。</x:v>
      </x:c>
      <x:c r="K57" s="144" t="str">
        <x:v>冷/热/欠压/诊断/WDG/Can wake及掉电一致性通过。</x:v>
      </x:c>
      <x:c r="L57" s="144" t="str">
        <x:v>P0</x:v>
      </x:c>
      <x:c r="M57" s="153" t="n">
        <x:v>12</x:v>
      </x:c>
      <x:c r="N57" s="144" t="str">
        <x:v>未开始</x:v>
      </x:c>
      <x:c r="O57" s="144" t="str">
        <x:v>T2系统服务</x:v>
      </x:c>
      <x:c r="P57" s="144" t="str">
        <x:v>EcuM_PBcfg.c:33-58；EcuM_Cfg.h:75-110</x:v>
      </x:c>
    </x:row>
    <x:row r="58" ht="82" customHeight="1">
      <x:c r="A58" s="144" t="str">
        <x:v>M2-16</x:v>
      </x:c>
      <x:c r="B58" s="144" t="str">
        <x:v>M2</x:v>
      </x:c>
      <x:c r="C58" s="144" t="str">
        <x:v>看门狗</x:v>
      </x:c>
      <x:c r="D58" s="144" t="str">
        <x:v>最终WdgM/PMIC监控架构</x:v>
      </x:c>
      <x:c r="E58" s="144" t="str">
        <x:v>决定并实现监督实体、alive/deadline/logical、外部PMIC窗口、复位原因和诊断服务期间策略。</x:v>
      </x:c>
      <x:c r="F58" s="144" t="str">
        <x:v>现WdgM虽生成1 SE/1 CP但应用和驱动为空。</x:v>
      </x:c>
      <x:c r="G58" s="144" t="str">
        <x:v>安全目标/监控列表、复位容限。</x:v>
      </x:c>
      <x:c r="H58" s="144" t="str">
        <x:v>双方</x:v>
      </x:c>
      <x:c r="I58" s="144" t="str">
        <x:v>M1-23</x:v>
      </x:c>
      <x:c r="J58" s="144" t="str">
        <x:v>Wdg矩阵、配置、故障注入。</x:v>
      </x:c>
      <x:c r="K58" s="144" t="str">
        <x:v>每个受监控实体早/晚/不喂、任务卡死、ISR洪泛、启动/编程场景判定正确。</x:v>
      </x:c>
      <x:c r="L58" s="144" t="str">
        <x:v>P0</x:v>
      </x:c>
      <x:c r="M58" s="153" t="n">
        <x:v>12</x:v>
      </x:c>
      <x:c r="N58" s="144" t="str">
        <x:v>未开始</x:v>
      </x:c>
      <x:c r="O58" s="144" t="str">
        <x:v>T2 WdgM/WdgIf</x:v>
      </x:c>
      <x:c r="P58" s="144" t="str">
        <x:v>WdgM_Cfg.c:65-130；ASW_WDG.c</x:v>
      </x:c>
    </x:row>
    <x:row r="59" ht="82" customHeight="1">
      <x:c r="A59" s="144" t="str">
        <x:v>M2-17</x:v>
      </x:c>
      <x:c r="B59" s="144" t="str">
        <x:v>M2</x:v>
      </x:c>
      <x:c r="C59" s="144" t="str">
        <x:v>XCP</x:v>
      </x:c>
      <x:c r="D59" s="144" t="str">
        <x:v>量产XCP/A2L策略</x:v>
      </x:c>
      <x:c r="E59" s="144" t="str">
        <x:v>配置XCP on CAN、DAQ/event/A2L；量产生命周期关闭或使用白名单和批准Seed&amp;Key；禁止任意地址访问。</x:v>
      </x:c>
      <x:c r="F59" s="144" t="str">
        <x:v>现Tx 0x778/Rx0x332、64B、10ms event；seed/key样例且内存保护关闭。</x:v>
      </x:c>
      <x:c r="G59" s="144" t="str">
        <x:v>标定变量、地址白名单、量产策略。</x:v>
      </x:c>
      <x:c r="H59" s="144" t="str">
        <x:v>双方</x:v>
      </x:c>
      <x:c r="I59" s="144" t="str">
        <x:v>M2-01,M2-12</x:v>
      </x:c>
      <x:c r="J59" s="144" t="str">
        <x:v>A2L、XCP配置、权限矩阵和CANape报告。</x:v>
      </x:c>
      <x:c r="K59" s="144" t="str">
        <x:v>四角ID映射、DAQ一致；非法地址/错误key/量产模式访问被拒。</x:v>
      </x:c>
      <x:c r="L59" s="144" t="str">
        <x:v>P0</x:v>
      </x:c>
      <x:c r="M59" s="153" t="n">
        <x:v>10</x:v>
      </x:c>
      <x:c r="N59" s="144" t="str">
        <x:v>未开始</x:v>
      </x:c>
      <x:c r="O59" s="144" t="str">
        <x:v>T2 XCP</x:v>
      </x:c>
      <x:c r="P59" s="144" t="str">
        <x:v>Xcp_Cfg.h:59-175；Xcp_SeedAndKey.c:14-181</x:v>
      </x:c>
    </x:row>
    <x:row r="60" ht="82" customHeight="1">
      <x:c r="A60" s="144" t="str">
        <x:v>M2-18</x:v>
      </x:c>
      <x:c r="B60" s="144" t="str">
        <x:v>M2</x:v>
      </x:c>
      <x:c r="C60" s="144" t="str">
        <x:v>MCAL</x:v>
      </x:c>
      <x:c r="D60" s="144" t="str">
        <x:v>完整ADC/SPI/UART/DIO</x:v>
      </x:c>
      <x:c r="E60" s="144" t="str">
        <x:v>核对12 ADC channel与2 group、预留通道、UART和全部DIO；补齐硬件诊断。</x:v>
      </x:c>
      <x:c r="F60" s="144" t="str">
        <x:v>ADC配置12通道但仅7通道入group。</x:v>
      </x:c>
      <x:c r="G60" s="144" t="str">
        <x:v>原理图/HSI/测试点。</x:v>
      </x:c>
      <x:c r="H60" s="144" t="str">
        <x:v>东软</x:v>
      </x:c>
      <x:c r="I60" s="144" t="str">
        <x:v>M1-04</x:v>
      </x:c>
      <x:c r="J60" s="144" t="str">
        <x:v>完整MCAL配置与板级I/O报告。</x:v>
      </x:c>
      <x:c r="K60" s="144" t="str">
        <x:v>每通道范围/精度/采样/故障检测通过；预留项有批准说明。</x:v>
      </x:c>
      <x:c r="L60" s="144" t="str">
        <x:v>P1</x:v>
      </x:c>
      <x:c r="M60" s="153" t="n">
        <x:v>10</x:v>
      </x:c>
      <x:c r="N60" s="144" t="str">
        <x:v>未开始</x:v>
      </x:c>
      <x:c r="O60" s="144" t="str">
        <x:v>T2 MCAL</x:v>
      </x:c>
      <x:c r="P60" s="144" t="str">
        <x:v>Adc_PBcfg.c:70-305</x:v>
      </x:c>
    </x:row>
    <x:row r="61" ht="82" customHeight="1">
      <x:c r="A61" s="144" t="str">
        <x:v>M2-19</x:v>
      </x:c>
      <x:c r="B61" s="144" t="str">
        <x:v>M2</x:v>
      </x:c>
      <x:c r="C61" s="144" t="str">
        <x:v>CDD</x:v>
      </x:c>
      <x:c r="D61" s="144" t="str">
        <x:v>LP87745/TCAN1043/外部器件量产CDD</x:v>
      </x:c>
      <x:c r="E61" s="144" t="str">
        <x:v>补齐初始化、诊断、故障、超时、复位、低功耗和DET/DEM映射；区分客户已有CDD与东软适配责任。</x:v>
      </x:c>
      <x:c r="F61" s="144" t="str">
        <x:v>附件写CDD由用户自主开发，但计划又要求供应商联调。</x:v>
      </x:c>
      <x:c r="G61" s="144" t="str">
        <x:v>CDD源码/接口/芯片手册。</x:v>
      </x:c>
      <x:c r="H61" s="144" t="str">
        <x:v>双方</x:v>
      </x:c>
      <x:c r="I61" s="144" t="str">
        <x:v>M1-06,M2-15</x:v>
      </x:c>
      <x:c r="J61" s="144" t="str">
        <x:v>CDD ICD、适配层和故障报告。</x:v>
      </x:c>
      <x:c r="K61" s="144" t="str">
        <x:v>开短路/通信失败/欠压/过温/复位/休眠唤醒按矩阵处理。</x:v>
      </x:c>
      <x:c r="L61" s="144" t="str">
        <x:v>P1</x:v>
      </x:c>
      <x:c r="M61" s="153" t="n">
        <x:v>12</x:v>
      </x:c>
      <x:c r="N61" s="144" t="str">
        <x:v>未开始</x:v>
      </x:c>
      <x:c r="O61" s="144" t="str">
        <x:v>T2 CDD</x:v>
      </x:c>
      <x:c r="P61" s="144" t="str">
        <x:v>项目信息Sheet；EcuM_Callout_Stubs.c</x:v>
      </x:c>
    </x:row>
    <x:row r="62" ht="82" customHeight="1">
      <x:c r="A62" s="144" t="str">
        <x:v>M2-20</x:v>
      </x:c>
      <x:c r="B62" s="144" t="str">
        <x:v>M2</x:v>
      </x:c>
      <x:c r="C62" s="144" t="str">
        <x:v>Boot接口</x:v>
      </x:c>
      <x:c r="D62" s="144" t="str">
        <x:v>应用↔Boot warm start/reprogramming</x:v>
      </x:c>
      <x:c r="E62" s="144" t="str">
        <x:v>实现ReprogrammingFlag、ResetReason、ComM FULL后warm response、编程会话切换和NvM收尾。</x:v>
      </x:c>
      <x:c r="F62" s="144" t="str">
        <x:v>现SetProgConditions为空，部分reset callback为空。</x:v>
      </x:c>
      <x:c r="G62" s="144" t="str">
        <x:v>Boot ICD、刷新流程。</x:v>
      </x:c>
      <x:c r="H62" s="144" t="str">
        <x:v>双方</x:v>
      </x:c>
      <x:c r="I62" s="144" t="str">
        <x:v>M2-05,M2-09,M2-15</x:v>
      </x:c>
      <x:c r="J62" s="144" t="str">
        <x:v>接口代码、状态机和刷写测试。</x:v>
      </x:c>
      <x:c r="K62" s="144" t="str">
        <x:v>10/02、06会话进入Boot；复位前后响应、flag清理、超时和失败恢复正确。</x:v>
      </x:c>
      <x:c r="L62" s="144" t="str">
        <x:v>P0</x:v>
      </x:c>
      <x:c r="M62" s="153" t="n">
        <x:v>10</x:v>
      </x:c>
      <x:c r="N62" s="144" t="str">
        <x:v>未开始</x:v>
      </x:c>
      <x:c r="O62" s="144" t="str">
        <x:v>Boot联调</x:v>
      </x:c>
      <x:c r="P62" s="144" t="str">
        <x:v>Dia_FBL.c:18-100；Dia_FBL_WarmStart.c:9-118</x:v>
      </x:c>
    </x:row>
    <x:row r="63" ht="82" customHeight="1">
      <x:c r="A63" s="144" t="str">
        <x:v>M2-21</x:v>
      </x:c>
      <x:c r="B63" s="144" t="str">
        <x:v>M2</x:v>
      </x:c>
      <x:c r="C63" s="144" t="str">
        <x:v>安全启动</x:v>
      </x:c>
      <x:c r="D63" s="144" t="str">
        <x:v>HSM/secure boot生命周期集成</x:v>
      </x:c>
      <x:c r="E63" s="144" t="str">
        <x:v>集成授权HSM二进制；冻结SHA512/RSA/AES-GCM接口、生命周期、签名请求/KMS职责；不得交付密钥。</x:v>
      </x:c>
      <x:c r="F63" s="144" t="str">
        <x:v>efused签名依赖外部KMS路径；anti-rollback未见实现。</x:v>
      </x:c>
      <x:c r="G63" s="144" t="str">
        <x:v>HSM/KMS服务协议、生命周期/回滚决策。</x:v>
      </x:c>
      <x:c r="H63" s="144" t="str">
        <x:v>双方/安全方</x:v>
      </x:c>
      <x:c r="I63" s="144" t="str">
        <x:v>M2-20</x:v>
      </x:c>
      <x:c r="J63" s="144" t="str">
        <x:v>安全接口、unsigned artifact、manifest、验证报告。</x:v>
      </x:c>
      <x:c r="K63" s="144" t="str">
        <x:v>篡改/错误key/tag/生命周期/HSM忙或重启行为符合规范；秘密不落地。</x:v>
      </x:c>
      <x:c r="L63" s="144" t="str">
        <x:v>P0</x:v>
      </x:c>
      <x:c r="M63" s="153" t="n">
        <x:v>15</x:v>
      </x:c>
      <x:c r="N63" s="144" t="str">
        <x:v>未开始</x:v>
      </x:c>
      <x:c r="O63" s="144" t="str">
        <x:v>信息安全待讨论</x:v>
      </x:c>
      <x:c r="P63" s="144" t="str">
        <x:v>rbSecBoot.c:178-403；KMS_Signning.py</x:v>
      </x:c>
    </x:row>
    <x:row r="64" ht="82" customHeight="1">
      <x:c r="A64" s="144" t="str">
        <x:v>M2-22</x:v>
      </x:c>
      <x:c r="B64" s="144" t="str">
        <x:v>M2</x:v>
      </x:c>
      <x:c r="C64" s="144" t="str">
        <x:v>产线/标定</x:v>
      </x:c>
      <x:c r="D64" s="144" t="str">
        <x:v>WFDA/CUDA/CLDA与EOL流程</x:v>
      </x:c>
      <x:c r="E64" s="144" t="str">
        <x:v>定义数据生成、签名/加密、编程、读取验证、返工、版本与审计。</x:v>
      </x:c>
      <x:c r="F64" s="144" t="str">
        <x:v>主链依赖CUDA/CLDA，不能只作为工具附件。</x:v>
      </x:c>
      <x:c r="G64" s="144" t="str">
        <x:v>产线需求、合法模板、密钥边界。</x:v>
      </x:c>
      <x:c r="H64" s="144" t="str">
        <x:v>双方</x:v>
      </x:c>
      <x:c r="I64" s="144" t="str">
        <x:v>M1-11,M2-21</x:v>
      </x:c>
      <x:c r="J64" s="144" t="str">
        <x:v>EOL工具/手顺、数据schema和审计记录。</x:v>
      </x:c>
      <x:c r="K64" s="144" t="str">
        <x:v>合法/错误/重复/错位置数据处理正确；产线可追溯且不暴露密钥。</x:v>
      </x:c>
      <x:c r="L64" s="144" t="str">
        <x:v>P1</x:v>
      </x:c>
      <x:c r="M64" s="153" t="n">
        <x:v>10</x:v>
      </x:c>
      <x:c r="N64" s="144" t="str">
        <x:v>未开始</x:v>
      </x:c>
      <x:c r="O64" s="144" t="str">
        <x:v>原计划缺失</x:v>
      </x:c>
      <x:c r="P64" s="144" t="str">
        <x:v>tools/WFDA_CUDA_CLDA_gen；rbSecBoot.c</x:v>
      </x:c>
    </x:row>
    <x:row r="65" ht="82" customHeight="1">
      <x:c r="A65" s="144" t="str">
        <x:v>M2-23</x:v>
      </x:c>
      <x:c r="B65" s="144" t="str">
        <x:v>M2</x:v>
      </x:c>
      <x:c r="C65" s="144" t="str">
        <x:v>EDR/NvM</x:v>
      </x:c>
      <x:c r="D65" s="144" t="str">
        <x:v>EDR与大块数据策略</x:v>
      </x:c>
      <x:c r="E65" s="144" t="str">
        <x:v>定义ID99/100各4900B和write flag的触发、频率、掉电、寿命、并发与读取服务。</x:v>
      </x:c>
      <x:c r="F65" s="144" t="str">
        <x:v>两大块无永久RAM且Resistant，需明确API和寿命。</x:v>
      </x:c>
      <x:c r="G65" s="144" t="str">
        <x:v>EDR需求、写频率、诊断接口。</x:v>
      </x:c>
      <x:c r="H65" s="144" t="str">
        <x:v>双方</x:v>
      </x:c>
      <x:c r="I65" s="144" t="str">
        <x:v>M2-05,M2-06</x:v>
      </x:c>
      <x:c r="J65" s="144" t="str">
        <x:v>EDR数据字典、寿命评估和断电测试。</x:v>
      </x:c>
      <x:c r="K65" s="144" t="str">
        <x:v>最大频率和电源循环下寿命满足要求；中断写入可恢复。</x:v>
      </x:c>
      <x:c r="L65" s="144" t="str">
        <x:v>P1</x:v>
      </x:c>
      <x:c r="M65" s="153" t="n">
        <x:v>8</x:v>
      </x:c>
      <x:c r="N65" s="144" t="str">
        <x:v>未开始</x:v>
      </x:c>
      <x:c r="O65" s="144" t="str">
        <x:v>T2 NvM</x:v>
      </x:c>
      <x:c r="P65" s="144" t="str">
        <x:v>NvM_Cfg.c ID99-101</x:v>
      </x:c>
    </x:row>
    <x:row r="66" ht="82" customHeight="1">
      <x:c r="A66" s="144" t="str">
        <x:v>M2-24</x:v>
      </x:c>
      <x:c r="B66" s="144" t="str">
        <x:v>M2</x:v>
      </x:c>
      <x:c r="C66" s="144" t="str">
        <x:v>诊断存储</x:v>
      </x:c>
      <x:c r="D66" s="144" t="str">
        <x:v>Dem/NvM同步块与40条事件存储</x:v>
      </x:c>
      <x:c r="E66" s="144" t="str">
        <x:v>验证ID29..90/102共享镜像、40 event entries、status byte和extra info的并发与一致性。</x:v>
      </x:c>
      <x:c r="F66" s="144" t="str">
        <x:v>这些块使用explicit sync共享镜像。</x:v>
      </x:c>
      <x:c r="G66" s="144" t="str">
        <x:v>Dem数据记录定义。</x:v>
      </x:c>
      <x:c r="H66" s="144" t="str">
        <x:v>东软</x:v>
      </x:c>
      <x:c r="I66" s="144" t="str">
        <x:v>M2-05,M2-08</x:v>
      </x:c>
      <x:c r="J66" s="144" t="str">
        <x:v>映射表、并发/断电测试。</x:v>
      </x:c>
      <x:c r="K66" s="144" t="str">
        <x:v>Dcm 0x19读取与Dem内部状态一致；并发写/清/掉电无污染。</x:v>
      </x:c>
      <x:c r="L66" s="144" t="str">
        <x:v>P0</x:v>
      </x:c>
      <x:c r="M66" s="153" t="n">
        <x:v>8</x:v>
      </x:c>
      <x:c r="N66" s="144" t="str">
        <x:v>未开始</x:v>
      </x:c>
      <x:c r="O66" s="144" t="str">
        <x:v>T2 Dem/NvM</x:v>
      </x:c>
      <x:c r="P66" s="144" t="str">
        <x:v>NvM_Cfg.c ID29-90,102；Dem_Cfg_Nvm.h</x:v>
      </x:c>
    </x:row>
    <x:row r="67" ht="82" customHeight="1">
      <x:c r="A67" s="144" t="str">
        <x:v>M2-25</x:v>
      </x:c>
      <x:c r="B67" s="144" t="str">
        <x:v>M2</x:v>
      </x:c>
      <x:c r="C67" s="144" t="str">
        <x:v>通信逻辑</x:v>
      </x:c>
      <x:c r="D67" s="144" t="str">
        <x:v>客户网络状态与强制休眠</x:v>
      </x:c>
      <x:c r="E67" s="144" t="str">
        <x:v>重写并验证0x12D/0x49A/0x1C6等管理逻辑、动态ID、位置映射、强制休眠。</x:v>
      </x:c>
      <x:c r="F67" s="144" t="str">
        <x:v>现0x49A超时逻辑疑似误用12D flag。</x:v>
      </x:c>
      <x:c r="G67" s="144" t="str">
        <x:v>客户网络状态需求。</x:v>
      </x:c>
      <x:c r="H67" s="144" t="str">
        <x:v>东软</x:v>
      </x:c>
      <x:c r="I67" s="144" t="str">
        <x:v>M2-01,M2-03</x:v>
      </x:c>
      <x:c r="J67" s="144" t="str">
        <x:v>状态机、单元/集成测试。</x:v>
      </x:c>
      <x:c r="K67" s="144" t="str">
        <x:v>各报文正常/超时/翻转组合无串扰；位置和休眠行为正确。</x:v>
      </x:c>
      <x:c r="L67" s="144" t="str">
        <x:v>P0</x:v>
      </x:c>
      <x:c r="M67" s="153" t="n">
        <x:v>8</x:v>
      </x:c>
      <x:c r="N67" s="144" t="str">
        <x:v>未开始</x:v>
      </x:c>
      <x:c r="O67" s="144" t="str">
        <x:v>T2 NM/COM</x:v>
      </x:c>
      <x:c r="P67" s="144" t="str">
        <x:v>components/com/src/net_X_Mngmt.c:137-156</x:v>
      </x:c>
    </x:row>
    <x:row r="68" ht="82" customHeight="1">
      <x:c r="A68" s="144" t="str">
        <x:v>M2-26</x:v>
      </x:c>
      <x:c r="B68" s="144" t="str">
        <x:v>M2</x:v>
      </x:c>
      <x:c r="C68" s="144" t="str">
        <x:v>质量</x:v>
      </x:c>
      <x:c r="D68" s="144" t="str">
        <x:v>模块单元测试扩充</x:v>
      </x:c>
      <x:c r="E68" s="144" t="str">
        <x:v>把客户22模块及BSW适配纳入CI；为状态机、诊断、NvM、通信、CDD增加单测和mock。</x:v>
      </x:c>
      <x:c r="F68" s="144" t="str">
        <x:v>CI当前仅8个安全模块，客户module list有22个。</x:v>
      </x:c>
      <x:c r="G68" s="144" t="str">
        <x:v>覆盖率阈值。</x:v>
      </x:c>
      <x:c r="H68" s="144" t="str">
        <x:v>东软</x:v>
      </x:c>
      <x:c r="I68" s="144" t="str">
        <x:v>M2-01..25</x:v>
      </x:c>
      <x:c r="J68" s="144" t="str">
        <x:v>UT源码、报告、覆盖率。</x:v>
      </x:c>
      <x:c r="K68" s="144" t="str">
        <x:v>全部目标模块运行；门禁阈值写入合同；无被注释的关键用例。</x:v>
      </x:c>
      <x:c r="L68" s="144" t="str">
        <x:v>P1</x:v>
      </x:c>
      <x:c r="M68" s="153" t="n">
        <x:v>15</x:v>
      </x:c>
      <x:c r="N68" s="144" t="str">
        <x:v>未开始</x:v>
      </x:c>
      <x:c r="O68" s="144" t="str">
        <x:v>全功能自测</x:v>
      </x:c>
      <x:c r="P68" s="144" t="str">
        <x:v>unittest_list.json；module_lists_coem.json</x:v>
      </x:c>
    </x:row>
    <x:row r="69" ht="82" customHeight="1">
      <x:c r="A69" s="144" t="str">
        <x:v>M2-27</x:v>
      </x:c>
      <x:c r="B69" s="144" t="str">
        <x:v>M2</x:v>
      </x:c>
      <x:c r="C69" s="144" t="str">
        <x:v>集成</x:v>
      </x:c>
      <x:c r="D69" s="144" t="str">
        <x:v>全功能HIL/Restbus回归</x:v>
      </x:c>
      <x:c r="E69" s="144" t="str">
        <x:v>覆盖通信、诊断、NvM、NM、时间同步、Wdg、Boot接口和四角变体。</x:v>
      </x:c>
      <x:c r="F69" s="144" t="str">
        <x:v>原计划仅写“功能正常”，缺少刺激/观测/判据。</x:v>
      </x:c>
      <x:c r="G69" s="144" t="str">
        <x:v>HIL/Restbus环境和用例。</x:v>
      </x:c>
      <x:c r="H69" s="144" t="str">
        <x:v>东软/验证组</x:v>
      </x:c>
      <x:c r="I69" s="144" t="str">
        <x:v>M2-01..26</x:v>
      </x:c>
      <x:c r="J69" s="144" t="str">
        <x:v>自动化脚本、日志、报告。</x:v>
      </x:c>
      <x:c r="K69" s="144" t="str">
        <x:v>03_验收矩阵中M2用例通过率100%，偏差经批准。</x:v>
      </x:c>
      <x:c r="L69" s="144" t="str">
        <x:v>P0</x:v>
      </x:c>
      <x:c r="M69" s="153" t="n">
        <x:v>15</x:v>
      </x:c>
      <x:c r="N69" s="144" t="str">
        <x:v>未开始</x:v>
      </x:c>
      <x:c r="O69" s="144" t="str">
        <x:v>全功能自测</x:v>
      </x:c>
      <x:c r="P69" s="144" t="str">
        <x:v>本工作簿03_验收矩阵</x:v>
      </x:c>
    </x:row>
    <x:row r="70" ht="82" customHeight="1">
      <x:c r="A70" s="144" t="str">
        <x:v>M2-28</x:v>
      </x:c>
      <x:c r="B70" s="144" t="str">
        <x:v>M2</x:v>
      </x:c>
      <x:c r="C70" s="144" t="str">
        <x:v>性能</x:v>
      </x:c>
      <x:c r="D70" s="144" t="str">
        <x:v>满负载资源复核</x:v>
      </x:c>
      <x:c r="E70" s="144" t="str">
        <x:v>在全量CAN/DCM/Dem/NvM/XCP和算法负载下复测CPU/WCET/栈/内存/总线/Flash队列。</x:v>
      </x:c>
      <x:c r="F70" s="144" t="str">
        <x:v>M1资源结论不能替代全功能负载。</x:v>
      </x:c>
      <x:c r="G70" s="144" t="str">
        <x:v>满负载场景与指标。</x:v>
      </x:c>
      <x:c r="H70" s="144" t="str">
        <x:v>东软</x:v>
      </x:c>
      <x:c r="I70" s="144" t="str">
        <x:v>M2-27</x:v>
      </x:c>
      <x:c r="J70" s="144" t="str">
        <x:v>资源报告与优化记录。</x:v>
      </x:c>
      <x:c r="K70" s="144" t="str">
        <x:v>所有实时门限和裕量满足合同；无任务饿死和NvM队列失控。</x:v>
      </x:c>
      <x:c r="L70" s="144" t="str">
        <x:v>P0</x:v>
      </x:c>
      <x:c r="M70" s="153" t="n">
        <x:v>7</x:v>
      </x:c>
      <x:c r="N70" s="144" t="str">
        <x:v>未开始</x:v>
      </x:c>
      <x:c r="O70" s="144" t="str">
        <x:v>全功能自测</x:v>
      </x:c>
      <x:c r="P70" s="144" t="str">
        <x:v>OS/BSW配置</x:v>
      </x:c>
    </x:row>
    <x:row r="71" ht="82" customHeight="1">
      <x:c r="A71" s="144" t="str">
        <x:v>M2-29</x:v>
      </x:c>
      <x:c r="B71" s="144" t="str">
        <x:v>M2</x:v>
      </x:c>
      <x:c r="C71" s="144" t="str">
        <x:v>文档/追踪</x:v>
      </x:c>
      <x:c r="D71" s="144" t="str">
        <x:v>配置规格与用户手册</x:v>
      </x:c>
      <x:c r="E71" s="144" t="str">
        <x:v>交付模块配置规格、接口、状态机、错误处理、构建/调试/刷写和维护说明。</x:v>
      </x:c>
      <x:c r="F71" s="144" t="str">
        <x:v>原交付物未要求配置逐项可审计。</x:v>
      </x:c>
      <x:c r="G71" s="144" t="str">
        <x:v>M2配置基线。</x:v>
      </x:c>
      <x:c r="H71" s="144" t="str">
        <x:v>东软</x:v>
      </x:c>
      <x:c r="I71" s="144" t="str">
        <x:v>M2-01..28</x:v>
      </x:c>
      <x:c r="J71" s="144" t="str">
        <x:v>完整文档、RTM、KnownIssues。</x:v>
      </x:c>
      <x:c r="K71" s="144" t="str">
        <x:v>随机抽样可从需求定位到配置、代码、测试和报告。</x:v>
      </x:c>
      <x:c r="L71" s="144" t="str">
        <x:v>P1</x:v>
      </x:c>
      <x:c r="M71" s="153" t="n">
        <x:v>8</x:v>
      </x:c>
      <x:c r="N71" s="144" t="str">
        <x:v>未开始</x:v>
      </x:c>
      <x:c r="O71" s="144" t="str">
        <x:v>版本交付</x:v>
      </x:c>
      <x:c r="P71" s="144" t="str">
        <x:v>所有模块</x:v>
      </x:c>
    </x:row>
    <x:row r="72" ht="82" customHeight="1">
      <x:c r="A72" s="144" t="str">
        <x:v>M2-30</x:v>
      </x:c>
      <x:c r="B72" s="144" t="str">
        <x:v>M2</x:v>
      </x:c>
      <x:c r="C72" s="144" t="str">
        <x:v>Gate</x:v>
      </x:c>
      <x:c r="D72" s="144" t="str">
        <x:v>量产功能Gate</x:v>
      </x:c>
      <x:c r="E72" s="144" t="str">
        <x:v>按完整需求、配置diff、HIL、资源和安全问题评审。</x:v>
      </x:c>
      <x:c r="F72" s="144" t="str">
        <x:v>原T2工期5周且无量化Gate。</x:v>
      </x:c>
      <x:c r="G72" s="144" t="str">
        <x:v>M2全部交付。</x:v>
      </x:c>
      <x:c r="H72" s="144" t="str">
        <x:v>双方/验证组</x:v>
      </x:c>
      <x:c r="I72" s="144" t="str">
        <x:v>M2-01..29</x:v>
      </x:c>
      <x:c r="J72" s="144" t="str">
        <x:v>M2签署报告。</x:v>
      </x:c>
      <x:c r="K72" s="144" t="str">
        <x:v>P0/P1缺陷关闭；所有阻塞输入已签署；M3发布候选可生成。</x:v>
      </x:c>
      <x:c r="L72" s="144" t="str">
        <x:v>P0</x:v>
      </x:c>
      <x:c r="M72" s="153" t="n">
        <x:v>3</x:v>
      </x:c>
      <x:c r="N72" s="144" t="str">
        <x:v>未开始</x:v>
      </x:c>
      <x:c r="O72" s="144" t="str">
        <x:v>T2版本交付</x:v>
      </x:c>
      <x:c r="P72" s="144" t="str">
        <x:v>本评审结论</x:v>
      </x:c>
    </x:row>
    <x:row r="73" ht="82" customHeight="1">
      <x:c r="A73" s="144" t="str">
        <x:v>M3-01</x:v>
      </x:c>
      <x:c r="B73" s="144" t="str">
        <x:v>M3</x:v>
      </x:c>
      <x:c r="C73" s="144" t="str">
        <x:v>发布</x:v>
      </x:c>
      <x:c r="D73" s="144" t="str">
        <x:v>构建矩阵与制品一致性</x:v>
      </x:c>
      <x:c r="E73" s="144" t="str">
        <x:v>覆盖V3/V4、Efused/Non-Efused、角位置/车型、PBL/FBL/App；禁止空归档与文件名错配。</x:v>
      </x:c>
      <x:c r="F73" s="144" t="str">
        <x:v>现build/hw_test制品名可能不一致且允许空归档。</x:v>
      </x:c>
      <x:c r="G73" s="144" t="str">
        <x:v>正式发布矩阵。</x:v>
      </x:c>
      <x:c r="H73" s="144" t="str">
        <x:v>东软</x:v>
      </x:c>
      <x:c r="I73" s="144" t="str">
        <x:v>M2-30</x:v>
      </x:c>
      <x:c r="J73" s="144" t="str">
        <x:v>全部制品、manifest、hash、日志。</x:v>
      </x:c>
      <x:c r="K73" s="144" t="str">
        <x:v>每一组合均有唯一制品；无空归档；名称与容器/HW job一致。</x:v>
      </x:c>
      <x:c r="L73" s="144" t="str">
        <x:v>P0</x:v>
      </x:c>
      <x:c r="M73" s="153" t="n">
        <x:v>8</x:v>
      </x:c>
      <x:c r="N73" s="144" t="str">
        <x:v>未开始</x:v>
      </x:c>
      <x:c r="O73" s="144" t="str">
        <x:v>原验收</x:v>
      </x:c>
      <x:c r="P73" s="144" t="str">
        <x:v>jenkins build.yaml:64-90；hw_test.yaml:39</x:v>
      </x:c>
    </x:row>
    <x:row r="74" ht="82" customHeight="1">
      <x:c r="A74" s="144" t="str">
        <x:v>M3-02</x:v>
      </x:c>
      <x:c r="B74" s="144" t="str">
        <x:v>M3</x:v>
      </x:c>
      <x:c r="C74" s="144" t="str">
        <x:v>质量</x:v>
      </x:c>
      <x:c r="D74" s="144" t="str">
        <x:v>静态分析/MISRA</x:v>
      </x:c>
      <x:c r="E74" s="144" t="str">
        <x:v>运行QAC/Coverity或批准工具；对生成/vendor代码采用明确豁免边界。</x:v>
      </x:c>
      <x:c r="F74" s="144" t="str">
        <x:v>现计划只泛称自测。</x:v>
      </x:c>
      <x:c r="G74" s="144" t="str">
        <x:v>质量门禁。</x:v>
      </x:c>
      <x:c r="H74" s="144" t="str">
        <x:v>东软</x:v>
      </x:c>
      <x:c r="I74" s="144" t="str">
        <x:v>M2-30</x:v>
      </x:c>
      <x:c r="J74" s="144" t="str">
        <x:v>报告、基线、偏差批准。</x:v>
      </x:c>
      <x:c r="K74" s="144" t="str">
        <x:v>新增High/Critical为0；所有偏差有owner/理由/期限。</x:v>
      </x:c>
      <x:c r="L74" s="144" t="str">
        <x:v>P0</x:v>
      </x:c>
      <x:c r="M74" s="153" t="n">
        <x:v>8</x:v>
      </x:c>
      <x:c r="N74" s="144" t="str">
        <x:v>未开始</x:v>
      </x:c>
      <x:c r="O74" s="144" t="str">
        <x:v>原验收</x:v>
      </x:c>
      <x:c r="P74" s="144" t="str">
        <x:v>jenkins质量流程</x:v>
      </x:c>
    </x:row>
    <x:row r="75" ht="82" customHeight="1">
      <x:c r="A75" s="144" t="str">
        <x:v>M3-03</x:v>
      </x:c>
      <x:c r="B75" s="144" t="str">
        <x:v>M3</x:v>
      </x:c>
      <x:c r="C75" s="144" t="str">
        <x:v>质量</x:v>
      </x:c>
      <x:c r="D75" s="144" t="str">
        <x:v>覆盖率与UT硬门禁</x:v>
      </x:c>
      <x:c r="E75" s="144" t="str">
        <x:v>统一8/22模块及新增模块，设statement/branch/function阈值并纳入CI。</x:v>
      </x:c>
      <x:c r="F75" s="144" t="str">
        <x:v>当前无明确覆盖率阈值。</x:v>
      </x:c>
      <x:c r="G75" s="144" t="str">
        <x:v>批准阈值。</x:v>
      </x:c>
      <x:c r="H75" s="144" t="str">
        <x:v>东软</x:v>
      </x:c>
      <x:c r="I75" s="144" t="str">
        <x:v>M2-26</x:v>
      </x:c>
      <x:c r="J75" s="144" t="str">
        <x:v>覆盖率报告、CI Gate。</x:v>
      </x:c>
      <x:c r="K75" s="144" t="str">
        <x:v>低于阈值构建失败；排除项经批准。</x:v>
      </x:c>
      <x:c r="L75" s="144" t="str">
        <x:v>P0</x:v>
      </x:c>
      <x:c r="M75" s="153" t="n">
        <x:v>6</x:v>
      </x:c>
      <x:c r="N75" s="144" t="str">
        <x:v>未开始</x:v>
      </x:c>
      <x:c r="O75" s="144" t="str">
        <x:v>原验收</x:v>
      </x:c>
      <x:c r="P75" s="144" t="str">
        <x:v>unittest配置</x:v>
      </x:c>
    </x:row>
    <x:row r="76" ht="82" customHeight="1">
      <x:c r="A76" s="144" t="str">
        <x:v>M3-04</x:v>
      </x:c>
      <x:c r="B76" s="144" t="str">
        <x:v>M3</x:v>
      </x:c>
      <x:c r="C76" s="144" t="str">
        <x:v>鲁棒性</x:v>
      </x:c>
      <x:c r="D76" s="144" t="str">
        <x:v>电源循环/欠压/热复位</x:v>
      </x:c>
      <x:c r="E76" s="144" t="str">
        <x:v>覆盖冷启动、快速循环、欠压、brown-out、复位时NvM/Flash/IPC/算法各状态。</x:v>
      </x:c>
      <x:c r="F76" s="144" t="str">
        <x:v>启动、NvM与多核均有关键状态。</x:v>
      </x:c>
      <x:c r="G76" s="144" t="str">
        <x:v>电源台架和OEM指标。</x:v>
      </x:c>
      <x:c r="H76" s="144" t="str">
        <x:v>验证组</x:v>
      </x:c>
      <x:c r="I76" s="144" t="str">
        <x:v>M2-30</x:v>
      </x:c>
      <x:c r="J76" s="144" t="str">
        <x:v>自动化循环日志。</x:v>
      </x:c>
      <x:c r="K76" s="144" t="str">
        <x:v>次数/电压/时序按OEM；无砖化、数据污染或不可恢复状态。</x:v>
      </x:c>
      <x:c r="L76" s="144" t="str">
        <x:v>P0</x:v>
      </x:c>
      <x:c r="M76" s="153" t="n">
        <x:v>10</x:v>
      </x:c>
      <x:c r="N76" s="144" t="str">
        <x:v>未开始</x:v>
      </x:c>
      <x:c r="O76" s="144" t="str">
        <x:v>原验收</x:v>
      </x:c>
      <x:c r="P76" s="144" t="str">
        <x:v>EcuM/NvM/Boot链</x:v>
      </x:c>
    </x:row>
    <x:row r="77" ht="82" customHeight="1">
      <x:c r="A77" s="144" t="str">
        <x:v>M3-05</x:v>
      </x:c>
      <x:c r="B77" s="144" t="str">
        <x:v>M3</x:v>
      </x:c>
      <x:c r="C77" s="144" t="str">
        <x:v>存储</x:v>
      </x:c>
      <x:c r="D77" s="144" t="str">
        <x:v>Flash断电与耐久</x:v>
      </x:c>
      <x:c r="E77" s="144" t="str">
        <x:v>在erase/write/reorg/EDR/DEM/WriteAll各窗口断电；执行寿命模型与实际加速测试。</x:v>
      </x:c>
      <x:c r="F77" s="144" t="str">
        <x:v>Fee动态磨损均衡，物理地址会漂移。</x:v>
      </x:c>
      <x:c r="G77" s="144" t="str">
        <x:v>写频率和寿命目标。</x:v>
      </x:c>
      <x:c r="H77" s="144" t="str">
        <x:v>验证组</x:v>
      </x:c>
      <x:c r="I77" s="144" t="str">
        <x:v>M2-06,M2-23,M2-24</x:v>
      </x:c>
      <x:c r="J77" s="144" t="str">
        <x:v>断电/耐久报告。</x:v>
      </x:c>
      <x:c r="K77" s="144" t="str">
        <x:v>数据一致、冗余恢复、无越界；寿命满足合同。</x:v>
      </x:c>
      <x:c r="L77" s="144" t="str">
        <x:v>P0</x:v>
      </x:c>
      <x:c r="M77" s="153" t="n">
        <x:v>10</x:v>
      </x:c>
      <x:c r="N77" s="144" t="str">
        <x:v>未开始</x:v>
      </x:c>
      <x:c r="O77" s="144" t="str">
        <x:v>原验收</x:v>
      </x:c>
      <x:c r="P77" s="144" t="str">
        <x:v>Fee/Fls配置</x:v>
      </x:c>
    </x:row>
    <x:row r="78" ht="82" customHeight="1">
      <x:c r="A78" s="144" t="str">
        <x:v>M3-06</x:v>
      </x:c>
      <x:c r="B78" s="144" t="str">
        <x:v>M3</x:v>
      </x:c>
      <x:c r="C78" s="144" t="str">
        <x:v>网络</x:v>
      </x:c>
      <x:c r="D78" s="144" t="str">
        <x:v>总线鲁棒与休眠功耗</x:v>
      </x:c>
      <x:c r="E78" s="144" t="str">
        <x:v>满负载、错误帧、Bus-Off、丢NM、诊断唤醒、强制休眠、反复唤醒；实测静态电流。</x:v>
      </x:c>
      <x:c r="F78" s="144" t="str">
        <x:v>现休眠链约3s并经BswM→EcuM。</x:v>
      </x:c>
      <x:c r="G78" s="144" t="str">
        <x:v>OEM网络/功耗指标。</x:v>
      </x:c>
      <x:c r="H78" s="144" t="str">
        <x:v>验证组</x:v>
      </x:c>
      <x:c r="I78" s="144" t="str">
        <x:v>M2-03,M2-15,M2-25</x:v>
      </x:c>
      <x:c r="J78" s="144" t="str">
        <x:v>总线和功耗报告。</x:v>
      </x:c>
      <x:c r="K78" s="144" t="str">
        <x:v>所有时序/状态/电流/恢复满足OEM。</x:v>
      </x:c>
      <x:c r="L78" s="144" t="str">
        <x:v>P0</x:v>
      </x:c>
      <x:c r="M78" s="153" t="n">
        <x:v>10</x:v>
      </x:c>
      <x:c r="N78" s="144" t="str">
        <x:v>未开始</x:v>
      </x:c>
      <x:c r="O78" s="144" t="str">
        <x:v>原验收</x:v>
      </x:c>
      <x:c r="P78" s="144" t="str">
        <x:v>pf_LCM.c:23-32；BswM_Cfg_AC.c:1068-1077</x:v>
      </x:c>
    </x:row>
    <x:row r="79" ht="82" customHeight="1">
      <x:c r="A79" s="144" t="str">
        <x:v>M3-07</x:v>
      </x:c>
      <x:c r="B79" s="144" t="str">
        <x:v>M3</x:v>
      </x:c>
      <x:c r="C79" s="144" t="str">
        <x:v>雷达</x:v>
      </x:c>
      <x:c r="D79" s="144" t="str">
        <x:v>全角位置/场景/长稳</x:v>
      </x:c>
      <x:c r="E79" s="144" t="str">
        <x:v>四角位置、不同variant、目标场景、温度/电压、长时间真实发波，关联RF/帧/CAN。</x:v>
      </x:c>
      <x:c r="F79" s="144" t="str">
        <x:v>位置影响CUDA、时间片、算法和CAN。</x:v>
      </x:c>
      <x:c r="G79" s="144" t="str">
        <x:v>四角样件/场景/环境指标。</x:v>
      </x:c>
      <x:c r="H79" s="144" t="str">
        <x:v>验证组</x:v>
      </x:c>
      <x:c r="I79" s="144" t="str">
        <x:v>M2-30</x:v>
      </x:c>
      <x:c r="J79" s="144" t="str">
        <x:v>场景与长稳报告。</x:v>
      </x:c>
      <x:c r="K79" s="144" t="str">
        <x:v>无帧序错、内存问题、位置错映射；算法指标按甲方规范。</x:v>
      </x:c>
      <x:c r="L79" s="144" t="str">
        <x:v>P0</x:v>
      </x:c>
      <x:c r="M79" s="153" t="n">
        <x:v>15</x:v>
      </x:c>
      <x:c r="N79" s="144" t="str">
        <x:v>未开始</x:v>
      </x:c>
      <x:c r="O79" s="144" t="str">
        <x:v>原验收</x:v>
      </x:c>
      <x:c r="P79" s="144" t="str">
        <x:v>主链事实</x:v>
      </x:c>
    </x:row>
    <x:row r="80" ht="82" customHeight="1">
      <x:c r="A80" s="144" t="str">
        <x:v>M3-08</x:v>
      </x:c>
      <x:c r="B80" s="144" t="str">
        <x:v>M3</x:v>
      </x:c>
      <x:c r="C80" s="144" t="str">
        <x:v>诊断</x:v>
      </x:c>
      <x:c r="D80" s="144" t="str">
        <x:v>UDS一致性与故障注入</x:v>
      </x:c>
      <x:c r="E80" s="144" t="str">
        <x:v>服务/DID/Routine/DTC/安全/传输层全矩阵，含电源循环和多故障。</x:v>
      </x:c>
      <x:c r="F80" s="144" t="str">
        <x:v>Dcm/DEM配置规模大且QA仍多项待确认。</x:v>
      </x:c>
      <x:c r="G80" s="144" t="str">
        <x:v>正式诊断规范。</x:v>
      </x:c>
      <x:c r="H80" s="144" t="str">
        <x:v>验证组</x:v>
      </x:c>
      <x:c r="I80" s="144" t="str">
        <x:v>M2-08..14</x:v>
      </x:c>
      <x:c r="J80" s="144" t="str">
        <x:v>自动诊断报告。</x:v>
      </x:c>
      <x:c r="K80" s="144" t="str">
        <x:v>全部支持项和NRC/时序/持久化符合规范。</x:v>
      </x:c>
      <x:c r="L80" s="144" t="str">
        <x:v>P0</x:v>
      </x:c>
      <x:c r="M80" s="153" t="n">
        <x:v>12</x:v>
      </x:c>
      <x:c r="N80" s="144" t="str">
        <x:v>未开始</x:v>
      </x:c>
      <x:c r="O80" s="144" t="str">
        <x:v>原验收</x:v>
      </x:c>
      <x:c r="P80" s="144" t="str">
        <x:v>Dcm/Dem生成配置</x:v>
      </x:c>
    </x:row>
    <x:row r="81" ht="82" customHeight="1">
      <x:c r="A81" s="144" t="str">
        <x:v>M3-09</x:v>
      </x:c>
      <x:c r="B81" s="144" t="str">
        <x:v>M3</x:v>
      </x:c>
      <x:c r="C81" s="144" t="str">
        <x:v>安全</x:v>
      </x:c>
      <x:c r="D81" s="144" t="str">
        <x:v>Secure boot/XCP/UDS/HSM负向测试</x:v>
      </x:c>
      <x:c r="E81" s="144" t="str">
        <x:v>篡改、错误签名/tag、非法地址、暴力key、重放、HSM超时/重启、生命周期切换。</x:v>
      </x:c>
      <x:c r="F81" s="144" t="str">
        <x:v>XCP现状为样例安全；反回滚TBD。</x:v>
      </x:c>
      <x:c r="G81" s="144" t="str">
        <x:v>安全需求与测试授权。</x:v>
      </x:c>
      <x:c r="H81" s="144" t="str">
        <x:v>安全验证组</x:v>
      </x:c>
      <x:c r="I81" s="144" t="str">
        <x:v>M2-12,M2-17,M2-21</x:v>
      </x:c>
      <x:c r="J81" s="144" t="str">
        <x:v>安全测试报告。</x:v>
      </x:c>
      <x:c r="K81" s="144" t="str">
        <x:v>未授权操作全部拒绝；秘密不泄露；安全失败进入批准状态。</x:v>
      </x:c>
      <x:c r="L81" s="144" t="str">
        <x:v>P0</x:v>
      </x:c>
      <x:c r="M81" s="153" t="n">
        <x:v>12</x:v>
      </x:c>
      <x:c r="N81" s="144" t="str">
        <x:v>未开始</x:v>
      </x:c>
      <x:c r="O81" s="144" t="str">
        <x:v>原验收</x:v>
      </x:c>
      <x:c r="P81" s="144" t="str">
        <x:v>XCP/HSM/secure boot证据</x:v>
      </x:c>
    </x:row>
    <x:row r="82" ht="82" customHeight="1">
      <x:c r="A82" s="144" t="str">
        <x:v>M3-10</x:v>
      </x:c>
      <x:c r="B82" s="144" t="str">
        <x:v>M3</x:v>
      </x:c>
      <x:c r="C82" s="144" t="str">
        <x:v>车辆</x:v>
      </x:c>
      <x:c r="D82" s="144" t="str">
        <x:v>车辆集成回归</x:v>
      </x:c>
      <x:c r="E82" s="144" t="str">
        <x:v>在实车/等效车辆网络验证通信、诊断、休眠唤醒、发波时片、位置和算法输出。</x:v>
      </x:c>
      <x:c r="F82" s="144" t="str">
        <x:v>台架不能覆盖所有整车交互。</x:v>
      </x:c>
      <x:c r="G82" s="144" t="str">
        <x:v>车辆和道路场景。</x:v>
      </x:c>
      <x:c r="H82" s="144" t="str">
        <x:v>双方</x:v>
      </x:c>
      <x:c r="I82" s="144" t="str">
        <x:v>M3-04..09</x:v>
      </x:c>
      <x:c r="J82" s="144" t="str">
        <x:v>车辆测试报告和日志。</x:v>
      </x:c>
      <x:c r="K82" s="144" t="str">
        <x:v>OEM用例通过；无跨ECU干扰、发波冲突和错误唤醒。</x:v>
      </x:c>
      <x:c r="L82" s="144" t="str">
        <x:v>P0</x:v>
      </x:c>
      <x:c r="M82" s="153" t="n">
        <x:v>10</x:v>
      </x:c>
      <x:c r="N82" s="144" t="str">
        <x:v>未开始</x:v>
      </x:c>
      <x:c r="O82" s="144" t="str">
        <x:v>原验收</x:v>
      </x:c>
      <x:c r="P82" s="144" t="str">
        <x:v>OEM集成需求</x:v>
      </x:c>
    </x:row>
    <x:row r="83" ht="82" customHeight="1">
      <x:c r="A83" s="144" t="str">
        <x:v>M3-11</x:v>
      </x:c>
      <x:c r="B83" s="144" t="str">
        <x:v>M3</x:v>
      </x:c>
      <x:c r="C83" s="144" t="str">
        <x:v>配置审计</x:v>
      </x:c>
      <x:c r="D83" s="144" t="str">
        <x:v>ARXML/生成物/二进制一致性</x:v>
      </x:c>
      <x:c r="E83" s="144" t="str">
        <x:v>自动比较需求矩阵、ECUC、生成C/H、linker/map、DBC/A2L和最终制品版本。</x:v>
      </x:c>
      <x:c r="F83" s="144" t="str">
        <x:v>现源ARXML Fee节点98与最终表103存在差异。</x:v>
      </x:c>
      <x:c r="G83" s="144" t="str">
        <x:v>最终基线。</x:v>
      </x:c>
      <x:c r="H83" s="144" t="str">
        <x:v>东软/独立验证组</x:v>
      </x:c>
      <x:c r="I83" s="144" t="str">
        <x:v>M3-01</x:v>
      </x:c>
      <x:c r="J83" s="144" t="str">
        <x:v>配置审计报告。</x:v>
      </x:c>
      <x:c r="K83" s="144" t="str">
        <x:v>无未解释差异；工具与生成时间/版本可追溯。</x:v>
      </x:c>
      <x:c r="L83" s="144" t="str">
        <x:v>P0</x:v>
      </x:c>
      <x:c r="M83" s="153" t="n">
        <x:v>8</x:v>
      </x:c>
      <x:c r="N83" s="144" t="str">
        <x:v>未开始</x:v>
      </x:c>
      <x:c r="O83" s="144" t="str">
        <x:v>原验收</x:v>
      </x:c>
      <x:c r="P83" s="144" t="str">
        <x:v>Fee源/生成差异</x:v>
      </x:c>
    </x:row>
    <x:row r="84" ht="82" customHeight="1">
      <x:c r="A84" s="144" t="str">
        <x:v>M3-12</x:v>
      </x:c>
      <x:c r="B84" s="144" t="str">
        <x:v>M3</x:v>
      </x:c>
      <x:c r="C84" s="144" t="str">
        <x:v>交付</x:v>
      </x:c>
      <x:c r="D84" s="144" t="str">
        <x:v>SBOM/许可证/第三方制品</x:v>
      </x:c>
      <x:c r="E84" s="144" t="str">
        <x:v>列出NeuSAR/RTA/MCAL/TI SDK/HSM/算法/工具的版本、许可证、可再分发范围和hash。</x:v>
      </x:c>
      <x:c r="F84" s="144" t="str">
        <x:v>工程含商业工具/库与外部KMS依赖。</x:v>
      </x:c>
      <x:c r="G84" s="144" t="str">
        <x:v>采购/法务信息。</x:v>
      </x:c>
      <x:c r="H84" s="144" t="str">
        <x:v>双方</x:v>
      </x:c>
      <x:c r="I84" s="144" t="str">
        <x:v>M3-01</x:v>
      </x:c>
      <x:c r="J84" s="144" t="str">
        <x:v>SBOM、License manifest、NOTICE。</x:v>
      </x:c>
      <x:c r="K84" s="144" t="str">
        <x:v>无未授权交付；每个二进制有来源和许可。</x:v>
      </x:c>
      <x:c r="L84" s="144" t="str">
        <x:v>P0</x:v>
      </x:c>
      <x:c r="M84" s="153" t="n">
        <x:v>6</x:v>
      </x:c>
      <x:c r="N84" s="144" t="str">
        <x:v>未开始</x:v>
      </x:c>
      <x:c r="O84" s="144" t="str">
        <x:v>原计划缺失</x:v>
      </x:c>
      <x:c r="P84" s="144" t="str">
        <x:v>工具与商业资产</x:v>
      </x:c>
    </x:row>
    <x:row r="85" ht="82" customHeight="1">
      <x:c r="A85" s="144" t="str">
        <x:v>M3-13</x:v>
      </x:c>
      <x:c r="B85" s="144" t="str">
        <x:v>M3</x:v>
      </x:c>
      <x:c r="C85" s="144" t="str">
        <x:v>交付</x:v>
      </x:c>
      <x:c r="D85" s="144" t="str">
        <x:v>烧写/回退/救援手顺</x:v>
      </x:c>
      <x:c r="E85" s="144" t="str">
        <x:v>交付生产/售后刷写、签名请求、失败恢复、回退、设备生命周期和日志审计。</x:v>
      </x:c>
      <x:c r="F85" s="144" t="str">
        <x:v>原计划仅“最小刷写手顺”。</x:v>
      </x:c>
      <x:c r="G85" s="144" t="str">
        <x:v>生产/售后流程。</x:v>
      </x:c>
      <x:c r="H85" s="144" t="str">
        <x:v>东软/我方</x:v>
      </x:c>
      <x:c r="I85" s="144" t="str">
        <x:v>M3-01,M3-09</x:v>
      </x:c>
      <x:c r="J85" s="144" t="str">
        <x:v>手顺、工具、校验脚本、演练报告。</x:v>
      </x:c>
      <x:c r="K85" s="144" t="str">
        <x:v>非专家按文档完成正常/失败/救援；制品hash和签名全程校验。</x:v>
      </x:c>
      <x:c r="L85" s="144" t="str">
        <x:v>P0</x:v>
      </x:c>
      <x:c r="M85" s="153" t="n">
        <x:v>8</x:v>
      </x:c>
      <x:c r="N85" s="144" t="str">
        <x:v>未开始</x:v>
      </x:c>
      <x:c r="O85" s="144" t="str">
        <x:v>Boot/验收</x:v>
      </x:c>
      <x:c r="P85" s="144" t="str">
        <x:v>ContainerGen/BlockProcessor</x:v>
      </x:c>
    </x:row>
    <x:row r="86" ht="82" customHeight="1">
      <x:c r="A86" s="144" t="str">
        <x:v>M3-14</x:v>
      </x:c>
      <x:c r="B86" s="144" t="str">
        <x:v>M3</x:v>
      </x:c>
      <x:c r="C86" s="144" t="str">
        <x:v>移交</x:v>
      </x:c>
      <x:c r="D86" s="144" t="str">
        <x:v>培训、维护与问题SLA</x:v>
      </x:c>
      <x:c r="E86" s="144" t="str">
        <x:v>完成至少2×4h培训、实操、FAQ、维护分支/升级/patch/紧急问题机制。</x:v>
      </x:c>
      <x:c r="F86" s="144" t="str">
        <x:v>附件培训要求存在但缺实操验收。</x:v>
      </x:c>
      <x:c r="G86" s="144" t="str">
        <x:v>培训环境与人员。</x:v>
      </x:c>
      <x:c r="H86" s="144" t="str">
        <x:v>东软</x:v>
      </x:c>
      <x:c r="I86" s="144" t="str">
        <x:v>M3-01..13</x:v>
      </x:c>
      <x:c r="J86" s="144" t="str">
        <x:v>课件/录屏/实操记录/SLA。</x:v>
      </x:c>
      <x:c r="K86" s="144" t="str">
        <x:v>甲方独立完成build/config/test/release演练；问题闭环。</x:v>
      </x:c>
      <x:c r="L86" s="144" t="str">
        <x:v>P1</x:v>
      </x:c>
      <x:c r="M86" s="153" t="n">
        <x:v>6</x:v>
      </x:c>
      <x:c r="N86" s="144" t="str">
        <x:v>未开始</x:v>
      </x:c>
      <x:c r="O86" s="144" t="str">
        <x:v>培训/技术支持</x:v>
      </x:c>
      <x:c r="P86" s="144" t="str">
        <x:v>附件里程碑计划</x:v>
      </x:c>
    </x:row>
    <x:row r="87" ht="82" customHeight="1">
      <x:c r="A87" s="144" t="str">
        <x:v>M3-15</x:v>
      </x:c>
      <x:c r="B87" s="144" t="str">
        <x:v>M3</x:v>
      </x:c>
      <x:c r="C87" s="144" t="str">
        <x:v>Gate</x:v>
      </x:c>
      <x:c r="D87" s="144" t="str">
        <x:v>量产发布签署</x:v>
      </x:c>
      <x:c r="E87" s="144" t="str">
        <x:v>汇总功能、质量、安全、合规、制品、KnownIssues和回退，决定Release/No Release。</x:v>
      </x:c>
      <x:c r="F87" s="144" t="str">
        <x:v>原计划“验收”缺独立发布门。</x:v>
      </x:c>
      <x:c r="G87" s="144" t="str">
        <x:v>M3全部证据。</x:v>
      </x:c>
      <x:c r="H87" s="144" t="str">
        <x:v>双方</x:v>
      </x:c>
      <x:c r="I87" s="144" t="str">
        <x:v>M3-01..14</x:v>
      </x:c>
      <x:c r="J87" s="144" t="str">
        <x:v>Release Note、Deliver Note、签署单。</x:v>
      </x:c>
      <x:c r="K87" s="144" t="str">
        <x:v>所有硬门禁通过；KnownIssues风险被明确接受；manifest/hash冻结。</x:v>
      </x:c>
      <x:c r="L87" s="144" t="str">
        <x:v>P0</x:v>
      </x:c>
      <x:c r="M87" s="153" t="n">
        <x:v>3</x:v>
      </x:c>
      <x:c r="N87" s="144" t="str">
        <x:v>未开始</x:v>
      </x:c>
      <x:c r="O87" s="144" t="str">
        <x:v>验收</x:v>
      </x:c>
      <x:c r="P87" s="144" t="str">
        <x:v>本评审结论</x:v>
      </x:c>
    </x:row>
    <x:row r="88" ht="82" customHeight="1">
      <x:c r="A88" s="144" t="str">
        <x:v>BT-01</x:v>
      </x:c>
      <x:c r="B88" s="144" t="str">
        <x:v>BT</x:v>
      </x:c>
      <x:c r="C88" s="144" t="str">
        <x:v>需求</x:v>
      </x:c>
      <x:c r="D88" s="144" t="str">
        <x:v>Boot需求与责任冻结</x:v>
      </x:c>
      <x:c r="E88" s="144" t="str">
        <x:v>冻结支持的服务、内存区、下载格式、加密/签名、生命周期、回滚、超时和异常。</x:v>
      </x:c>
      <x:c r="F88" s="144" t="str">
        <x:v>附件BT需求仍TBD。</x:v>
      </x:c>
      <x:c r="G88" s="144" t="str">
        <x:v>OEM刷新/安全规范。</x:v>
      </x:c>
      <x:c r="H88" s="144" t="str">
        <x:v>双方</x:v>
      </x:c>
      <x:c r="I88" s="144" t="str">
        <x:v>M0-01,M0-09</x:v>
      </x:c>
      <x:c r="J88" s="144" t="str">
        <x:v>Boot SRS/ICD。</x:v>
      </x:c>
      <x:c r="K88" s="144" t="str">
        <x:v>需求无TBD阻塞；与App/HSM/产线职责一致。</x:v>
      </x:c>
      <x:c r="L88" s="144" t="str">
        <x:v>P0</x:v>
      </x:c>
      <x:c r="M88" s="153" t="n">
        <x:v>8</x:v>
      </x:c>
      <x:c r="N88" s="144" t="str">
        <x:v>未开始</x:v>
      </x:c>
      <x:c r="O88" s="144" t="str">
        <x:v>BT需求待讨论</x:v>
      </x:c>
      <x:c r="P88" s="144" t="str">
        <x:v>附件里程碑计划</x:v>
      </x:c>
    </x:row>
    <x:row r="89" ht="82" customHeight="1">
      <x:c r="A89" s="144" t="str">
        <x:v>BT-02</x:v>
      </x:c>
      <x:c r="B89" s="144" t="str">
        <x:v>BT</x:v>
      </x:c>
      <x:c r="C89" s="144" t="str">
        <x:v>内存/容器</x:v>
      </x:c>
      <x:c r="D89" s="144" t="str">
        <x:v>V3/V4容器与Memory Map</x:v>
      </x:c>
      <x:c r="E89" s="144" t="str">
        <x:v>实现BM/PBL/CBL/App/HSM/WFDA/CUDA/CLDA布局与边界、header/CRC/版本。</x:v>
      </x:c>
      <x:c r="F89" s="144" t="str">
        <x:v>现App 0x090000–0x28FFFF，CUDA/CLDA 0x320000/0x330000。</x:v>
      </x:c>
      <x:c r="G89" s="144" t="str">
        <x:v>冻结memory map。</x:v>
      </x:c>
      <x:c r="H89" s="144" t="str">
        <x:v>东软</x:v>
      </x:c>
      <x:c r="I89" s="144" t="str">
        <x:v>BT-01</x:v>
      </x:c>
      <x:c r="J89" s="144" t="str">
        <x:v>linker/container recipe/map。</x:v>
      </x:c>
      <x:c r="K89" s="144" t="str">
        <x:v>所有区域无重叠/越界；V3/V4矩阵正确。</x:v>
      </x:c>
      <x:c r="L89" s="144" t="str">
        <x:v>P0</x:v>
      </x:c>
      <x:c r="M89" s="153" t="n">
        <x:v>8</x:v>
      </x:c>
      <x:c r="N89" s="144" t="str">
        <x:v>未开始</x:v>
      </x:c>
      <x:c r="O89" s="144" t="str">
        <x:v>Bootloader开发</x:v>
      </x:c>
      <x:c r="P89" s="144" t="str">
        <x:v>ContainerGen.py:38-66；rbBlock.h:32-61</x:v>
      </x:c>
    </x:row>
    <x:row r="90" ht="82" customHeight="1">
      <x:c r="A90" s="144" t="str">
        <x:v>BT-03</x:v>
      </x:c>
      <x:c r="B90" s="144" t="str">
        <x:v>BT</x:v>
      </x:c>
      <x:c r="C90" s="144" t="str">
        <x:v>诊断编程</x:v>
      </x:c>
      <x:c r="D90" s="144" t="str">
        <x:v>下载/传输/校验/退出流程</x:v>
      </x:c>
      <x:c r="E90" s="144" t="str">
        <x:v>按需求实现0x34/36/37/31等及地址白名单、块序、超时、NRC和断点恢复。</x:v>
      </x:c>
      <x:c r="F90" s="144" t="str">
        <x:v>当前App Dcm未启用上传下载。</x:v>
      </x:c>
      <x:c r="G90" s="144" t="str">
        <x:v>OEM刷新规范。</x:v>
      </x:c>
      <x:c r="H90" s="144" t="str">
        <x:v>东软</x:v>
      </x:c>
      <x:c r="I90" s="144" t="str">
        <x:v>BT-01,BT-02</x:v>
      </x:c>
      <x:c r="J90" s="144" t="str">
        <x:v>Boot DCM配置、刷写脚本。</x:v>
      </x:c>
      <x:c r="K90" s="144" t="str">
        <x:v>正常/错误长度/越界/丢包/重发/断电完整。</x:v>
      </x:c>
      <x:c r="L90" s="144" t="str">
        <x:v>P0</x:v>
      </x:c>
      <x:c r="M90" s="153" t="n">
        <x:v>15</x:v>
      </x:c>
      <x:c r="N90" s="144" t="str">
        <x:v>未开始</x:v>
      </x:c>
      <x:c r="O90" s="144" t="str">
        <x:v>Bootloader开发</x:v>
      </x:c>
      <x:c r="P90" s="144" t="str">
        <x:v>Dcm服务现状</x:v>
      </x:c>
    </x:row>
    <x:row r="91" ht="82" customHeight="1">
      <x:c r="A91" s="144" t="str">
        <x:v>BT-04</x:v>
      </x:c>
      <x:c r="B91" s="144" t="str">
        <x:v>BT</x:v>
      </x:c>
      <x:c r="C91" s="144" t="str">
        <x:v>安全</x:v>
      </x:c>
      <x:c r="D91" s="144" t="str">
        <x:v>签名/加密/HSM接口</x:v>
      </x:c>
      <x:c r="E91" s="144" t="str">
        <x:v>支持客户KMS签名请求与HSM验证；开发/量产密钥隔离；定义反回滚是否需要。</x:v>
      </x:c>
      <x:c r="F91" s="144" t="str">
        <x:v>当前efused流程依赖外部KMS，rollback未实现。</x:v>
      </x:c>
      <x:c r="G91" s="144" t="str">
        <x:v>HSM/KMS协议。</x:v>
      </x:c>
      <x:c r="H91" s="144" t="str">
        <x:v>双方/安全方</x:v>
      </x:c>
      <x:c r="I91" s="144" t="str">
        <x:v>BT-01,BT-02</x:v>
      </x:c>
      <x:c r="J91" s="144" t="str">
        <x:v>unsigned制品、manifest、签名接口和测试。</x:v>
      </x:c>
      <x:c r="K91" s="144" t="str">
        <x:v>错误签名/tag/版本/生命周期被拒；无密钥泄露。</x:v>
      </x:c>
      <x:c r="L91" s="144" t="str">
        <x:v>P0</x:v>
      </x:c>
      <x:c r="M91" s="153" t="n">
        <x:v>15</x:v>
      </x:c>
      <x:c r="N91" s="144" t="str">
        <x:v>未开始</x:v>
      </x:c>
      <x:c r="O91" s="144" t="str">
        <x:v>信息安全待讨论</x:v>
      </x:c>
      <x:c r="P91" s="144" t="str">
        <x:v>BlockProcessor.py:548-629；rbSecBoot.c</x:v>
      </x:c>
    </x:row>
    <x:row r="92" ht="82" customHeight="1">
      <x:c r="A92" s="144" t="str">
        <x:v>BT-05</x:v>
      </x:c>
      <x:c r="B92" s="144" t="str">
        <x:v>BT</x:v>
      </x:c>
      <x:c r="C92" s="144" t="str">
        <x:v>复位/响应</x:v>
      </x:c>
      <x:c r="D92" s="144" t="str">
        <x:v>App-Boot warm response</x:v>
      </x:c>
      <x:c r="E92" s="144" t="str">
        <x:v>实现编程请求flag、reset reason、response-after-reset和失败清理。</x:v>
      </x:c>
      <x:c r="F92" s="144" t="str">
        <x:v>现有接口部分为空。</x:v>
      </x:c>
      <x:c r="G92" s="144" t="str">
        <x:v>App ICD。</x:v>
      </x:c>
      <x:c r="H92" s="144" t="str">
        <x:v>双方</x:v>
      </x:c>
      <x:c r="I92" s="144" t="str">
        <x:v>BT-03,M2-20</x:v>
      </x:c>
      <x:c r="J92" s="144" t="str">
        <x:v>联调代码与报告。</x:v>
      </x:c>
      <x:c r="K92" s="144" t="str">
        <x:v>各种复位原因/超时/通信状态下响应正确。</x:v>
      </x:c>
      <x:c r="L92" s="144" t="str">
        <x:v>P0</x:v>
      </x:c>
      <x:c r="M92" s="153" t="n">
        <x:v>8</x:v>
      </x:c>
      <x:c r="N92" s="144" t="str">
        <x:v>未开始</x:v>
      </x:c>
      <x:c r="O92" s="144" t="str">
        <x:v>Boot联调</x:v>
      </x:c>
      <x:c r="P92" s="144" t="str">
        <x:v>Dia_FBL_WarmStart.c</x:v>
      </x:c>
    </x:row>
    <x:row r="93" ht="82" customHeight="1">
      <x:c r="A93" s="144" t="str">
        <x:v>BT-06</x:v>
      </x:c>
      <x:c r="B93" s="144" t="str">
        <x:v>BT</x:v>
      </x:c>
      <x:c r="C93" s="144" t="str">
        <x:v>鲁棒性</x:v>
      </x:c>
      <x:c r="D93" s="144" t="str">
        <x:v>断电/回退/救援</x:v>
      </x:c>
      <x:c r="E93" s="144" t="str">
        <x:v>覆盖擦除、下载、校验、激活各阶段断电；定义双区/恢复策略。</x:v>
      </x:c>
      <x:c r="F93" s="144" t="str">
        <x:v>现工程不能证明完整回滚。</x:v>
      </x:c>
      <x:c r="G93" s="144" t="str">
        <x:v>安全/可用性要求。</x:v>
      </x:c>
      <x:c r="H93" s="144" t="str">
        <x:v>东软</x:v>
      </x:c>
      <x:c r="I93" s="144" t="str">
        <x:v>BT-03,BT-04</x:v>
      </x:c>
      <x:c r="J93" s="144" t="str">
        <x:v>断电矩阵和救援手顺。</x:v>
      </x:c>
      <x:c r="K93" s="144" t="str">
        <x:v>任一窗口不砖化；能回到已批准镜像或救援模式。</x:v>
      </x:c>
      <x:c r="L93" s="144" t="str">
        <x:v>P0</x:v>
      </x:c>
      <x:c r="M93" s="153" t="n">
        <x:v>10</x:v>
      </x:c>
      <x:c r="N93" s="144" t="str">
        <x:v>未开始</x:v>
      </x:c>
      <x:c r="O93" s="144" t="str">
        <x:v>Boot自测</x:v>
      </x:c>
      <x:c r="P93" s="144" t="str">
        <x:v>Boot需求</x:v>
      </x:c>
    </x:row>
    <x:row r="94" ht="82" customHeight="1">
      <x:c r="A94" s="144" t="str">
        <x:v>BT-07</x:v>
      </x:c>
      <x:c r="B94" s="144" t="str">
        <x:v>BT</x:v>
      </x:c>
      <x:c r="C94" s="144" t="str">
        <x:v>测试</x:v>
      </x:c>
      <x:c r="D94" s="144" t="str">
        <x:v>Boot全矩阵自测</x:v>
      </x:c>
      <x:c r="E94" s="144" t="str">
        <x:v>覆盖V3/V4、efused/non-efused、正确/错误制品、生命周期、总线异常和重复刷新。</x:v>
      </x:c>
      <x:c r="F94" s="144" t="str">
        <x:v>原计划只有基本烧录自测。</x:v>
      </x:c>
      <x:c r="G94" s="144" t="str">
        <x:v>发布矩阵。</x:v>
      </x:c>
      <x:c r="H94" s="144" t="str">
        <x:v>东软/验证组</x:v>
      </x:c>
      <x:c r="I94" s="144" t="str">
        <x:v>BT-02..06</x:v>
      </x:c>
      <x:c r="J94" s="144" t="str">
        <x:v>自动化脚本和报告。</x:v>
      </x:c>
      <x:c r="K94" s="144" t="str">
        <x:v>矩阵100%执行，P0/P1缺陷关闭。</x:v>
      </x:c>
      <x:c r="L94" s="144" t="str">
        <x:v>P0</x:v>
      </x:c>
      <x:c r="M94" s="153" t="n">
        <x:v>10</x:v>
      </x:c>
      <x:c r="N94" s="144" t="str">
        <x:v>未开始</x:v>
      </x:c>
      <x:c r="O94" s="144" t="str">
        <x:v>Boot基本功能自测</x:v>
      </x:c>
      <x:c r="P94" s="144" t="str">
        <x:v>发布矩阵</x:v>
      </x:c>
    </x:row>
    <x:row r="95" ht="82" customHeight="1">
      <x:c r="A95" s="144" t="str">
        <x:v>BT-08</x:v>
      </x:c>
      <x:c r="B95" s="144" t="str">
        <x:v>BT</x:v>
      </x:c>
      <x:c r="C95" s="144" t="str">
        <x:v>交付</x:v>
      </x:c>
      <x:c r="D95" s="144" t="str">
        <x:v>Boot量产包与移交</x:v>
      </x:c>
      <x:c r="E95" s="144" t="str">
        <x:v>交付源码/配置、构建、容器、manifest、刷写/回退、SBOM、KnownIssues和培训。</x:v>
      </x:c>
      <x:c r="F95" s="144" t="str">
        <x:v>原计划交付范围不足。</x:v>
      </x:c>
      <x:c r="G95" s="144" t="str">
        <x:v>BT全部成果。</x:v>
      </x:c>
      <x:c r="H95" s="144" t="str">
        <x:v>东软</x:v>
      </x:c>
      <x:c r="I95" s="144" t="str">
        <x:v>BT-07</x:v>
      </x:c>
      <x:c r="J95" s="144" t="str">
        <x:v>Boot release包和签署单。</x:v>
      </x:c>
      <x:c r="K95" s="144" t="str">
        <x:v>独立环境可复现并通过验收；无未授权资产。</x:v>
      </x:c>
      <x:c r="L95" s="144" t="str">
        <x:v>P0</x:v>
      </x:c>
      <x:c r="M95" s="153" t="n">
        <x:v>5</x:v>
      </x:c>
      <x:c r="N95" s="144" t="str">
        <x:v>未开始</x:v>
      </x:c>
      <x:c r="O95" s="144" t="str">
        <x:v>BT版本交付</x:v>
      </x:c>
      <x:c r="P95" s="144" t="str">
        <x:v>本评审结论</x:v>
      </x:c>
    </x:row>
  </x:sheetData>
  <x:mergeCells>
    <x:mergeCell ref="A1:P1"/>
    <x:mergeCell ref="A2:P2"/>
  </x:mergeCells>
  <x:conditionalFormatting sqref="L6:L95">
    <x:cfRule type="containsText" dxfId="0" priority="1" operator="containsText" text="P0"/>
    <x:cfRule type="containsText" dxfId="1" priority="2" operator="containsText" text="P1"/>
  </x:conditionalFormatting>
  <x:conditionalFormatting sqref="N6:N95">
    <x:cfRule type="containsText" dxfId="2" priority="3" operator="containsText" text="已完成"/>
    <x:cfRule type="containsText" dxfId="3" priority="4" operator="containsText" text="阻塞"/>
  </x:conditionalFormatting>
  <x:dataValidations count="3">
    <x:dataValidation type="list" sqref="H6:H95">
      <x:formula1>"东软,我方,双方,东软/验证组,双方/验证组,独立验证组,安全方/东软,第三方/供应商"</x:formula1>
    </x:dataValidation>
    <x:dataValidation type="list" sqref="L6:L95">
      <x:formula1>"P0,P1,P2,P3"</x:formula1>
    </x:dataValidation>
    <x:dataValidation type="list" sqref="N6:N95">
      <x:formula1>"未开始,进行中,阻塞,待确认,已完成"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e66db72eae425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32" hidden="0" customWidth="1"/>
    <x:col min="5" max="5" width="48" hidden="0" customWidth="1"/>
    <x:col min="6" max="6" width="38" hidden="0" customWidth="1"/>
    <x:col min="7" max="7" width="48" hidden="0" customWidth="1"/>
    <x:col min="8" max="8" width="30" hidden="0" customWidth="1"/>
    <x:col min="9" max="9" width="26" hidden="0" customWidth="1"/>
    <x:col min="10" max="10" width="30" hidden="0" customWidth="1"/>
    <x:col min="11" max="11" width="22" hidden="0" customWidth="1"/>
    <x:col min="12" max="12" width="18" hidden="0" customWidth="1"/>
  </x:cols>
  <x:sheetData>
    <x:row r="1" ht="30" customHeight="1">
      <x:c r="A1" s="133" t="str">
        <x:v>工程服务验收矩阵</x:v>
      </x:c>
      <x:c r="B1" s="133" t="str">
        <x:v>工程服务验收矩阵</x:v>
      </x:c>
      <x:c r="C1" s="133" t="str">
        <x:v>工程服务验收矩阵</x:v>
      </x:c>
      <x:c r="D1" s="133" t="str">
        <x:v>工程服务验收矩阵</x:v>
      </x:c>
      <x:c r="E1" s="133" t="str">
        <x:v>工程服务验收矩阵</x:v>
      </x:c>
      <x:c r="F1" s="133" t="str">
        <x:v>工程服务验收矩阵</x:v>
      </x:c>
      <x:c r="G1" s="133" t="str">
        <x:v>工程服务验收矩阵</x:v>
      </x:c>
      <x:c r="H1" s="133" t="str">
        <x:v>工程服务验收矩阵</x:v>
      </x:c>
      <x:c r="I1" s="133" t="str">
        <x:v>工程服务验收矩阵</x:v>
      </x:c>
      <x:c r="J1" s="133" t="str">
        <x:v>工程服务验收矩阵</x:v>
      </x:c>
      <x:c r="K1" s="133" t="str">
        <x:v>工程服务验收矩阵</x:v>
      </x:c>
      <x:c r="L1" s="133" t="str">
        <x:v>工程服务验收矩阵</x:v>
      </x:c>
    </x:row>
    <x:row r="2" ht="36" customHeight="1">
      <x:c r="A2" s="136" t="str">
        <x:v>验收必须能复现刺激、观测点和判据；“能编译/能通信/功能正常”不是独立的通过准则。</x:v>
      </x:c>
      <x:c r="B2" s="136" t="str">
        <x:v>验收必须能复现刺激、观测点和判据；“能编译/能通信/功能正常”不是独立的通过准则。</x:v>
      </x:c>
      <x:c r="C2" s="136" t="str">
        <x:v>验收必须能复现刺激、观测点和判据；“能编译/能通信/功能正常”不是独立的通过准则。</x:v>
      </x:c>
      <x:c r="D2" s="136" t="str">
        <x:v>验收必须能复现刺激、观测点和判据；“能编译/能通信/功能正常”不是独立的通过准则。</x:v>
      </x:c>
      <x:c r="E2" s="136" t="str">
        <x:v>验收必须能复现刺激、观测点和判据；“能编译/能通信/功能正常”不是独立的通过准则。</x:v>
      </x:c>
      <x:c r="F2" s="136" t="str">
        <x:v>验收必须能复现刺激、观测点和判据；“能编译/能通信/功能正常”不是独立的通过准则。</x:v>
      </x:c>
      <x:c r="G2" s="136" t="str">
        <x:v>验收必须能复现刺激、观测点和判据；“能编译/能通信/功能正常”不是独立的通过准则。</x:v>
      </x:c>
      <x:c r="H2" s="136" t="str">
        <x:v>验收必须能复现刺激、观测点和判据；“能编译/能通信/功能正常”不是独立的通过准则。</x:v>
      </x:c>
      <x:c r="I2" s="136" t="str">
        <x:v>验收必须能复现刺激、观测点和判据；“能编译/能通信/功能正常”不是独立的通过准则。</x:v>
      </x:c>
      <x:c r="J2" s="136" t="str">
        <x:v>验收必须能复现刺激、观测点和判据；“能编译/能通信/功能正常”不是独立的通过准则。</x:v>
      </x:c>
      <x:c r="K2" s="136" t="str">
        <x:v>验收必须能复现刺激、观测点和判据；“能编译/能通信/功能正常”不是独立的通过准则。</x:v>
      </x:c>
      <x:c r="L2" s="136" t="str">
        <x:v>验收必须能复现刺激、观测点和判据；“能编译/能通信/功能正常”不是独立的通过准则。</x:v>
      </x:c>
    </x:row>
    <x:row r="5" ht="34" customHeight="1">
      <x:c r="A5" s="150" t="str">
        <x:v>Test ID</x:v>
      </x:c>
      <x:c r="B5" s="151" t="str">
        <x:v>阶段</x:v>
      </x:c>
      <x:c r="C5" s="151" t="str">
        <x:v>领域</x:v>
      </x:c>
      <x:c r="D5" s="151" t="str">
        <x:v>前置条件</x:v>
      </x:c>
      <x:c r="E5" s="151" t="str">
        <x:v>刺激/步骤</x:v>
      </x:c>
      <x:c r="F5" s="151" t="str">
        <x:v>观测点</x:v>
      </x:c>
      <x:c r="G5" s="151" t="str">
        <x:v>通过判据</x:v>
      </x:c>
      <x:c r="H5" s="151" t="str">
        <x:v>量化口径/来源</x:v>
      </x:c>
      <x:c r="I5" s="151" t="str">
        <x:v>环境/工具</x:v>
      </x:c>
      <x:c r="J5" s="151" t="str">
        <x:v>验收证据</x:v>
      </x:c>
      <x:c r="K5" s="151" t="str">
        <x:v>关联WBS</x:v>
      </x:c>
      <x:c r="L5" s="152" t="str">
        <x:v>责任建议</x:v>
      </x:c>
    </x:row>
    <x:row r="6" ht="76" customHeight="1">
      <x:c r="A6" s="144" t="str">
        <x:v>AT-M0-01</x:v>
      </x:c>
      <x:c r="B6" s="144" t="str">
        <x:v>M0</x:v>
      </x:c>
      <x:c r="C6" s="144" t="str">
        <x:v>合规/IP</x:v>
      </x:c>
      <x:c r="D6" s="144" t="str">
        <x:v>边界协议草案</x:v>
      </x:c>
      <x:c r="E6" s="144" t="str">
        <x:v>抽查实现组资料库、会议纪要、交付输入包。</x:v>
      </x:c>
      <x:c r="F6" s="144" t="str">
        <x:v>文件hash、访问日志、审批记录。</x:v>
      </x:c>
      <x:c r="G6" s="144" t="str">
        <x:v>无参考源码/生成C/私钥/未授权商业库；全部输入经批准。</x:v>
      </x:c>
      <x:c r="H6" s="144" t="str">
        <x:v>100%抽查关键资料；零违规。</x:v>
      </x:c>
      <x:c r="I6" s="144" t="str">
        <x:v>隔离资料库</x:v>
      </x:c>
      <x:c r="J6" s="144" t="str">
        <x:v>审计记录</x:v>
      </x:c>
      <x:c r="K6" s="144" t="str">
        <x:v>M0-01</x:v>
      </x:c>
      <x:c r="L6" s="144" t="str">
        <x:v>双方/法务</x:v>
      </x:c>
    </x:row>
    <x:row r="7" ht="76" customHeight="1">
      <x:c r="A7" s="144" t="str">
        <x:v>AT-M0-02</x:v>
      </x:c>
      <x:c r="B7" s="144" t="str">
        <x:v>M0</x:v>
      </x:c>
      <x:c r="C7" s="144" t="str">
        <x:v>版本</x:v>
      </x:c>
      <x:c r="D7" s="144" t="str">
        <x:v>参考ECU与manifest</x:v>
      </x:c>
      <x:c r="E7" s="144" t="str">
        <x:v>读取DID/版本、烧录件hash、构建宏和总线身份。</x:v>
      </x:c>
      <x:c r="F7" s="144" t="str">
        <x:v>ECU版本、镜像hash、CAN节点/ID。</x:v>
      </x:c>
      <x:c r="G7" s="144" t="str">
        <x:v>与签署manifest一致；DEVELOP/SERIES身份明确。</x:v>
      </x:c>
      <x:c r="H7" s="144" t="str">
        <x:v>零未解释差异。</x:v>
      </x:c>
      <x:c r="I7" s="144" t="str">
        <x:v>目标ECU、刷写/诊断工具</x:v>
      </x:c>
      <x:c r="J7" s="144" t="str">
        <x:v>manifest+日志</x:v>
      </x:c>
      <x:c r="K7" s="144" t="str">
        <x:v>M0-02</x:v>
      </x:c>
      <x:c r="L7" s="144" t="str">
        <x:v>验证组</x:v>
      </x:c>
    </x:row>
    <x:row r="8" ht="76" customHeight="1">
      <x:c r="A8" s="144" t="str">
        <x:v>AT-M0-03</x:v>
      </x:c>
      <x:c r="B8" s="144" t="str">
        <x:v>M0</x:v>
      </x:c>
      <x:c r="C8" s="144" t="str">
        <x:v>工具链</x:v>
      </x:c>
      <x:c r="D8" s="144" t="str">
        <x:v>全新Windows环境与合法license</x:v>
      </x:c>
      <x:c r="E8" s="144" t="str">
        <x:v>从空workspace执行generate→compile→link→package两次。</x:v>
      </x:c>
      <x:c r="F8" s="144" t="str">
        <x:v>退出码、日志、生成清单、hash、目录diff。</x:v>
      </x:c>
      <x:c r="G8" s="144" t="str">
        <x:v>无硬编码个人盘符；缺输入即失败；两次结果可追溯。</x:v>
      </x:c>
      <x:c r="H8" s="144" t="str">
        <x:v>任一步失败必须非零；禁止“最新文件”回退。</x:v>
      </x:c>
      <x:c r="I8" s="144" t="str">
        <x:v>干净虚机/CI</x:v>
      </x:c>
      <x:c r="J8" s="144" t="str">
        <x:v>构建日志和diff</x:v>
      </x:c>
      <x:c r="K8" s="144" t="str">
        <x:v>M0-04,M0-05</x:v>
      </x:c>
      <x:c r="L8" s="144" t="str">
        <x:v>东软</x:v>
      </x:c>
    </x:row>
    <x:row r="9" ht="76" customHeight="1">
      <x:c r="A9" s="144" t="str">
        <x:v>AT-M0-04</x:v>
      </x:c>
      <x:c r="B9" s="144" t="str">
        <x:v>M0</x:v>
      </x:c>
      <x:c r="C9" s="144" t="str">
        <x:v>RTE生成</x:v>
      </x:c>
      <x:c r="D9" s="144" t="str">
        <x:v>冻结接口输入</x:v>
      </x:c>
      <x:c r="E9" s="144" t="str">
        <x:v>重生成RTA-BSW/RTE/OS并扫描旧路径和warning。</x:v>
      </x:c>
      <x:c r="F9" s="144" t="str">
        <x:v>RteErr、生成头/C、路径引用。</x:v>
      </x:c>
      <x:c r="G9" s="144" t="str">
        <x:v>无BAIC旧路径；warning全关闭或批准。</x:v>
      </x:c>
      <x:c r="H9" s="144" t="str">
        <x:v>旧路径命中=0。</x:v>
      </x:c>
      <x:c r="I9" s="144" t="str">
        <x:v>RTA工具/文本扫描</x:v>
      </x:c>
      <x:c r="J9" s="144" t="str">
        <x:v>生成审计报告</x:v>
      </x:c>
      <x:c r="K9" s="144" t="str">
        <x:v>M0-06</x:v>
      </x:c>
      <x:c r="L9" s="144" t="str">
        <x:v>东软</x:v>
      </x:c>
    </x:row>
    <x:row r="10" ht="76" customHeight="1">
      <x:c r="A10" s="144" t="str">
        <x:v>AT-M0-05</x:v>
      </x:c>
      <x:c r="B10" s="144" t="str">
        <x:v>M0</x:v>
      </x:c>
      <x:c r="C10" s="144" t="str">
        <x:v>RF基线</x:v>
      </x:c>
      <x:c r="D10" s="144" t="str">
        <x:v>量产ECU可发波</x:v>
      </x:c>
      <x:c r="E10" s="144" t="str">
        <x:v>采集RF配置下发和频谱/时序，四位置重复。</x:v>
      </x:c>
      <x:c r="F10" s="144" t="str">
        <x:v>profile/chirp/frame/subframe、Tx/Rx、时间片。</x:v>
      </x:c>
      <x:c r="G10" s="144" t="str">
        <x:v>唯一真值表与实测一致；模式矛盾关闭。</x:v>
      </x:c>
      <x:c r="H10" s="144" t="str">
        <x:v>按RF团队批准容差。</x:v>
      </x:c>
      <x:c r="I10" s="144" t="str">
        <x:v>频谱仪/逻辑分析/芯片trace</x:v>
      </x:c>
      <x:c r="J10" s="144" t="str">
        <x:v>RF抓测报告</x:v>
      </x:c>
      <x:c r="K10" s="144" t="str">
        <x:v>M0-08</x:v>
      </x:c>
      <x:c r="L10" s="144" t="str">
        <x:v>我方/验证组</x:v>
      </x:c>
    </x:row>
    <x:row r="11" ht="76" customHeight="1">
      <x:c r="A11" s="144" t="str">
        <x:v>AT-M0-06</x:v>
      </x:c>
      <x:c r="B11" s="144" t="str">
        <x:v>M0</x:v>
      </x:c>
      <x:c r="C11" s="144" t="str">
        <x:v>接口</x:v>
      </x:c>
      <x:c r="D11" s="144" t="str">
        <x:v>M4/RSS/算法ICD</x:v>
      </x:c>
      <x:c r="E11" s="144" t="str">
        <x:v>双方编译公共头并交换静态布局清单；注入错版本。</x:v>
      </x:c>
      <x:c r="F11" s="144" t="str">
        <x:v>sizeof/offsetof、版本、握手、错误码。</x:v>
      </x:c>
      <x:c r="G11" s="144" t="str">
        <x:v>布局一致；错版本拒绝且可诊断。</x:v>
      </x:c>
      <x:c r="H11" s="144" t="str">
        <x:v>所有共享结构100%检查。</x:v>
      </x:c>
      <x:c r="I11" s="144" t="str">
        <x:v>双方build、单测</x:v>
      </x:c>
      <x:c r="J11" s="144" t="str">
        <x:v>ABI报告</x:v>
      </x:c>
      <x:c r="K11" s="144" t="str">
        <x:v>M0-07</x:v>
      </x:c>
      <x:c r="L11" s="144" t="str">
        <x:v>双方</x:v>
      </x:c>
    </x:row>
    <x:row r="12" ht="76" customHeight="1">
      <x:c r="A12" s="144" t="str">
        <x:v>AT-M1-01</x:v>
      </x:c>
      <x:c r="B12" s="144" t="str">
        <x:v>M1</x:v>
      </x:c>
      <x:c r="C12" s="144" t="str">
        <x:v>镜像</x:v>
      </x:c>
      <x:c r="D12" s="144" t="str">
        <x:v>合法R5/M4/RSS输入</x:v>
      </x:c>
      <x:c r="E12" s="144" t="str">
        <x:v>生成三核appimage并解析header/core ID/CRC。</x:v>
      </x:c>
      <x:c r="F12" s="144" t="str">
        <x:v>R5@0、M4@2、RSS@3、地址/size/hash。</x:v>
      </x:c>
      <x:c r="G12" s="144" t="str">
        <x:v>全部字段与manifest一致；目标板可启动。</x:v>
      </x:c>
      <x:c r="H12" s="144" t="str">
        <x:v>两次clean build。</x:v>
      </x:c>
      <x:c r="I12" s="144" t="str">
        <x:v>ImageGen/解析脚本/目标板</x:v>
      </x:c>
      <x:c r="J12" s="144" t="str">
        <x:v>镜像清单</x:v>
      </x:c>
      <x:c r="K12" s="144" t="str">
        <x:v>M1-01</x:v>
      </x:c>
      <x:c r="L12" s="144" t="str">
        <x:v>东软</x:v>
      </x:c>
    </x:row>
    <x:row r="13" ht="76" customHeight="1">
      <x:c r="A13" s="144" t="str">
        <x:v>AT-M1-02</x:v>
      </x:c>
      <x:c r="B13" s="144" t="str">
        <x:v>M1</x:v>
      </x:c>
      <x:c r="C13" s="144" t="str">
        <x:v>内存</x:v>
      </x:c>
      <x:c r="D13" s="144" t="str">
        <x:v>最终map/linker</x:v>
      </x:c>
      <x:c r="E13" s="144" t="str">
        <x:v>自动解析TCMA/B、L2/L3、shared、Mailbox、M4保留区。</x:v>
      </x:c>
      <x:c r="F13" s="144" t="str">
        <x:v>地址、大小、重叠、剩余量、MPU属性。</x:v>
      </x:c>
      <x:c r="G13" s="144" t="str">
        <x:v>无重叠/越界；共享区双方属性一致。</x:v>
      </x:c>
      <x:c r="H13" s="144" t="str">
        <x:v>所有section检查；余量按合同。</x:v>
      </x:c>
      <x:c r="I13" s="144" t="str">
        <x:v>map分析器/JTAG</x:v>
      </x:c>
      <x:c r="J13" s="144" t="str">
        <x:v>map审计</x:v>
      </x:c>
      <x:c r="K13" s="144" t="str">
        <x:v>M1-03</x:v>
      </x:c>
      <x:c r="L13" s="144" t="str">
        <x:v>东软/验证组</x:v>
      </x:c>
    </x:row>
    <x:row r="14" ht="76" customHeight="1">
      <x:c r="A14" s="144" t="str">
        <x:v>AT-M1-03</x:v>
      </x:c>
      <x:c r="B14" s="144" t="str">
        <x:v>M1</x:v>
      </x:c>
      <x:c r="C14" s="144" t="str">
        <x:v>启动</x:v>
      </x:c>
      <x:c r="D14" s="144" t="str">
        <x:v>M1候选镜像</x:v>
      </x:c>
      <x:c r="E14" s="144" t="str">
        <x:v>冷启动、热复位、连续电源循环；记录各阶段时间。</x:v>
      </x:c>
      <x:c r="F14" s="144" t="str">
        <x:v>Reset→EcuM→OS→ReadAll→M4/RSS ready。</x:v>
      </x:c>
      <x:c r="G14" s="144" t="str">
        <x:v>无死机/未解释DET/OS Error；顺序正确。</x:v>
      </x:c>
      <x:c r="H14" s="144" t="str">
        <x:v>建议冷启100次；时间阈值由M0冻结。</x:v>
      </x:c>
      <x:c r="I14" s="144" t="str">
        <x:v>电源台架/JTAG/CAN</x:v>
      </x:c>
      <x:c r="J14" s="144" t="str">
        <x:v>启动trace</x:v>
      </x:c>
      <x:c r="K14" s="144" t="str">
        <x:v>M1-02,M1-10,M1-12</x:v>
      </x:c>
      <x:c r="L14" s="144" t="str">
        <x:v>验证组</x:v>
      </x:c>
    </x:row>
    <x:row r="15" ht="76" customHeight="1">
      <x:c r="A15" s="144" t="str">
        <x:v>AT-M1-04</x:v>
      </x:c>
      <x:c r="B15" s="144" t="str">
        <x:v>M1</x:v>
      </x:c>
      <x:c r="C15" s="144" t="str">
        <x:v>OS</x:v>
      </x:c>
      <x:c r="D15" s="144" t="str">
        <x:v>满算法/总线负载</x:v>
      </x:c>
      <x:c r="E15" s="144" t="str">
        <x:v>采集1/10/20/66/100ms任务和14 Cat2 ISR trace。</x:v>
      </x:c>
      <x:c r="F15" s="144" t="str">
        <x:v>周期、jitter、激活丢失、WCET、stack watermark。</x:v>
      </x:c>
      <x:c r="G15" s="144" t="str">
        <x:v>无丢激活/溢出/优先级反转；满足预算。</x:v>
      </x:c>
      <x:c r="H15" s="144" t="str">
        <x:v>阈值由M0/M1资源预算冻结。</x:v>
      </x:c>
      <x:c r="I15" s="144" t="str">
        <x:v>OS trace/JTAG</x:v>
      </x:c>
      <x:c r="J15" s="144" t="str">
        <x:v>任务时序报告</x:v>
      </x:c>
      <x:c r="K15" s="144" t="str">
        <x:v>M1-08,M1-24</x:v>
      </x:c>
      <x:c r="L15" s="144" t="str">
        <x:v>东软/验证组</x:v>
      </x:c>
    </x:row>
    <x:row r="16" ht="76" customHeight="1">
      <x:c r="A16" s="144" t="str">
        <x:v>AT-M1-05</x:v>
      </x:c>
      <x:c r="B16" s="144" t="str">
        <x:v>M1</x:v>
      </x:c>
      <x:c r="C16" s="144" t="str">
        <x:v>CUDA/CLDA</x:v>
      </x:c>
      <x:c r="D16" s="144" t="str">
        <x:v>合法样本和逐块损坏样本</x:v>
      </x:c>
      <x:c r="E16" s="144" t="str">
        <x:v>分别烧录正确、全FF、CRC错、长度错、错位置数据。</x:v>
      </x:c>
      <x:c r="F16" s="144" t="str">
        <x:v>读取状态、雷达启动门、DEM、默认/降级。</x:v>
      </x:c>
      <x:c r="G16" s="144" t="str">
        <x:v>合法数据启动；任一必需块错误禁止发波并可诊断。</x:v>
      </x:c>
      <x:c r="H16" s="144" t="str">
        <x:v>覆盖CUDA三类×四位置及CLDA三子块。</x:v>
      </x:c>
      <x:c r="I16" s="144" t="str">
        <x:v>烧录工具/JTAG/CAN</x:v>
      </x:c>
      <x:c r="J16" s="144" t="str">
        <x:v>故障注入日志</x:v>
      </x:c>
      <x:c r="K16" s="144" t="str">
        <x:v>M1-11</x:v>
      </x:c>
      <x:c r="L16" s="144" t="str">
        <x:v>验证组</x:v>
      </x:c>
    </x:row>
    <x:row r="17" ht="76" customHeight="1">
      <x:c r="A17" s="144" t="str">
        <x:v>AT-M1-06</x:v>
      </x:c>
      <x:c r="B17" s="144" t="str">
        <x:v>M1</x:v>
      </x:c>
      <x:c r="C17" s="144" t="str">
        <x:v>多核启动</x:v>
      </x:c>
      <x:c r="D17" s="144" t="str">
        <x:v>M4/RSS正常/缺失/延迟/重启</x:v>
      </x:c>
      <x:c r="E17" s="144" t="str">
        <x:v>控制对端启动时机并注入失联。</x:v>
      </x:c>
      <x:c r="F17" s="144" t="str">
        <x:v>boot bits、MMWave_sync、timeout、DEM、恢复。</x:v>
      </x:c>
      <x:c r="G17" s="144" t="str">
        <x:v>无无界等待；按矩阵恢复/降级。</x:v>
      </x:c>
      <x:c r="H17" s="144" t="str">
        <x:v>每种异常重复10次。</x:v>
      </x:c>
      <x:c r="I17" s="144" t="str">
        <x:v>JTAG/镜像替换</x:v>
      </x:c>
      <x:c r="J17" s="144" t="str">
        <x:v>多核异常报告</x:v>
      </x:c>
      <x:c r="K17" s="144" t="str">
        <x:v>M1-12</x:v>
      </x:c>
      <x:c r="L17" s="144" t="str">
        <x:v>验证组</x:v>
      </x:c>
    </x:row>
    <x:row r="18" ht="76" customHeight="1">
      <x:c r="A18" s="144" t="str">
        <x:v>AT-M1-07</x:v>
      </x:c>
      <x:c r="B18" s="144" t="str">
        <x:v>M1</x:v>
      </x:c>
      <x:c r="C18" s="144" t="str">
        <x:v>IPC</x:v>
      </x:c>
      <x:c r="D18" s="144" t="str">
        <x:v>正常与0x10/0x11/0x12异常序列</x:v>
      </x:c>
      <x:c r="E18" s="144" t="str">
        <x:v>丢包、重复、乱序、长度错、洪泛、ACK超时。</x:v>
      </x:c>
      <x:c r="F18" s="144" t="str">
        <x:v>消息计数、共享数据版本、任务激活、错误恢复。</x:v>
      </x:c>
      <x:c r="G18" s="144" t="str">
        <x:v>不死锁/越界/污染下一帧；异常可追踪。</x:v>
      </x:c>
      <x:c r="H18" s="144" t="str">
        <x:v>覆盖所有状态转移。</x:v>
      </x:c>
      <x:c r="I18" s="144" t="str">
        <x:v>M4 stub/逻辑trace</x:v>
      </x:c>
      <x:c r="J18" s="144" t="str">
        <x:v>IPC报告</x:v>
      </x:c>
      <x:c r="K18" s="144" t="str">
        <x:v>M1-13,M1-14</x:v>
      </x:c>
      <x:c r="L18" s="144" t="str">
        <x:v>双方/验证组</x:v>
      </x:c>
    </x:row>
    <x:row r="19" ht="76" customHeight="1">
      <x:c r="A19" s="144" t="str">
        <x:v>AT-M1-08</x:v>
      </x:c>
      <x:c r="B19" s="144" t="str">
        <x:v>M1</x:v>
      </x:c>
      <x:c r="C19" s="144" t="str">
        <x:v>RF</x:v>
      </x:c>
      <x:c r="D19" s="144" t="str">
        <x:v>冻结RF配置</x:v>
      </x:c>
      <x:c r="E19" s="144" t="str">
        <x:v>执行open/config/start/stop、异步错误和反复重启。</x:v>
      </x:c>
      <x:c r="F19" s="144" t="str">
        <x:v>mmWaveLink API、RSS事件、频谱、帧计数。</x:v>
      </x:c>
      <x:c r="G19" s="144" t="str">
        <x:v>实测参数与M0表一致；错误不永久busy。</x:v>
      </x:c>
      <x:c r="H19" s="144" t="str">
        <x:v>四位置；正常+关键错误。</x:v>
      </x:c>
      <x:c r="I19" s="144" t="str">
        <x:v>频谱仪/RSS trace</x:v>
      </x:c>
      <x:c r="J19" s="144" t="str">
        <x:v>RF报告</x:v>
      </x:c>
      <x:c r="K19" s="144" t="str">
        <x:v>M1-15</x:v>
      </x:c>
      <x:c r="L19" s="144" t="str">
        <x:v>验证组</x:v>
      </x:c>
    </x:row>
    <x:row r="20" ht="76" customHeight="1">
      <x:c r="A20" s="144" t="str">
        <x:v>AT-M1-09</x:v>
      </x:c>
      <x:c r="B20" s="144" t="str">
        <x:v>M1</x:v>
      </x:c>
      <x:c r="C20" s="144" t="str">
        <x:v>分时发波</x:v>
      </x:c>
      <x:c r="D20" s="144" t="str">
        <x:v>同步/失同步/时间跳变</x:v>
      </x:c>
      <x:c r="E20" s="144" t="str">
        <x:v>四角节点同时运行，丢CanTSyn、跳时、重启节点。</x:v>
      </x:c>
      <x:c r="F20" s="144" t="str">
        <x:v>StbM状态、TriggerWave激活、发波窗口、碰撞。</x:v>
      </x:c>
      <x:c r="G20" s="144" t="str">
        <x:v>周期/偏移满足冻结表；失步安全处理且无碰撞。</x:v>
      </x:c>
      <x:c r="H20" s="144" t="str">
        <x:v>66ms周期，窗口/容差由RF表。</x:v>
      </x:c>
      <x:c r="I20" s="144" t="str">
        <x:v>多ECU/总线/频谱</x:v>
      </x:c>
      <x:c r="J20" s="144" t="str">
        <x:v>时隙报告</x:v>
      </x:c>
      <x:c r="K20" s="144" t="str">
        <x:v>M1-16</x:v>
      </x:c>
      <x:c r="L20" s="144" t="str">
        <x:v>验证组</x:v>
      </x:c>
    </x:row>
    <x:row r="21" ht="76" customHeight="1">
      <x:c r="A21" s="144" t="str">
        <x:v>AT-M1-10</x:v>
      </x:c>
      <x:c r="B21" s="144" t="str">
        <x:v>M1</x:v>
      </x:c>
      <x:c r="C21" s="144" t="str">
        <x:v>ADCBuf/DMA</x:v>
      </x:c>
      <x:c r="D21" s="144" t="str">
        <x:v>真实发波和压力数据</x:v>
      </x:c>
      <x:c r="E21" s="144" t="str">
        <x:v>运行最大点数、连续帧、DMA延迟/通道冲突注入。</x:v>
      </x:c>
      <x:c r="F21" s="144" t="str">
        <x:v>overrun、TCC、buffer地址、帧序、cache。</x:v>
      </x:c>
      <x:c r="G21" s="144" t="str">
        <x:v>无overrun/错位/撕裂；冲突被检测。</x:v>
      </x:c>
      <x:c r="H21" s="144" t="str">
        <x:v>512 samples、4Rx、350点边界。</x:v>
      </x:c>
      <x:c r="I21" s="144" t="str">
        <x:v>JTAG/DMA trace</x:v>
      </x:c>
      <x:c r="J21" s="144" t="str">
        <x:v>采集链报告</x:v>
      </x:c>
      <x:c r="K21" s="144" t="str">
        <x:v>M1-17</x:v>
      </x:c>
      <x:c r="L21" s="144" t="str">
        <x:v>东软/验证组</x:v>
      </x:c>
    </x:row>
    <x:row r="22" ht="76" customHeight="1">
      <x:c r="A22" s="144" t="str">
        <x:v>AT-M1-11</x:v>
      </x:c>
      <x:c r="B22" s="144" t="str">
        <x:v>M1</x:v>
      </x:c>
      <x:c r="C22" s="144" t="str">
        <x:v>算法适配</x:v>
      </x:c>
      <x:c r="D22" s="144" t="str">
        <x:v>批准golden vectors</x:v>
      </x:c>
      <x:c r="E22" s="144" t="str">
        <x:v>逐帧输入M4/共享数据并对比中间量和最终输出。</x:v>
      </x:c>
      <x:c r="F22" s="144" t="str">
        <x:v>signal/perception输出、错误码、WCET、内存。</x:v>
      </x:c>
      <x:c r="G22" s="144" t="str">
        <x:v>数值在批准容差内；错误输入不输出伪有效目标。</x:v>
      </x:c>
      <x:c r="H22" s="144" t="str">
        <x:v>WCET&lt;66ms并留批准裕量。</x:v>
      </x:c>
      <x:c r="I22" s="144" t="str">
        <x:v>算法测试框架/JTAG</x:v>
      </x:c>
      <x:c r="J22" s="144" t="str">
        <x:v>golden对比</x:v>
      </x:c>
      <x:c r="K22" s="144" t="str">
        <x:v>M1-18,M1-19</x:v>
      </x:c>
      <x:c r="L22" s="144" t="str">
        <x:v>双方</x:v>
      </x:c>
    </x:row>
    <x:row r="23" ht="76" customHeight="1">
      <x:c r="A23" s="144" t="str">
        <x:v>AT-M1-12</x:v>
      </x:c>
      <x:c r="B23" s="144" t="str">
        <x:v>M1</x:v>
      </x:c>
      <x:c r="C23" s="144" t="str">
        <x:v>最小CAN输入</x:v>
      </x:c>
      <x:c r="D23" s="144" t="str">
        <x:v>最小DBC配置可用</x:v>
      </x:c>
      <x:c r="E23" s="144" t="str">
        <x:v>注入车速/yaw/轮速/挡位边界、超时和无效值。</x:v>
      </x:c>
      <x:c r="F23" s="144" t="str">
        <x:v>Com/RteLite、0x11锁存、算法输入。</x:v>
      </x:c>
      <x:c r="G23" s="144" t="str">
        <x:v>缩放/端序/超时/锁存时点正确。</x:v>
      </x:c>
      <x:c r="H23" s="144" t="str">
        <x:v>所有M1输入信号100%。</x:v>
      </x:c>
      <x:c r="I23" s="144" t="str">
        <x:v>CANoe/CANalyzer</x:v>
      </x:c>
      <x:c r="J23" s="144" t="str">
        <x:v>信号日志</x:v>
      </x:c>
      <x:c r="K23" s="144" t="str">
        <x:v>M1-20</x:v>
      </x:c>
      <x:c r="L23" s="144" t="str">
        <x:v>验证组</x:v>
      </x:c>
    </x:row>
    <x:row r="24" ht="76" customHeight="1">
      <x:c r="A24" s="144" t="str">
        <x:v>AT-M1-13</x:v>
      </x:c>
      <x:c r="B24" s="144" t="str">
        <x:v>M1</x:v>
      </x:c>
      <x:c r="C24" s="144" t="str">
        <x:v>最小CAN输出</x:v>
      </x:c>
      <x:c r="D24" s="144" t="str">
        <x:v>真实目标与frame trace</x:v>
      </x:c>
      <x:c r="E24" s="144" t="str">
        <x:v>关联RSS帧、M4完成、R5 runCnt和目标PDU。</x:v>
      </x:c>
      <x:c r="F24" s="144" t="str">
        <x:v>CAN ID/DLC/周期/值/E2E/frame ID。</x:v>
      </x:c>
      <x:c r="G24" s="144" t="str">
        <x:v>正确位置PDU且与同一frame一致。</x:v>
      </x:c>
      <x:c r="H24" s="144" t="str">
        <x:v>所有M1输出PDU100%。</x:v>
      </x:c>
      <x:c r="I24" s="144" t="str">
        <x:v>频谱+JTAG+CAN</x:v>
      </x:c>
      <x:c r="J24" s="144" t="str">
        <x:v>同帧证据</x:v>
      </x:c>
      <x:c r="K24" s="144" t="str">
        <x:v>M1-21</x:v>
      </x:c>
      <x:c r="L24" s="144" t="str">
        <x:v>验证组</x:v>
      </x:c>
    </x:row>
    <x:row r="25" ht="76" customHeight="1">
      <x:c r="A25" s="144" t="str">
        <x:v>AT-M1-14</x:v>
      </x:c>
      <x:c r="B25" s="144" t="str">
        <x:v>M1</x:v>
      </x:c>
      <x:c r="C25" s="144" t="str">
        <x:v>看门狗</x:v>
      </x:c>
      <x:c r="D25" s="144" t="str">
        <x:v>正常/卡死10ms/100ms/主链任务</x:v>
      </x:c>
      <x:c r="E25" s="144" t="str">
        <x:v>冻结任务或停止刷新，重复测试启动/运行/诊断复位。</x:v>
      </x:c>
      <x:c r="F25" s="144" t="str">
        <x:v>PMIC喂狗、复位时间、ResetReason NvM、误复位。</x:v>
      </x:c>
      <x:c r="G25" s="144" t="str">
        <x:v>卡死按策略复位/降级；正常不误触发。</x:v>
      </x:c>
      <x:c r="H25" s="144" t="str">
        <x:v>复位时间按批准矩阵。</x:v>
      </x:c>
      <x:c r="I25" s="144" t="str">
        <x:v>JTAG/电源/CAN</x:v>
      </x:c>
      <x:c r="J25" s="144" t="str">
        <x:v>Wdg报告</x:v>
      </x:c>
      <x:c r="K25" s="144" t="str">
        <x:v>M1-23</x:v>
      </x:c>
      <x:c r="L25" s="144" t="str">
        <x:v>验证组</x:v>
      </x:c>
    </x:row>
    <x:row r="26" ht="76" customHeight="1">
      <x:c r="A26" s="144" t="str">
        <x:v>AT-M1-15</x:v>
      </x:c>
      <x:c r="B26" s="144" t="str">
        <x:v>M1</x:v>
      </x:c>
      <x:c r="C26" s="144" t="str">
        <x:v>主链Gate</x:v>
      </x:c>
      <x:c r="D26" s="144" t="str">
        <x:v>NORMAL/FUNTEST_OFF候选版本</x:v>
      </x:c>
      <x:c r="E26" s="144" t="str">
        <x:v>上电→合法标定→真实发波→M4→IPC→R5→CAN，连续运行并插入关键故障。</x:v>
      </x:c>
      <x:c r="F26" s="144" t="str">
        <x:v>RF/帧/IPC/R5/CAN关联、资源、恢复。</x:v>
      </x:c>
      <x:c r="G26" s="144" t="str">
        <x:v>同帧闭环；无永久阻塞/越界/不可恢复错误。</x:v>
      </x:c>
      <x:c r="H26" s="144" t="str">
        <x:v>连续时长、丢帧率等由M0 Gate冻结。</x:v>
      </x:c>
      <x:c r="I26" s="144" t="str">
        <x:v>目标板/真实目标/多工具同步</x:v>
      </x:c>
      <x:c r="J26" s="144" t="str">
        <x:v>M1签署报告</x:v>
      </x:c>
      <x:c r="K26" s="144" t="str">
        <x:v>M1-25</x:v>
      </x:c>
      <x:c r="L26" s="144" t="str">
        <x:v>独立验证组</x:v>
      </x:c>
    </x:row>
    <x:row r="27" ht="76" customHeight="1">
      <x:c r="A27" s="144" t="str">
        <x:v>AT-M2-01</x:v>
      </x:c>
      <x:c r="B27" s="144" t="str">
        <x:v>M2</x:v>
      </x:c>
      <x:c r="C27" s="144" t="str">
        <x:v>通信</x:v>
      </x:c>
      <x:c r="D27" s="144" t="str">
        <x:v>完整DBC/ARXML</x:v>
      </x:c>
      <x:c r="E27" s="144" t="str">
        <x:v>自动生成参考矩阵并与CanIf/Com/PduR生成物比较。</x:v>
      </x:c>
      <x:c r="F27" s="144" t="str">
        <x:v>38 Tx/70 Rx PDU、687/770 signal、路由。</x:v>
      </x:c>
      <x:c r="G27" s="144" t="str">
        <x:v>ID/DLC/bit/端序/周期/timeout/group/E2E零未解释差异。</x:v>
      </x:c>
      <x:c r="H27" s="144" t="str">
        <x:v>全量100%。</x:v>
      </x:c>
      <x:c r="I27" s="144" t="str">
        <x:v>DBC工具/配置diff</x:v>
      </x:c>
      <x:c r="J27" s="144" t="str">
        <x:v>通信审计</x:v>
      </x:c>
      <x:c r="K27" s="144" t="str">
        <x:v>M2-01,M2-02</x:v>
      </x:c>
      <x:c r="L27" s="144" t="str">
        <x:v>东软/验证组</x:v>
      </x:c>
    </x:row>
    <x:row r="28" ht="76" customHeight="1">
      <x:c r="A28" s="144" t="str">
        <x:v>AT-M2-02</x:v>
      </x:c>
      <x:c r="B28" s="144" t="str">
        <x:v>M2</x:v>
      </x:c>
      <x:c r="C28" s="144" t="str">
        <x:v>CAN FD</x:v>
      </x:c>
      <x:c r="D28" s="144" t="str">
        <x:v>全量网络</x:v>
      </x:c>
      <x:c r="E28" s="144" t="str">
        <x:v>500k/2M和批准1M/5M下满载、错误帧、Bus-Off。</x:v>
      </x:c>
      <x:c r="F28" s="144" t="str">
        <x:v>控制器状态、丢帧、恢复、总线负载。</x:v>
      </x:c>
      <x:c r="G28" s="144" t="str">
        <x:v>稳定收发；恢复参数与配置一致。</x:v>
      </x:c>
      <x:c r="H28" s="144" t="str">
        <x:v>负载/错误率按OEM。</x:v>
      </x:c>
      <x:c r="I28" s="144" t="str">
        <x:v>CANoe/故障注入</x:v>
      </x:c>
      <x:c r="J28" s="144" t="str">
        <x:v>CAN报告</x:v>
      </x:c>
      <x:c r="K28" s="144" t="str">
        <x:v>M2-01,M2-03</x:v>
      </x:c>
      <x:c r="L28" s="144" t="str">
        <x:v>验证组</x:v>
      </x:c>
    </x:row>
    <x:row r="29" ht="76" customHeight="1">
      <x:c r="A29" s="144" t="str">
        <x:v>AT-M2-03</x:v>
      </x:c>
      <x:c r="B29" s="144" t="str">
        <x:v>M2</x:v>
      </x:c>
      <x:c r="C29" s="144" t="str">
        <x:v>E2E</x:v>
      </x:c>
      <x:c r="D29" s="144" t="str">
        <x:v>Profile01报文</x:v>
      </x:c>
      <x:c r="E29" s="144" t="str">
        <x:v>正常、CRC错、counter跳/重复/回绕、DataID错。</x:v>
      </x:c>
      <x:c r="F29" s="144" t="str">
        <x:v>接收状态、错误反应、应用有效性。</x:v>
      </x:c>
      <x:c r="G29" s="144" t="str">
        <x:v>所有错误被正确检测/恢复；发送字段正确。</x:v>
      </x:c>
      <x:c r="H29" s="144" t="str">
        <x:v>所有受保护PDU。</x:v>
      </x:c>
      <x:c r="I29" s="144" t="str">
        <x:v>CANoe E2E</x:v>
      </x:c>
      <x:c r="J29" s="144" t="str">
        <x:v>E2E报告</x:v>
      </x:c>
      <x:c r="K29" s="144" t="str">
        <x:v>M2-02</x:v>
      </x:c>
      <x:c r="L29" s="144" t="str">
        <x:v>验证组</x:v>
      </x:c>
    </x:row>
    <x:row r="30" ht="76" customHeight="1">
      <x:c r="A30" s="144" t="str">
        <x:v>AT-M2-04</x:v>
      </x:c>
      <x:c r="B30" s="144" t="str">
        <x:v>M2</x:v>
      </x:c>
      <x:c r="C30" s="144" t="str">
        <x:v>NM/ComM/CanSM</x:v>
      </x:c>
      <x:c r="D30" s="144" t="str">
        <x:v>COM/XCP网络</x:v>
      </x:c>
      <x:c r="E30" s="144" t="str">
        <x:v>验证20ms×25、500ms、1.6s、2s、Bus-Off L1/L2、诊断保持通信。</x:v>
      </x:c>
      <x:c r="F30" s="144" t="str">
        <x:v>Nm/ComM/CanSM/BswM状态、PDU组、功耗。</x:v>
      </x:c>
      <x:c r="G30" s="144" t="str">
        <x:v>计时与状态机符合冻结配置；无错误唤醒。</x:v>
      </x:c>
      <x:c r="H30" s="144" t="str">
        <x:v>边界±调度容差。</x:v>
      </x:c>
      <x:c r="I30" s="144" t="str">
        <x:v>CANoe/电流计</x:v>
      </x:c>
      <x:c r="J30" s="144" t="str">
        <x:v>NM报告</x:v>
      </x:c>
      <x:c r="K30" s="144" t="str">
        <x:v>M2-03</x:v>
      </x:c>
      <x:c r="L30" s="144" t="str">
        <x:v>验证组</x:v>
      </x:c>
    </x:row>
    <x:row r="31" ht="76" customHeight="1">
      <x:c r="A31" s="144" t="str">
        <x:v>AT-M2-05</x:v>
      </x:c>
      <x:c r="B31" s="144" t="str">
        <x:v>M2</x:v>
      </x:c>
      <x:c r="C31" s="144" t="str">
        <x:v>NvM</x:v>
      </x:c>
      <x:c r="D31" s="144" t="str">
        <x:v>105项生成配置</x:v>
      </x:c>
      <x:c r="E31" s="144" t="str">
        <x:v>自动解析NvM/Fee生成表并和05页逐项diff。</x:v>
      </x:c>
      <x:c r="F31" s="144" t="str">
        <x:v>ID/长度/persistent ID/management/flags/RAM/ROM。</x:v>
      </x:c>
      <x:c r="G31" s="144" t="str">
        <x:v>零未解释差异；103业务块全部映射Fee。</x:v>
      </x:c>
      <x:c r="H31" s="144" t="str">
        <x:v>105/105。</x:v>
      </x:c>
      <x:c r="I31" s="144" t="str">
        <x:v>解析脚本</x:v>
      </x:c>
      <x:c r="J31" s="144" t="str">
        <x:v>配置diff</x:v>
      </x:c>
      <x:c r="K31" s="144" t="str">
        <x:v>M2-05</x:v>
      </x:c>
      <x:c r="L31" s="144" t="str">
        <x:v>东软/验证组</x:v>
      </x:c>
    </x:row>
    <x:row r="32" ht="76" customHeight="1">
      <x:c r="A32" s="144" t="str">
        <x:v>AT-M2-06</x:v>
      </x:c>
      <x:c r="B32" s="144" t="str">
        <x:v>M2</x:v>
      </x:c>
      <x:c r="C32" s="144" t="str">
        <x:v>NvM API</x:v>
      </x:c>
      <x:c r="D32" s="144" t="str">
        <x:v>每类块代表+边界块</x:v>
      </x:c>
      <x:c r="E32" s="144" t="str">
        <x:v>Read/Write/Invalidate/RestoreDefaults/ReadAll/WriteAll；NULL RAM/Sync/ROM/大块。</x:v>
      </x:c>
      <x:c r="F32" s="144" t="str">
        <x:v>结果码、RAM/NV内容、回调、队列。</x:v>
      </x:c>
      <x:c r="G32" s="144" t="str">
        <x:v>符合块属性；边界长度和非法ID拒绝。</x:v>
      </x:c>
      <x:c r="H32" s="144" t="str">
        <x:v>覆盖全部属性组合，关键块逐项。</x:v>
      </x:c>
      <x:c r="I32" s="144" t="str">
        <x:v>JTAG/NvM测试SWC</x:v>
      </x:c>
      <x:c r="J32" s="144" t="str">
        <x:v>NvM功能报告</x:v>
      </x:c>
      <x:c r="K32" s="144" t="str">
        <x:v>M2-05</x:v>
      </x:c>
      <x:c r="L32" s="144" t="str">
        <x:v>验证组</x:v>
      </x:c>
    </x:row>
    <x:row r="33" ht="76" customHeight="1">
      <x:c r="A33" s="144" t="str">
        <x:v>AT-M2-07</x:v>
      </x:c>
      <x:c r="B33" s="144" t="str">
        <x:v>M2</x:v>
      </x:c>
      <x:c r="C33" s="144" t="str">
        <x:v>Fee断电</x:v>
      </x:c>
      <x:c r="D33" s="144" t="str">
        <x:v>双Bank和ID15冗余</x:v>
      </x:c>
      <x:c r="E33" s="144" t="str">
        <x:v>erase/write/reorg各窗口断电；破坏ID15一份；填满Bank。</x:v>
      </x:c>
      <x:c r="F33" s="144" t="str">
        <x:v>重启数据、重组、逻辑ID、错误。</x:v>
      </x:c>
      <x:c r="G33" s="144" t="str">
        <x:v>数据不丢/不串；冗余恢复；物理位置可变。</x:v>
      </x:c>
      <x:c r="H33" s="144" t="str">
        <x:v>每个窗口多次随机化。</x:v>
      </x:c>
      <x:c r="I33" s="144" t="str">
        <x:v>可控电源/Flash dump</x:v>
      </x:c>
      <x:c r="J33" s="144" t="str">
        <x:v>Fee报告</x:v>
      </x:c>
      <x:c r="K33" s="144" t="str">
        <x:v>M2-06</x:v>
      </x:c>
      <x:c r="L33" s="144" t="str">
        <x:v>验证组</x:v>
      </x:c>
    </x:row>
    <x:row r="34" ht="76" customHeight="1">
      <x:c r="A34" s="144" t="str">
        <x:v>AT-M2-08</x:v>
      </x:c>
      <x:c r="B34" s="144" t="str">
        <x:v>M2</x:v>
      </x:c>
      <x:c r="C34" s="144" t="str">
        <x:v>Dem</x:v>
      </x:c>
      <x:c r="D34" s="144" t="str">
        <x:v>217事件/59 DTC矩阵</x:v>
      </x:c>
      <x:c r="E34" s="144" t="str">
        <x:v>注入故障、去抖、恢复、老化、跨电源；填满40条。</x:v>
      </x:c>
      <x:c r="F34" s="144" t="str">
        <x:v>event status、0x19、FF/ext、NvM、清除。</x:v>
      </x:c>
      <x:c r="G34" s="144" t="str">
        <x:v>与矩阵一致；满载策略明确且不串数据。</x:v>
      </x:c>
      <x:c r="H34" s="144" t="str">
        <x:v>全事件或批准等价类；所有DTC。</x:v>
      </x:c>
      <x:c r="I34" s="144" t="str">
        <x:v>故障注入/诊断工具</x:v>
      </x:c>
      <x:c r="J34" s="144" t="str">
        <x:v>Dem报告</x:v>
      </x:c>
      <x:c r="K34" s="144" t="str">
        <x:v>M2-08,M2-24</x:v>
      </x:c>
      <x:c r="L34" s="144" t="str">
        <x:v>验证组</x:v>
      </x:c>
    </x:row>
    <x:row r="35" ht="76" customHeight="1">
      <x:c r="A35" s="144" t="str">
        <x:v>AT-M2-09</x:v>
      </x:c>
      <x:c r="B35" s="144" t="str">
        <x:v>M2</x:v>
      </x:c>
      <x:c r="C35" s="144" t="str">
        <x:v>Dcm服务</x:v>
      </x:c>
      <x:c r="D35" s="144" t="str">
        <x:v>11服务×会话×安全</x:v>
      </x:c>
      <x:c r="E35" s="144" t="str">
        <x:v>执行支持/不支持/错误长度/条件/权限/NRC。</x:v>
      </x:c>
      <x:c r="F35" s="144" t="str">
        <x:v>响应、P2/P2*/S3、session/security状态。</x:v>
      </x:c>
      <x:c r="G35" s="144" t="str">
        <x:v>与服务矩阵一致；未授权服务拒绝。</x:v>
      </x:c>
      <x:c r="H35" s="144" t="str">
        <x:v>全组合自动化。</x:v>
      </x:c>
      <x:c r="I35" s="144" t="str">
        <x:v>诊断测试仪</x:v>
      </x:c>
      <x:c r="J35" s="144" t="str">
        <x:v>Dcm报告</x:v>
      </x:c>
      <x:c r="K35" s="144" t="str">
        <x:v>M2-09</x:v>
      </x:c>
      <x:c r="L35" s="144" t="str">
        <x:v>验证组</x:v>
      </x:c>
    </x:row>
    <x:row r="36" ht="76" customHeight="1">
      <x:c r="A36" s="144" t="str">
        <x:v>AT-M2-10</x:v>
      </x:c>
      <x:c r="B36" s="144" t="str">
        <x:v>M2</x:v>
      </x:c>
      <x:c r="C36" s="144" t="str">
        <x:v>DID</x:v>
      </x:c>
      <x:c r="D36" s="144" t="str">
        <x:v>48 DID</x:v>
      </x:c>
      <x:c r="E36" s="144" t="str">
        <x:v>读写边界、端序、持久化、条件、错长度、复位。</x:v>
      </x:c>
      <x:c r="F36" s="144" t="str">
        <x:v>回调、NvM、响应/NRC。</x:v>
      </x:c>
      <x:c r="G36" s="144" t="str">
        <x:v>48/48满足DID矩阵；写后重启一致。</x:v>
      </x:c>
      <x:c r="H36" s="144" t="str">
        <x:v>全量。</x:v>
      </x:c>
      <x:c r="I36" s="144" t="str">
        <x:v>诊断测试仪/JTAG</x:v>
      </x:c>
      <x:c r="J36" s="144" t="str">
        <x:v>DID报告</x:v>
      </x:c>
      <x:c r="K36" s="144" t="str">
        <x:v>M2-10</x:v>
      </x:c>
      <x:c r="L36" s="144" t="str">
        <x:v>验证组</x:v>
      </x:c>
    </x:row>
    <x:row r="37" ht="76" customHeight="1">
      <x:c r="A37" s="144" t="str">
        <x:v>AT-M2-11</x:v>
      </x:c>
      <x:c r="B37" s="144" t="str">
        <x:v>M2</x:v>
      </x:c>
      <x:c r="C37" s="144" t="str">
        <x:v>Routine</x:v>
      </x:c>
      <x:c r="D37" s="144" t="str">
        <x:v>5 Routine</x:v>
      </x:c>
      <x:c r="E37" s="144" t="str">
        <x:v>start/stop/result、busy、取消、超时、错参数、掉电。</x:v>
      </x:c>
      <x:c r="F37" s="144" t="str">
        <x:v>异步状态、NRC、持久化/安全影响。</x:v>
      </x:c>
      <x:c r="G37" s="144" t="str">
        <x:v>5/5满足Routine矩阵。</x:v>
      </x:c>
      <x:c r="H37" s="144" t="str">
        <x:v>全状态转移。</x:v>
      </x:c>
      <x:c r="I37" s="144" t="str">
        <x:v>诊断测试仪</x:v>
      </x:c>
      <x:c r="J37" s="144" t="str">
        <x:v>Routine报告</x:v>
      </x:c>
      <x:c r="K37" s="144" t="str">
        <x:v>M2-11</x:v>
      </x:c>
      <x:c r="L37" s="144" t="str">
        <x:v>验证组</x:v>
      </x:c>
    </x:row>
    <x:row r="38" ht="76" customHeight="1">
      <x:c r="A38" s="144" t="str">
        <x:v>AT-M2-12</x:v>
      </x:c>
      <x:c r="B38" s="144" t="str">
        <x:v>M2</x:v>
      </x:c>
      <x:c r="C38" s="144" t="str">
        <x:v>安全访问</x:v>
      </x:c>
      <x:c r="D38" s="144" t="str">
        <x:v>L1/L31/L32</x:v>
      </x:c>
      <x:c r="E38" s="144" t="str">
        <x:v>正确/错误/重放/暴力/超时/掉电/HSM繁忙。</x:v>
      </x:c>
      <x:c r="F38" s="144" t="str">
        <x:v>seed/key、延迟、attempt counter、生命周期。</x:v>
      </x:c>
      <x:c r="G38" s="144" t="str">
        <x:v>算法和策略符合批准规范；计数持久化；无秘密泄露。</x:v>
      </x:c>
      <x:c r="H38" s="144" t="str">
        <x:v>全等级。</x:v>
      </x:c>
      <x:c r="I38" s="144" t="str">
        <x:v>安全诊断台架</x:v>
      </x:c>
      <x:c r="J38" s="144" t="str">
        <x:v>安全访问报告</x:v>
      </x:c>
      <x:c r="K38" s="144" t="str">
        <x:v>M2-12</x:v>
      </x:c>
      <x:c r="L38" s="144" t="str">
        <x:v>安全验证组</x:v>
      </x:c>
    </x:row>
    <x:row r="39" ht="76" customHeight="1">
      <x:c r="A39" s="144" t="str">
        <x:v>AT-M2-13</x:v>
      </x:c>
      <x:c r="B39" s="144" t="str">
        <x:v>M2</x:v>
      </x:c>
      <x:c r="C39" s="144" t="str">
        <x:v>CanTp</x:v>
      </x:c>
      <x:c r="D39" s="144" t="str">
        <x:v>物理/功能寻址</x:v>
      </x:c>
      <x:c r="E39" s="144" t="str">
        <x:v>SF/FF/CF/FC，4095边界，BS/STmin，丢帧/乱序/超时/padding。</x:v>
      </x:c>
      <x:c r="F39" s="144" t="str">
        <x:v>CanTp/PduR/Dcm状态和响应。</x:v>
      </x:c>
      <x:c r="G39" s="144" t="str">
        <x:v>参数与配置一致；异常恢复。</x:v>
      </x:c>
      <x:c r="H39" s="144" t="str">
        <x:v>覆盖所有timeout。</x:v>
      </x:c>
      <x:c r="I39" s="144" t="str">
        <x:v>CANoe诊断</x:v>
      </x:c>
      <x:c r="J39" s="144" t="str">
        <x:v>CanTp报告</x:v>
      </x:c>
      <x:c r="K39" s="144" t="str">
        <x:v>M2-13</x:v>
      </x:c>
      <x:c r="L39" s="144" t="str">
        <x:v>验证组</x:v>
      </x:c>
    </x:row>
    <x:row r="40" ht="76" customHeight="1">
      <x:c r="A40" s="144" t="str">
        <x:v>AT-M2-14</x:v>
      </x:c>
      <x:c r="B40" s="144" t="str">
        <x:v>M2</x:v>
      </x:c>
      <x:c r="C40" s="144" t="str">
        <x:v>XCP</x:v>
      </x:c>
      <x:c r="D40" s="144" t="str">
        <x:v>开发/量产生命周期</x:v>
      </x:c>
      <x:c r="E40" s="144" t="str">
        <x:v>DAQ、A2L、非法地址、错误key、重放、量产件连接。</x:v>
      </x:c>
      <x:c r="F40" s="144" t="str">
        <x:v>XCP响应、内存访问、日志。</x:v>
      </x:c>
      <x:c r="G40" s="144" t="str">
        <x:v>批准变量可用；非法/量产访问拒绝。</x:v>
      </x:c>
      <x:c r="H40" s="144" t="str">
        <x:v>四角位置和全部生命周期。</x:v>
      </x:c>
      <x:c r="I40" s="144" t="str">
        <x:v>CANape/CANoe</x:v>
      </x:c>
      <x:c r="J40" s="144" t="str">
        <x:v>XCP报告</x:v>
      </x:c>
      <x:c r="K40" s="144" t="str">
        <x:v>M2-17</x:v>
      </x:c>
      <x:c r="L40" s="144" t="str">
        <x:v>安全验证组</x:v>
      </x:c>
    </x:row>
    <x:row r="41" ht="76" customHeight="1">
      <x:c r="A41" s="144" t="str">
        <x:v>AT-M2-15</x:v>
      </x:c>
      <x:c r="B41" s="144" t="str">
        <x:v>M2</x:v>
      </x:c>
      <x:c r="C41" s="144" t="str">
        <x:v>生命周期</x:v>
      </x:c>
      <x:c r="D41" s="144" t="str">
        <x:v>上电/休眠/唤醒/诊断复位/WDG复位</x:v>
      </x:c>
      <x:c r="E41" s="144" t="str">
        <x:v>组合KL30/KL15、CAN wake、NoCom、NvM忙、Bus-Off。</x:v>
      </x:c>
      <x:c r="F41" s="144" t="str">
        <x:v>EcuM/BswM/ComM/NvM/Dem/PMIC、电流。</x:v>
      </x:c>
      <x:c r="G41" s="144" t="str">
        <x:v>状态/数据/功耗/响应满足规范，无误唤醒。</x:v>
      </x:c>
      <x:c r="H41" s="144" t="str">
        <x:v>所有状态转移。</x:v>
      </x:c>
      <x:c r="I41" s="144" t="str">
        <x:v>电源台架/CAN</x:v>
      </x:c>
      <x:c r="J41" s="144" t="str">
        <x:v>生命周期报告</x:v>
      </x:c>
      <x:c r="K41" s="144" t="str">
        <x:v>M2-15,M2-16</x:v>
      </x:c>
      <x:c r="L41" s="144" t="str">
        <x:v>验证组</x:v>
      </x:c>
    </x:row>
    <x:row r="42" ht="76" customHeight="1">
      <x:c r="A42" s="144" t="str">
        <x:v>AT-M2-16</x:v>
      </x:c>
      <x:c r="B42" s="144" t="str">
        <x:v>M2</x:v>
      </x:c>
      <x:c r="C42" s="144" t="str">
        <x:v>全功能资源</x:v>
      </x:c>
      <x:c r="D42" s="144" t="str">
        <x:v>全量模块+算法+总线满载</x:v>
      </x:c>
      <x:c r="E42" s="144" t="str">
        <x:v>执行最坏场景并采集任务、堆栈、内存、Flash队列。</x:v>
      </x:c>
      <x:c r="F42" s="144" t="str">
        <x:v>CPU/WCET/jitter/stack/bus/load/queue。</x:v>
      </x:c>
      <x:c r="G42" s="144" t="str">
        <x:v>所有实时与资源阈值满足合同。</x:v>
      </x:c>
      <x:c r="H42" s="144" t="str">
        <x:v>最坏场景持续运行。</x:v>
      </x:c>
      <x:c r="I42" s="144" t="str">
        <x:v>OS trace/JTAG/CAN</x:v>
      </x:c>
      <x:c r="J42" s="144" t="str">
        <x:v>性能报告</x:v>
      </x:c>
      <x:c r="K42" s="144" t="str">
        <x:v>M2-28</x:v>
      </x:c>
      <x:c r="L42" s="144" t="str">
        <x:v>验证组</x:v>
      </x:c>
    </x:row>
    <x:row r="43" ht="76" customHeight="1">
      <x:c r="A43" s="144" t="str">
        <x:v>AT-M3-01</x:v>
      </x:c>
      <x:c r="B43" s="144" t="str">
        <x:v>M3</x:v>
      </x:c>
      <x:c r="C43" s="144" t="str">
        <x:v>CI发布</x:v>
      </x:c>
      <x:c r="D43" s="144" t="str">
        <x:v>完整build matrix</x:v>
      </x:c>
      <x:c r="E43" s="144" t="str">
        <x:v>逐组合执行clean generate/build/test/package。</x:v>
      </x:c>
      <x:c r="F43" s="144" t="str">
        <x:v>制品、hash、日志、SBOM、空归档。</x:v>
      </x:c>
      <x:c r="G43" s="144" t="str">
        <x:v>每组合唯一、完整、可复现；失败阻断。</x:v>
      </x:c>
      <x:c r="H43" s="144" t="str">
        <x:v>100%矩阵。</x:v>
      </x:c>
      <x:c r="I43" s="144" t="str">
        <x:v>CI/干净agent</x:v>
      </x:c>
      <x:c r="J43" s="144" t="str">
        <x:v>发布矩阵报告</x:v>
      </x:c>
      <x:c r="K43" s="144" t="str">
        <x:v>M3-01,M3-11,M3-12</x:v>
      </x:c>
      <x:c r="L43" s="144" t="str">
        <x:v>东软/验证组</x:v>
      </x:c>
    </x:row>
    <x:row r="44" ht="76" customHeight="1">
      <x:c r="A44" s="144" t="str">
        <x:v>AT-M3-02</x:v>
      </x:c>
      <x:c r="B44" s="144" t="str">
        <x:v>M3</x:v>
      </x:c>
      <x:c r="C44" s="144" t="str">
        <x:v>静态质量</x:v>
      </x:c>
      <x:c r="D44" s="144" t="str">
        <x:v>最终候选</x:v>
      </x:c>
      <x:c r="E44" s="144" t="str">
        <x:v>运行静态分析、MISRA、编译warning和复杂度门禁。</x:v>
      </x:c>
      <x:c r="F44" s="144" t="str">
        <x:v>报告与基线差异。</x:v>
      </x:c>
      <x:c r="G44" s="144" t="str">
        <x:v>Critical/High=0；偏差批准。</x:v>
      </x:c>
      <x:c r="H44" s="144" t="str">
        <x:v>阈值按合同。</x:v>
      </x:c>
      <x:c r="I44" s="144" t="str">
        <x:v>QAC/Coverity等</x:v>
      </x:c>
      <x:c r="J44" s="144" t="str">
        <x:v>质量报告</x:v>
      </x:c>
      <x:c r="K44" s="144" t="str">
        <x:v>M3-02</x:v>
      </x:c>
      <x:c r="L44" s="144" t="str">
        <x:v>独立质量组</x:v>
      </x:c>
    </x:row>
    <x:row r="45" ht="76" customHeight="1">
      <x:c r="A45" s="144" t="str">
        <x:v>AT-M3-03</x:v>
      </x:c>
      <x:c r="B45" s="144" t="str">
        <x:v>M3</x:v>
      </x:c>
      <x:c r="C45" s="144" t="str">
        <x:v>覆盖率</x:v>
      </x:c>
      <x:c r="D45" s="144" t="str">
        <x:v>全部UT</x:v>
      </x:c>
      <x:c r="E45" s="144" t="str">
        <x:v>运行所有目标模块和覆盖率统计。</x:v>
      </x:c>
      <x:c r="F45" s="144" t="str">
        <x:v>statement/branch/function。</x:v>
      </x:c>
      <x:c r="G45" s="144" t="str">
        <x:v>达到合同阈值；低于阈值CI失败。</x:v>
      </x:c>
      <x:c r="H45" s="144" t="str">
        <x:v>阈值需双方冻结。</x:v>
      </x:c>
      <x:c r="I45" s="144" t="str">
        <x:v>GTest/coverage</x:v>
      </x:c>
      <x:c r="J45" s="144" t="str">
        <x:v>UT/覆盖率报告</x:v>
      </x:c>
      <x:c r="K45" s="144" t="str">
        <x:v>M3-03</x:v>
      </x:c>
      <x:c r="L45" s="144" t="str">
        <x:v>独立质量组</x:v>
      </x:c>
    </x:row>
    <x:row r="46" ht="76" customHeight="1">
      <x:c r="A46" s="144" t="str">
        <x:v>AT-M3-04</x:v>
      </x:c>
      <x:c r="B46" s="144" t="str">
        <x:v>M3</x:v>
      </x:c>
      <x:c r="C46" s="144" t="str">
        <x:v>电源鲁棒</x:v>
      </x:c>
      <x:c r="D46" s="144" t="str">
        <x:v>最终候选</x:v>
      </x:c>
      <x:c r="E46" s="144" t="str">
        <x:v>冷/热/欠压/快速循环及NvM/Flash/Boot临界断电。</x:v>
      </x:c>
      <x:c r="F46" s="144" t="str">
        <x:v>启动、数据、恢复、砖化。</x:v>
      </x:c>
      <x:c r="G46" s="144" t="str">
        <x:v>零砖化/数据串块/不可恢复；指标满足OEM。</x:v>
      </x:c>
      <x:c r="H46" s="144" t="str">
        <x:v>循环次数/电压窗由OEM。</x:v>
      </x:c>
      <x:c r="I46" s="144" t="str">
        <x:v>可编程电源</x:v>
      </x:c>
      <x:c r="J46" s="144" t="str">
        <x:v>电源报告</x:v>
      </x:c>
      <x:c r="K46" s="144" t="str">
        <x:v>M3-04,M3-05</x:v>
      </x:c>
      <x:c r="L46" s="144" t="str">
        <x:v>验证组</x:v>
      </x:c>
    </x:row>
    <x:row r="47" ht="76" customHeight="1">
      <x:c r="A47" s="144" t="str">
        <x:v>AT-M3-05</x:v>
      </x:c>
      <x:c r="B47" s="144" t="str">
        <x:v>M3</x:v>
      </x:c>
      <x:c r="C47" s="144" t="str">
        <x:v>网络/功耗</x:v>
      </x:c>
      <x:c r="D47" s="144" t="str">
        <x:v>最终候选</x:v>
      </x:c>
      <x:c r="E47" s="144" t="str">
        <x:v>满总线、错误帧、Bus-Off、丢NM、反复睡眠唤醒。</x:v>
      </x:c>
      <x:c r="F47" s="144" t="str">
        <x:v>状态、PDU、电流、恢复时间。</x:v>
      </x:c>
      <x:c r="G47" s="144" t="str">
        <x:v>满足OEM网络与静态电流指标。</x:v>
      </x:c>
      <x:c r="H47" s="144" t="str">
        <x:v>全角位置。</x:v>
      </x:c>
      <x:c r="I47" s="144" t="str">
        <x:v>CANoe/电流计</x:v>
      </x:c>
      <x:c r="J47" s="144" t="str">
        <x:v>网络功耗报告</x:v>
      </x:c>
      <x:c r="K47" s="144" t="str">
        <x:v>M3-06</x:v>
      </x:c>
      <x:c r="L47" s="144" t="str">
        <x:v>验证组</x:v>
      </x:c>
    </x:row>
    <x:row r="48" ht="76" customHeight="1">
      <x:c r="A48" s="144" t="str">
        <x:v>AT-M3-06</x:v>
      </x:c>
      <x:c r="B48" s="144" t="str">
        <x:v>M3</x:v>
      </x:c>
      <x:c r="C48" s="144" t="str">
        <x:v>雷达长稳</x:v>
      </x:c>
      <x:c r="D48" s="144" t="str">
        <x:v>四角样件和环境条件</x:v>
      </x:c>
      <x:c r="E48" s="144" t="str">
        <x:v>真实发波长稳、温度/电压、场景循环。</x:v>
      </x:c>
      <x:c r="F48" s="144" t="str">
        <x:v>RF/帧/IPC/R5/CAN/资源。</x:v>
      </x:c>
      <x:c r="G48" s="144" t="str">
        <x:v>无帧序/内存/位置映射问题；算法指标满足甲方规范。</x:v>
      </x:c>
      <x:c r="H48" s="144" t="str">
        <x:v>持续时长由合同。</x:v>
      </x:c>
      <x:c r="I48" s="144" t="str">
        <x:v>环境箱/目标模拟/实场</x:v>
      </x:c>
      <x:c r="J48" s="144" t="str">
        <x:v>长稳报告</x:v>
      </x:c>
      <x:c r="K48" s="144" t="str">
        <x:v>M3-07</x:v>
      </x:c>
      <x:c r="L48" s="144" t="str">
        <x:v>验证组</x:v>
      </x:c>
    </x:row>
    <x:row r="49" ht="76" customHeight="1">
      <x:c r="A49" s="144" t="str">
        <x:v>AT-M3-07</x:v>
      </x:c>
      <x:c r="B49" s="144" t="str">
        <x:v>M3</x:v>
      </x:c>
      <x:c r="C49" s="144" t="str">
        <x:v>诊断一致性</x:v>
      </x:c>
      <x:c r="D49" s="144" t="str">
        <x:v>最终候选</x:v>
      </x:c>
      <x:c r="E49" s="144" t="str">
        <x:v>运行UDS/DEM/NvM全自动回归和故障组合。</x:v>
      </x:c>
      <x:c r="F49" s="144" t="str">
        <x:v>响应/NRC/时序/持久化。</x:v>
      </x:c>
      <x:c r="G49" s="144" t="str">
        <x:v>全部正式需求通过。</x:v>
      </x:c>
      <x:c r="H49" s="144" t="str">
        <x:v>100%自动用例。</x:v>
      </x:c>
      <x:c r="I49" s="144" t="str">
        <x:v>诊断测试仪</x:v>
      </x:c>
      <x:c r="J49" s="144" t="str">
        <x:v>诊断报告</x:v>
      </x:c>
      <x:c r="K49" s="144" t="str">
        <x:v>M3-08</x:v>
      </x:c>
      <x:c r="L49" s="144" t="str">
        <x:v>验证组</x:v>
      </x:c>
    </x:row>
    <x:row r="50" ht="76" customHeight="1">
      <x:c r="A50" s="144" t="str">
        <x:v>AT-M3-08</x:v>
      </x:c>
      <x:c r="B50" s="144" t="str">
        <x:v>M3</x:v>
      </x:c>
      <x:c r="C50" s="144" t="str">
        <x:v>安全</x:v>
      </x:c>
      <x:c r="D50" s="144" t="str">
        <x:v>最终签名候选</x:v>
      </x:c>
      <x:c r="E50" s="144" t="str">
        <x:v>篡改、错签名/tag、非法XCP/UDS、HSM异常、生命周期/降级。</x:v>
      </x:c>
      <x:c r="F50" s="144" t="str">
        <x:v>启动/拒绝/日志/恢复。</x:v>
      </x:c>
      <x:c r="G50" s="144" t="str">
        <x:v>未授权全部拒绝；失败进入批准状态；无秘密泄露。</x:v>
      </x:c>
      <x:c r="H50" s="144" t="str">
        <x:v>全生命周期。</x:v>
      </x:c>
      <x:c r="I50" s="144" t="str">
        <x:v>安全台架</x:v>
      </x:c>
      <x:c r="J50" s="144" t="str">
        <x:v>安全报告</x:v>
      </x:c>
      <x:c r="K50" s="144" t="str">
        <x:v>M3-09</x:v>
      </x:c>
      <x:c r="L50" s="144" t="str">
        <x:v>安全验证组</x:v>
      </x:c>
    </x:row>
    <x:row r="51" ht="76" customHeight="1">
      <x:c r="A51" s="144" t="str">
        <x:v>AT-M3-09</x:v>
      </x:c>
      <x:c r="B51" s="144" t="str">
        <x:v>M3</x:v>
      </x:c>
      <x:c r="C51" s="144" t="str">
        <x:v>车辆</x:v>
      </x:c>
      <x:c r="D51" s="144" t="str">
        <x:v>台架Gate通过</x:v>
      </x:c>
      <x:c r="E51" s="144" t="str">
        <x:v>实车/等效整车执行通信、休眠、发波时片、位置和算法用例。</x:v>
      </x:c>
      <x:c r="F51" s="144" t="str">
        <x:v>整车网络/RF/输出/功耗。</x:v>
      </x:c>
      <x:c r="G51" s="144" t="str">
        <x:v>OEM用例通过，无跨ECU干扰。</x:v>
      </x:c>
      <x:c r="H51" s="144" t="str">
        <x:v>全目标变体。</x:v>
      </x:c>
      <x:c r="I51" s="144" t="str">
        <x:v>车辆/道路</x:v>
      </x:c>
      <x:c r="J51" s="144" t="str">
        <x:v>车辆报告</x:v>
      </x:c>
      <x:c r="K51" s="144" t="str">
        <x:v>M3-10</x:v>
      </x:c>
      <x:c r="L51" s="144" t="str">
        <x:v>双方</x:v>
      </x:c>
    </x:row>
    <x:row r="52" ht="76" customHeight="1">
      <x:c r="A52" s="144" t="str">
        <x:v>AT-M3-10</x:v>
      </x:c>
      <x:c r="B52" s="144" t="str">
        <x:v>M3</x:v>
      </x:c>
      <x:c r="C52" s="144" t="str">
        <x:v>交付复现</x:v>
      </x:c>
      <x:c r="D52" s="144" t="str">
        <x:v>最终交付包</x:v>
      </x:c>
      <x:c r="E52" s="144" t="str">
        <x:v>独立人员按文档安装、build、变更一个配置、测试、刷写和回退。</x:v>
      </x:c>
      <x:c r="F52" s="144" t="str">
        <x:v>步骤、制品、hash、问题数。</x:v>
      </x:c>
      <x:c r="G52" s="144" t="str">
        <x:v>无需东软代操作即可完成；manifest一致。</x:v>
      </x:c>
      <x:c r="H52" s="144" t="str">
        <x:v>一次完整演练。</x:v>
      </x:c>
      <x:c r="I52" s="144" t="str">
        <x:v>隔离环境/目标板</x:v>
      </x:c>
      <x:c r="J52" s="144" t="str">
        <x:v>移交演练记录</x:v>
      </x:c>
      <x:c r="K52" s="144" t="str">
        <x:v>M3-13,M3-14,M3-15</x:v>
      </x:c>
      <x:c r="L52" s="144" t="str">
        <x:v>我方/独立验证组</x:v>
      </x:c>
    </x:row>
    <x:row r="53" ht="76" customHeight="1">
      <x:c r="A53" s="144" t="str">
        <x:v>AT-BT-01</x:v>
      </x:c>
      <x:c r="B53" s="144" t="str">
        <x:v>BT</x:v>
      </x:c>
      <x:c r="C53" s="144" t="str">
        <x:v>Boot内存</x:v>
      </x:c>
      <x:c r="D53" s="144" t="str">
        <x:v>冻结memory map</x:v>
      </x:c>
      <x:c r="E53" s="144" t="str">
        <x:v>解析容器V3/V4各区域、header/CRC/地址。</x:v>
      </x:c>
      <x:c r="F53" s="144" t="str">
        <x:v>BM/PBL/CBL/App/HSM/WFDA/CUDA/CLDA。</x:v>
      </x:c>
      <x:c r="G53" s="144" t="str">
        <x:v>无重叠/越界；容器字段正确。</x:v>
      </x:c>
      <x:c r="H53" s="144" t="str">
        <x:v>全build matrix。</x:v>
      </x:c>
      <x:c r="I53" s="144" t="str">
        <x:v>容器解析器</x:v>
      </x:c>
      <x:c r="J53" s="144" t="str">
        <x:v>map/容器报告</x:v>
      </x:c>
      <x:c r="K53" s="144" t="str">
        <x:v>BT-02</x:v>
      </x:c>
      <x:c r="L53" s="144" t="str">
        <x:v>验证组</x:v>
      </x:c>
    </x:row>
    <x:row r="54" ht="76" customHeight="1">
      <x:c r="A54" s="144" t="str">
        <x:v>AT-BT-02</x:v>
      </x:c>
      <x:c r="B54" s="144" t="str">
        <x:v>BT</x:v>
      </x:c>
      <x:c r="C54" s="144" t="str">
        <x:v>刷新</x:v>
      </x:c>
      <x:c r="D54" s="144" t="str">
        <x:v>Boot候选</x:v>
      </x:c>
      <x:c r="E54" s="144" t="str">
        <x:v>正常下载、错误长度/地址/块序/CRC、丢包、重试。</x:v>
      </x:c>
      <x:c r="F54" s="144" t="str">
        <x:v>UDS响应、Flash内容、状态机。</x:v>
      </x:c>
      <x:c r="G54" s="144" t="str">
        <x:v>正确成功；错误拒绝并可恢复。</x:v>
      </x:c>
      <x:c r="H54" s="144" t="str">
        <x:v>所有支持服务。</x:v>
      </x:c>
      <x:c r="I54" s="144" t="str">
        <x:v>诊断刷写工具</x:v>
      </x:c>
      <x:c r="J54" s="144" t="str">
        <x:v>刷新报告</x:v>
      </x:c>
      <x:c r="K54" s="144" t="str">
        <x:v>BT-03</x:v>
      </x:c>
      <x:c r="L54" s="144" t="str">
        <x:v>验证组</x:v>
      </x:c>
    </x:row>
    <x:row r="55" ht="76" customHeight="1">
      <x:c r="A55" s="144" t="str">
        <x:v>AT-BT-03</x:v>
      </x:c>
      <x:c r="B55" s="144" t="str">
        <x:v>BT</x:v>
      </x:c>
      <x:c r="C55" s="144" t="str">
        <x:v>安全启动</x:v>
      </x:c>
      <x:c r="D55" s="144" t="str">
        <x:v>efused/non-efused候选</x:v>
      </x:c>
      <x:c r="E55" s="144" t="str">
        <x:v>正确/错误签名、payload/header篡改、tag错、错生命周期。</x:v>
      </x:c>
      <x:c r="F55" s="144" t="str">
        <x:v>Boot/HSM结果、日志、进入模式。</x:v>
      </x:c>
      <x:c r="G55" s="144" t="str">
        <x:v>按安全策略接受/拒绝；无未授权执行。</x:v>
      </x:c>
      <x:c r="H55" s="144" t="str">
        <x:v>所有生命周期。</x:v>
      </x:c>
      <x:c r="I55" s="144" t="str">
        <x:v>HSM/签名台架</x:v>
      </x:c>
      <x:c r="J55" s="144" t="str">
        <x:v>安全启动报告</x:v>
      </x:c>
      <x:c r="K55" s="144" t="str">
        <x:v>BT-04</x:v>
      </x:c>
      <x:c r="L55" s="144" t="str">
        <x:v>安全验证组</x:v>
      </x:c>
    </x:row>
    <x:row r="56" ht="76" customHeight="1">
      <x:c r="A56" s="144" t="str">
        <x:v>AT-BT-04</x:v>
      </x:c>
      <x:c r="B56" s="144" t="str">
        <x:v>BT</x:v>
      </x:c>
      <x:c r="C56" s="144" t="str">
        <x:v>断电恢复</x:v>
      </x:c>
      <x:c r="D56" s="144" t="str">
        <x:v>刷写各阶段</x:v>
      </x:c>
      <x:c r="E56" s="144" t="str">
        <x:v>随机切断电源并重启/救援。</x:v>
      </x:c>
      <x:c r="F56" s="144" t="str">
        <x:v>有效镜像、恢复模式、数据/flag。</x:v>
      </x:c>
      <x:c r="G56" s="144" t="str">
        <x:v>不砖化；回到已批准镜像或救援。</x:v>
      </x:c>
      <x:c r="H56" s="144" t="str">
        <x:v>覆盖erase/download/verify/activate。</x:v>
      </x:c>
      <x:c r="I56" s="144" t="str">
        <x:v>可控电源</x:v>
      </x:c>
      <x:c r="J56" s="144" t="str">
        <x:v>断电报告</x:v>
      </x:c>
      <x:c r="K56" s="144" t="str">
        <x:v>BT-06</x:v>
      </x:c>
      <x:c r="L56" s="144" t="str">
        <x:v>验证组</x:v>
      </x:c>
    </x:row>
    <x:row r="57" ht="76" customHeight="1">
      <x:c r="A57" s="144" t="str">
        <x:v>AT-BT-05</x:v>
      </x:c>
      <x:c r="B57" s="144" t="str">
        <x:v>BT</x:v>
      </x:c>
      <x:c r="C57" s="144" t="str">
        <x:v>App联调</x:v>
      </x:c>
      <x:c r="D57" s="144" t="str">
        <x:v>App与Boot候选</x:v>
      </x:c>
      <x:c r="E57" s="144" t="str">
        <x:v>执行编程请求、复位、warm response、ComM等待、失败超时。</x:v>
      </x:c>
      <x:c r="F57" s="144" t="str">
        <x:v>NvM flag、ResetReason、响应和清理。</x:v>
      </x:c>
      <x:c r="G57" s="144" t="str">
        <x:v>所有状态转移符合ICD，无循环复位。</x:v>
      </x:c>
      <x:c r="H57" s="144" t="str">
        <x:v>全复位原因。</x:v>
      </x:c>
      <x:c r="I57" s="144" t="str">
        <x:v>目标板/CAN</x:v>
      </x:c>
      <x:c r="J57" s="144" t="str">
        <x:v>联调报告</x:v>
      </x:c>
      <x:c r="K57" s="144" t="str">
        <x:v>BT-05,BT-07,BT-08</x:v>
      </x:c>
      <x:c r="L57" s="144" t="str">
        <x:v>双方/验证组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f83ae4a25e246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48" hidden="0" customWidth="1"/>
    <x:col min="5" max="5" width="40" hidden="0" customWidth="1"/>
    <x:col min="6" max="6" width="42" hidden="0" customWidth="1"/>
    <x:col min="7" max="7" width="42" hidden="0" customWidth="1"/>
    <x:col min="8" max="8" width="32" hidden="0" customWidth="1"/>
    <x:col min="9" max="9" width="14" hidden="0" customWidth="1"/>
    <x:col min="10" max="10" width="42" hidden="0" customWidth="1"/>
  </x:cols>
  <x:sheetData>
    <x:row r="1" ht="30" customHeight="1">
      <x:c r="A1" s="133" t="str">
        <x:v>外包输入输出与Clean-room边界</x:v>
      </x:c>
      <x:c r="B1" s="133" t="str">
        <x:v>外包输入输出与Clean-room边界</x:v>
      </x:c>
      <x:c r="C1" s="133" t="str">
        <x:v>外包输入输出与Clean-room边界</x:v>
      </x:c>
      <x:c r="D1" s="133" t="str">
        <x:v>外包输入输出与Clean-room边界</x:v>
      </x:c>
      <x:c r="E1" s="133" t="str">
        <x:v>外包输入输出与Clean-room边界</x:v>
      </x:c>
      <x:c r="F1" s="133" t="str">
        <x:v>外包输入输出与Clean-room边界</x:v>
      </x:c>
      <x:c r="G1" s="133" t="str">
        <x:v>外包输入输出与Clean-room边界</x:v>
      </x:c>
      <x:c r="H1" s="133" t="str">
        <x:v>外包输入输出与Clean-room边界</x:v>
      </x:c>
      <x:c r="I1" s="133" t="str">
        <x:v>外包输入输出与Clean-room边界</x:v>
      </x:c>
      <x:c r="J1" s="133" t="str">
        <x:v>外包输入输出与Clean-room边界</x:v>
      </x:c>
    </x:row>
    <x:row r="2" ht="36" customHeight="1">
      <x:c r="A2" s="136" t="str">
        <x:v>目标定义为功能、配置和接口等价；任何源码、密钥、证书、商业库或OEM资料的披露必须有明确授权。</x:v>
      </x:c>
      <x:c r="B2" s="136" t="str">
        <x:v>目标定义为功能、配置和接口等价；任何源码、密钥、证书、商业库或OEM资料的披露必须有明确授权。</x:v>
      </x:c>
      <x:c r="C2" s="136" t="str">
        <x:v>目标定义为功能、配置和接口等价；任何源码、密钥、证书、商业库或OEM资料的披露必须有明确授权。</x:v>
      </x:c>
      <x:c r="D2" s="136" t="str">
        <x:v>目标定义为功能、配置和接口等价；任何源码、密钥、证书、商业库或OEM资料的披露必须有明确授权。</x:v>
      </x:c>
      <x:c r="E2" s="136" t="str">
        <x:v>目标定义为功能、配置和接口等价；任何源码、密钥、证书、商业库或OEM资料的披露必须有明确授权。</x:v>
      </x:c>
      <x:c r="F2" s="136" t="str">
        <x:v>目标定义为功能、配置和接口等价；任何源码、密钥、证书、商业库或OEM资料的披露必须有明确授权。</x:v>
      </x:c>
      <x:c r="G2" s="136" t="str">
        <x:v>目标定义为功能、配置和接口等价；任何源码、密钥、证书、商业库或OEM资料的披露必须有明确授权。</x:v>
      </x:c>
      <x:c r="H2" s="136" t="str">
        <x:v>目标定义为功能、配置和接口等价；任何源码、密钥、证书、商业库或OEM资料的披露必须有明确授权。</x:v>
      </x:c>
      <x:c r="I2" s="136" t="str">
        <x:v>目标定义为功能、配置和接口等价；任何源码、密钥、证书、商业库或OEM资料的披露必须有明确授权。</x:v>
      </x:c>
      <x:c r="J2" s="136" t="str">
        <x:v>目标定义为功能、配置和接口等价；任何源码、密钥、证书、商业库或OEM资料的披露必须有明确授权。</x:v>
      </x:c>
    </x:row>
    <x:row r="5" ht="34" customHeight="1">
      <x:c r="A5" s="150" t="str">
        <x:v>ID</x:v>
      </x:c>
      <x:c r="B5" s="151" t="str">
        <x:v>对象/资料</x:v>
      </x:c>
      <x:c r="C5" s="151" t="str">
        <x:v>资料Owner</x:v>
      </x:c>
      <x:c r="D5" s="151" t="str">
        <x:v>可给实现组的中立输入</x:v>
      </x:c>
      <x:c r="E5" s="151" t="str">
        <x:v>禁止或受限内容</x:v>
      </x:c>
      <x:c r="F5" s="151" t="str">
        <x:v>东软责任</x:v>
      </x:c>
      <x:c r="G5" s="151" t="str">
        <x:v>甲方责任</x:v>
      </x:c>
      <x:c r="H5" s="151" t="str">
        <x:v>版本/完整性要求</x:v>
      </x:c>
      <x:c r="I5" s="151" t="str">
        <x:v>进入阶段</x:v>
      </x:c>
      <x:c r="J5" s="152" t="str">
        <x:v>验收/关闭条件</x:v>
      </x:c>
    </x:row>
    <x:row r="6" ht="80" customHeight="1">
      <x:c r="A6" s="144" t="str">
        <x:v>BND-01</x:v>
      </x:c>
      <x:c r="B6" s="144" t="str">
        <x:v>参考量产工程</x:v>
      </x:c>
      <x:c r="C6" s="144" t="str">
        <x:v>我方/授权方</x:v>
      </x:c>
      <x:c r="D6" s="144" t="str">
        <x:v>仅经批准提炼的需求ID、接口、状态机、地址/长度/默认值、黑盒期望。</x:v>
      </x:c>
      <x:c r="E6" s="144" t="str">
        <x:v>参考源码、生成C/H、内部注释、私有符号、map、商业库。</x:v>
      </x:c>
      <x:c r="F6" s="144" t="str">
        <x:v>按中立需求独立实现，不引用参考实现。</x:v>
      </x:c>
      <x:c r="G6" s="144" t="str">
        <x:v>参考组取证并维护证据台账。</x:v>
      </x:c>
      <x:c r="H6" s="144" t="str">
        <x:v>每项需求有来源、批准人和hash。</x:v>
      </x:c>
      <x:c r="I6" s="144" t="str">
        <x:v>M0</x:v>
      </x:c>
      <x:c r="J6" s="144" t="str">
        <x:v>实现组资料审计通过。</x:v>
      </x:c>
    </x:row>
    <x:row r="7" ht="80" customHeight="1">
      <x:c r="A7" s="144" t="str">
        <x:v>BND-02</x:v>
      </x:c>
      <x:c r="B7" s="144" t="str">
        <x:v>量产ECU/烧录件</x:v>
      </x:c>
      <x:c r="C7" s="144" t="str">
        <x:v>我方</x:v>
      </x:c>
      <x:c r="D7" s="144" t="str">
        <x:v>版本/DID、允许留存的二进制hash、黑盒trace和测试期望。</x:v>
      </x:c>
      <x:c r="E7" s="144" t="str">
        <x:v>未授权固件分发、解密材料。</x:v>
      </x:c>
      <x:c r="F7" s="144" t="str">
        <x:v>支持独立实现的对比接口。</x:v>
      </x:c>
      <x:c r="G7" s="144" t="str">
        <x:v>提供台架和独立验证。</x:v>
      </x:c>
      <x:c r="H7" s="144" t="str">
        <x:v>样件编号、硬件/软件版本可追溯。</x:v>
      </x:c>
      <x:c r="I7" s="144" t="str">
        <x:v>M0/M3</x:v>
      </x:c>
      <x:c r="J7" s="144" t="str">
        <x:v>参考与新实现执行相同用例。</x:v>
      </x:c>
    </x:row>
    <x:row r="8" ht="80" customHeight="1">
      <x:c r="A8" s="144" t="str">
        <x:v>BND-03</x:v>
      </x:c>
      <x:c r="B8" s="144" t="str">
        <x:v>M4软件</x:v>
      </x:c>
      <x:c r="C8" s="144" t="str">
        <x:v>我方</x:v>
      </x:c>
      <x:c r="D8" s="144" t="str">
        <x:v>授权源码或合法二进制、公共头文件、ICD、map中允许披露的接口区、版本/hash。</x:v>
      </x:c>
      <x:c r="E8" s="144" t="str">
        <x:v>无关算法秘密或第三方未授权库。</x:v>
      </x:c>
      <x:c r="F8" s="144" t="str">
        <x:v>boot/IPC/共享内存/镜像集成和适配。</x:v>
      </x:c>
      <x:c r="G8" s="144" t="str">
        <x:v>维护M4功能、golden vectors与兼容性。</x:v>
      </x:c>
      <x:c r="H8" s="144" t="str">
        <x:v>版本化ABI、core ID、内存、超时。</x:v>
      </x:c>
      <x:c r="I8" s="144" t="str">
        <x:v>M0/M1</x:v>
      </x:c>
      <x:c r="J8" s="144" t="str">
        <x:v>static assert、握手与golden通过。</x:v>
      </x:c>
    </x:row>
    <x:row r="9" ht="80" customHeight="1">
      <x:c r="A9" s="144" t="str">
        <x:v>BND-04</x:v>
      </x:c>
      <x:c r="B9" s="144" t="str">
        <x:v>R5信号处理/感知</x:v>
      </x:c>
      <x:c r="C9" s="144" t="str">
        <x:v>我方</x:v>
      </x:c>
      <x:c r="D9" s="144" t="str">
        <x:v>授权源码/库、API、内存/WCET、golden输入输出、容差。</x:v>
      </x:c>
      <x:c r="E9" s="144" t="str">
        <x:v>算法内部实现若无授权。</x:v>
      </x:c>
      <x:c r="F9" s="144" t="str">
        <x:v>实现cache/DMA/time/OS/RTE适配与资源保障。</x:v>
      </x:c>
      <x:c r="G9" s="144" t="str">
        <x:v>算法正确性和指标owner。</x:v>
      </x:c>
      <x:c r="H9" s="144" t="str">
        <x:v>每版hash和兼容矩阵。</x:v>
      </x:c>
      <x:c r="I9" s="144" t="str">
        <x:v>M1</x:v>
      </x:c>
      <x:c r="J9" s="144" t="str">
        <x:v>逐帧golden与WCET通过。</x:v>
      </x:c>
    </x:row>
    <x:row r="10" ht="80" customHeight="1">
      <x:c r="A10" s="144" t="str">
        <x:v>BND-05</x:v>
      </x:c>
      <x:c r="B10" s="144" t="str">
        <x:v>RadarSS/mmWave SDK</x:v>
      </x:c>
      <x:c r="C10" s="144" t="str">
        <x:v>TI/我方</x:v>
      </x:c>
      <x:c r="D10" s="144" t="str">
        <x:v>合法二进制/库、公开API、版本、RF参数需求。</x:v>
      </x:c>
      <x:c r="E10" s="144" t="str">
        <x:v>TI受限源码/未授权工具。</x:v>
      </x:c>
      <x:c r="F10" s="144" t="str">
        <x:v>mmWaveLink控制、镜像和错误集成。</x:v>
      </x:c>
      <x:c r="G10" s="144" t="str">
        <x:v>采购合法license并提供RF真值。</x:v>
      </x:c>
      <x:c r="H10" s="144" t="str">
        <x:v>版本与目标芯片匹配。</x:v>
      </x:c>
      <x:c r="I10" s="144" t="str">
        <x:v>M0/M1</x:v>
      </x:c>
      <x:c r="J10" s="144" t="str">
        <x:v>真实RF抓测通过。</x:v>
      </x:c>
    </x:row>
    <x:row r="11" ht="80" customHeight="1">
      <x:c r="A11" s="144" t="str">
        <x:v>BND-06</x:v>
      </x:c>
      <x:c r="B11" s="144" t="str">
        <x:v>NeuSAR/RTA/MCAL</x:v>
      </x:c>
      <x:c r="C11" s="144" t="str">
        <x:v>供应商/我方采购</x:v>
      </x:c>
      <x:c r="D11" s="144" t="str">
        <x:v>合法安装包、可编辑配置工程、接口文档。</x:v>
      </x:c>
      <x:c r="E11" s="144" t="str">
        <x:v>License key、商业源码按合同控制。</x:v>
      </x:c>
      <x:c r="F11" s="144" t="str">
        <x:v>独立配置、生成、集成、支持。</x:v>
      </x:c>
      <x:c r="G11" s="144" t="str">
        <x:v>提供license/采购边界。</x:v>
      </x:c>
      <x:c r="H11" s="144" t="str">
        <x:v>版本锁定，生成物可追溯。</x:v>
      </x:c>
      <x:c r="I11" s="144" t="str">
        <x:v>M0</x:v>
      </x:c>
      <x:c r="J11" s="144" t="str">
        <x:v>干净环境generate/build通过。</x:v>
      </x:c>
    </x:row>
    <x:row r="12" ht="80" customHeight="1">
      <x:c r="A12" s="144" t="str">
        <x:v>BND-07</x:v>
      </x:c>
      <x:c r="B12" s="144" t="str">
        <x:v>硬件资料</x:v>
      </x:c>
      <x:c r="C12" s="144" t="str">
        <x:v>我方</x:v>
      </x:c>
      <x:c r="D12" s="144" t="str">
        <x:v>BOM、原理图、Pin/IO map、测试点、电源/时钟/收发器参数。</x:v>
      </x:c>
      <x:c r="E12" s="144" t="str">
        <x:v>供应链敏感信息按NDA。</x:v>
      </x:c>
      <x:c r="F12" s="144" t="str">
        <x:v>MCAL/CDD配置与板级验证。</x:v>
      </x:c>
      <x:c r="G12" s="144" t="str">
        <x:v>资料准确、变更通知。</x:v>
      </x:c>
      <x:c r="H12" s="144" t="str">
        <x:v>硬件版本/ECN明确。</x:v>
      </x:c>
      <x:c r="I12" s="144" t="str">
        <x:v>M0/M1</x:v>
      </x:c>
      <x:c r="J12" s="144" t="str">
        <x:v>寄存器golden和板测通过。</x:v>
      </x:c>
    </x:row>
    <x:row r="13" ht="80" customHeight="1">
      <x:c r="A13" s="144" t="str">
        <x:v>BND-08</x:v>
      </x:c>
      <x:c r="B13" s="144" t="str">
        <x:v>DBC/ARXML/通信规范</x:v>
      </x:c>
      <x:c r="C13" s="144" t="str">
        <x:v>OEM/我方</x:v>
      </x:c>
      <x:c r="D13" s="144" t="str">
        <x:v>授权DBC/ARXML、节点、PDU/signal/E2E/NM/动态ID规则。</x:v>
      </x:c>
      <x:c r="E13" s="144" t="str">
        <x:v>未经OEM授权的数据库。</x:v>
      </x:c>
      <x:c r="F13" s="144" t="str">
        <x:v>重建CanIf/PduR/Com/NM/E2E并交矩阵。</x:v>
      </x:c>
      <x:c r="G13" s="144" t="str">
        <x:v>确认版本、OEM偏差。</x:v>
      </x:c>
      <x:c r="H13" s="144" t="str">
        <x:v>文件hash、release、变更记录。</x:v>
      </x:c>
      <x:c r="I13" s="144" t="str">
        <x:v>M0/M2</x:v>
      </x:c>
      <x:c r="J13" s="144" t="str">
        <x:v>自动diff与restbus全量通过。</x:v>
      </x:c>
    </x:row>
    <x:row r="14" ht="80" customHeight="1">
      <x:c r="A14" s="144" t="str">
        <x:v>BND-09</x:v>
      </x:c>
      <x:c r="B14" s="144" t="str">
        <x:v>诊断规范</x:v>
      </x:c>
      <x:c r="C14" s="144" t="str">
        <x:v>OEM/我方</x:v>
      </x:c>
      <x:c r="D14" s="144" t="str">
        <x:v>服务/DID/Routine/DTC、session/security、NRC、时序、数据owner。</x:v>
      </x:c>
      <x:c r="E14" s="144" t="str">
        <x:v>种子密钥秘密、未授权企标。</x:v>
      </x:c>
      <x:c r="F14" s="144" t="str">
        <x:v>配置Dcm/Dem/FiM/CanTp与测试。</x:v>
      </x:c>
      <x:c r="G14" s="144" t="str">
        <x:v>关闭QA/TBD并提供安全算法接口。</x:v>
      </x:c>
      <x:c r="H14" s="144" t="str">
        <x:v>每项有ID、长度、权限、验收。</x:v>
      </x:c>
      <x:c r="I14" s="144" t="str">
        <x:v>M0/M2</x:v>
      </x:c>
      <x:c r="J14" s="144" t="str">
        <x:v>全矩阵测试通过。</x:v>
      </x:c>
    </x:row>
    <x:row r="15" ht="80" customHeight="1">
      <x:c r="A15" s="144" t="str">
        <x:v>BND-10</x:v>
      </x:c>
      <x:c r="B15" s="144" t="str">
        <x:v>NvM数据字典</x:v>
      </x:c>
      <x:c r="C15" s="144" t="str">
        <x:v>双方</x:v>
      </x:c>
      <x:c r="D15" s="144" t="str">
        <x:v>Block ID/名称/长度/逻辑ID/属性/default/owner/更新频率/迁移/寿命。</x:v>
      </x:c>
      <x:c r="E15" s="144" t="str">
        <x:v>敏感密钥内容。</x:v>
      </x:c>
      <x:c r="F15" s="144" t="str">
        <x:v>配置NvM/Fee/Fls、迁移和断电测试。</x:v>
      </x:c>
      <x:c r="G15" s="144" t="str">
        <x:v>确认数据语义、默认值和写频率。</x:v>
      </x:c>
      <x:c r="H15" s="144" t="str">
        <x:v>与05页逐项签署。</x:v>
      </x:c>
      <x:c r="I15" s="144" t="str">
        <x:v>M0/M2</x:v>
      </x:c>
      <x:c r="J15" s="144" t="str">
        <x:v>105项diff和掉电测试通过。</x:v>
      </x:c>
    </x:row>
    <x:row r="16" ht="80" customHeight="1">
      <x:c r="A16" s="144" t="str">
        <x:v>BND-11</x:v>
      </x:c>
      <x:c r="B16" s="144" t="str">
        <x:v>CUDA/CLDA/WFDA</x:v>
      </x:c>
      <x:c r="C16" s="144" t="str">
        <x:v>我方/产线</x:v>
      </x:c>
      <x:c r="D16" s="144" t="str">
        <x:v>schema、合法样本、ID/长度、校验/加密接口、位置/variant规则。</x:v>
      </x:c>
      <x:c r="E16" s="144" t="str">
        <x:v>生产密钥、未授权标定数据。</x:v>
      </x:c>
      <x:c r="F16" s="144" t="str">
        <x:v>读取/校验/故障/烧录接口集成。</x:v>
      </x:c>
      <x:c r="G16" s="144" t="str">
        <x:v>生成数据与golden、密钥服务。</x:v>
      </x:c>
      <x:c r="H16" s="144" t="str">
        <x:v>版本/hash/位置/车型。</x:v>
      </x:c>
      <x:c r="I16" s="144" t="str">
        <x:v>M1/M2</x:v>
      </x:c>
      <x:c r="J16" s="144" t="str">
        <x:v>正确/损坏/错位置测试通过。</x:v>
      </x:c>
    </x:row>
    <x:row r="17" ht="80" customHeight="1">
      <x:c r="A17" s="144" t="str">
        <x:v>BND-12</x:v>
      </x:c>
      <x:c r="B17" s="144" t="str">
        <x:v>HSM/KMS/证书</x:v>
      </x:c>
      <x:c r="C17" s="144" t="str">
        <x:v>安全方</x:v>
      </x:c>
      <x:c r="D17" s="144" t="str">
        <x:v>HSM服务API、签名请求格式、测试向量、公钥/证书链。</x:v>
      </x:c>
      <x:c r="E17" s="144" t="str">
        <x:v>私钥、KMS凭据、生产secret。</x:v>
      </x:c>
      <x:c r="F17" s="144" t="str">
        <x:v>生成unsigned制品/manifest并集成验证。</x:v>
      </x:c>
      <x:c r="G17" s="144" t="str">
        <x:v>执行签名、密钥生命周期和审计。</x:v>
      </x:c>
      <x:c r="H17" s="144" t="str">
        <x:v>请求ID、hash、超时、失败流程。</x:v>
      </x:c>
      <x:c r="I17" s="144" t="str">
        <x:v>M2/BT/M3</x:v>
      </x:c>
      <x:c r="J17" s="144" t="str">
        <x:v>安全负向用例通过且零秘密泄露。</x:v>
      </x:c>
    </x:row>
    <x:row r="18" ht="80" customHeight="1">
      <x:c r="A18" s="144" t="str">
        <x:v>BND-13</x:v>
      </x:c>
      <x:c r="B18" s="144" t="str">
        <x:v>Bootloader</x:v>
      </x:c>
      <x:c r="C18" s="144" t="str">
        <x:v>双方</x:v>
      </x:c>
      <x:c r="D18" s="144" t="str">
        <x:v>Boot SRS/ICD、memory map、刷新/回退/生命周期。</x:v>
      </x:c>
      <x:c r="E18" s="144" t="str">
        <x:v>参考Boot源码若无权披露。</x:v>
      </x:c>
      <x:c r="F18" s="144" t="str">
        <x:v>独立实现与App/HSM联调。</x:v>
      </x:c>
      <x:c r="G18" s="144" t="str">
        <x:v>提供OEM/安全需求和签名服务。</x:v>
      </x:c>
      <x:c r="H18" s="144" t="str">
        <x:v>需求冻结后计时。</x:v>
      </x:c>
      <x:c r="I18" s="144" t="str">
        <x:v>BT</x:v>
      </x:c>
      <x:c r="J18" s="144" t="str">
        <x:v>全矩阵刷写/断电/安全通过。</x:v>
      </x:c>
    </x:row>
    <x:row r="19" ht="80" customHeight="1">
      <x:c r="A19" s="144" t="str">
        <x:v>BND-14</x:v>
      </x:c>
      <x:c r="B19" s="144" t="str">
        <x:v>算法A2L/XCP变量</x:v>
      </x:c>
      <x:c r="C19" s="144" t="str">
        <x:v>我方</x:v>
      </x:c>
      <x:c r="D19" s="144" t="str">
        <x:v>批准测量/标定变量、地址白名单、event/DAQ、生命周期策略。</x:v>
      </x:c>
      <x:c r="E19" s="144" t="str">
        <x:v>任意内存映射、生产secret。</x:v>
      </x:c>
      <x:c r="F19" s="144" t="str">
        <x:v>生成一致A2L、配置XCP和权限。</x:v>
      </x:c>
      <x:c r="G19" s="144" t="str">
        <x:v>变量owner与量产开放决策。</x:v>
      </x:c>
      <x:c r="H19" s="144" t="str">
        <x:v>A2L与ELF hash绑定。</x:v>
      </x:c>
      <x:c r="I19" s="144" t="str">
        <x:v>M2/M3</x:v>
      </x:c>
      <x:c r="J19" s="144" t="str">
        <x:v>CANape测试和非法访问拒绝。</x:v>
      </x:c>
    </x:row>
    <x:row r="20" ht="80" customHeight="1">
      <x:c r="A20" s="144" t="str">
        <x:v>BND-15</x:v>
      </x:c>
      <x:c r="B20" s="144" t="str">
        <x:v>测试环境/样件</x:v>
      </x:c>
      <x:c r="C20" s="144" t="str">
        <x:v>双方</x:v>
      </x:c>
      <x:c r="D20" s="144" t="str">
        <x:v>硬件、线束、XDS、CAN、频谱、功耗、电源、HIL/车辆和测试脚本接口。</x:v>
      </x:c>
      <x:c r="E20" s="144" t="str">
        <x:v>测试密钥/车辆资料按授权。</x:v>
      </x:c>
      <x:c r="F20" s="144" t="str">
        <x:v>自测与问题修复。</x:v>
      </x:c>
      <x:c r="G20" s="144" t="str">
        <x:v>独立验收和资源安排。</x:v>
      </x:c>
      <x:c r="H20" s="144" t="str">
        <x:v>设备校准/版本/用例可追溯。</x:v>
      </x:c>
      <x:c r="I20" s="144" t="str">
        <x:v>全阶段</x:v>
      </x:c>
      <x:c r="J20" s="144" t="str">
        <x:v>重复用例结果稳定且证据完整。</x:v>
      </x:c>
    </x:row>
    <x:row r="21" ht="80" customHeight="1">
      <x:c r="A21" s="144" t="str">
        <x:v>BND-16</x:v>
      </x:c>
      <x:c r="B21" s="144" t="str">
        <x:v>发布/SBOM</x:v>
      </x:c>
      <x:c r="C21" s="144" t="str">
        <x:v>东软/我方</x:v>
      </x:c>
      <x:c r="D21" s="144" t="str">
        <x:v>制品、manifest、hash、SBOM、许可证、KnownIssues、回退包。</x:v>
      </x:c>
      <x:c r="E21" s="144" t="str">
        <x:v>未授权第三方二进制、密钥。</x:v>
      </x:c>
      <x:c r="F21" s="144" t="str">
        <x:v>可复现发布与文档。</x:v>
      </x:c>
      <x:c r="G21" s="144" t="str">
        <x:v>批准release、签名与接收。</x:v>
      </x:c>
      <x:c r="H21" s="144" t="str">
        <x:v>每个文件有来源/版本/hash。</x:v>
      </x:c>
      <x:c r="I21" s="144" t="str">
        <x:v>M3</x:v>
      </x:c>
      <x:c r="J21" s="144" t="str">
        <x:v>独立复现与License审计通过。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e2c18c3f573433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26" hidden="0" customWidth="1"/>
    <x:col min="4" max="4" width="12" hidden="0" customWidth="1"/>
    <x:col min="5" max="5" width="18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6" hidden="0" customWidth="1"/>
    <x:col min="15" max="15" width="12" hidden="0" customWidth="1"/>
    <x:col min="16" max="16" width="14" hidden="0" customWidth="1"/>
    <x:col min="17" max="17" width="12" hidden="0" customWidth="1"/>
    <x:col min="18" max="18" width="22" hidden="0" customWidth="1"/>
    <x:col min="19" max="19" width="40" hidden="0" customWidth="1"/>
    <x:col min="20" max="20" width="18" hidden="0" customWidth="1"/>
    <x:col min="21" max="21" width="34" hidden="0" customWidth="1"/>
    <x:col min="22" max="22" width="34" hidden="0" customWidth="1"/>
    <x:col min="23" max="23" width="44" hidden="0" customWidth="1"/>
  </x:cols>
  <x:sheetData>
    <x:row r="1" ht="30" customHeight="1">
      <x:c r="A1" s="133" t="str">
        <x:v>NvM / Fee / Fls 配置详表（从生成配置解析）</x:v>
      </x:c>
      <x:c r="B1" s="133" t="str">
        <x:v>NvM / Fee / Fls 配置详表（从生成配置解析）</x:v>
      </x:c>
      <x:c r="C1" s="133" t="str">
        <x:v>NvM / Fee / Fls 配置详表（从生成配置解析）</x:v>
      </x:c>
      <x:c r="D1" s="133" t="str">
        <x:v>NvM / Fee / Fls 配置详表（从生成配置解析）</x:v>
      </x:c>
      <x:c r="E1" s="133" t="str">
        <x:v>NvM / Fee / Fls 配置详表（从生成配置解析）</x:v>
      </x:c>
      <x:c r="F1" s="133" t="str">
        <x:v>NvM / Fee / Fls 配置详表（从生成配置解析）</x:v>
      </x:c>
      <x:c r="G1" s="133" t="str">
        <x:v>NvM / Fee / Fls 配置详表（从生成配置解析）</x:v>
      </x:c>
      <x:c r="H1" s="133" t="str">
        <x:v>NvM / Fee / Fls 配置详表（从生成配置解析）</x:v>
      </x:c>
      <x:c r="I1" s="133" t="str">
        <x:v>NvM / Fee / Fls 配置详表（从生成配置解析）</x:v>
      </x:c>
      <x:c r="J1" s="133" t="str">
        <x:v>NvM / Fee / Fls 配置详表（从生成配置解析）</x:v>
      </x:c>
      <x:c r="K1" s="133" t="str">
        <x:v>NvM / Fee / Fls 配置详表（从生成配置解析）</x:v>
      </x:c>
      <x:c r="L1" s="133" t="str">
        <x:v>NvM / Fee / Fls 配置详表（从生成配置解析）</x:v>
      </x:c>
      <x:c r="M1" s="133" t="str">
        <x:v>NvM / Fee / Fls 配置详表（从生成配置解析）</x:v>
      </x:c>
      <x:c r="N1" s="133" t="str">
        <x:v>NvM / Fee / Fls 配置详表（从生成配置解析）</x:v>
      </x:c>
      <x:c r="O1" s="133" t="str">
        <x:v>NvM / Fee / Fls 配置详表（从生成配置解析）</x:v>
      </x:c>
      <x:c r="P1" s="133" t="str">
        <x:v>NvM / Fee / Fls 配置详表（从生成配置解析）</x:v>
      </x:c>
      <x:c r="Q1" s="133" t="str">
        <x:v>NvM / Fee / Fls 配置详表（从生成配置解析）</x:v>
      </x:c>
      <x:c r="R1" s="133" t="str">
        <x:v>NvM / Fee / Fls 配置详表（从生成配置解析）</x:v>
      </x:c>
      <x:c r="S1" s="133" t="str">
        <x:v>NvM / Fee / Fls 配置详表（从生成配置解析）</x:v>
      </x:c>
      <x:c r="T1" s="133" t="str">
        <x:v>NvM / Fee / Fls 配置详表（从生成配置解析）</x:v>
      </x:c>
      <x:c r="U1" s="133" t="str">
        <x:v>NvM / Fee / Fls 配置详表（从生成配置解析）</x:v>
      </x:c>
      <x:c r="V1" s="133" t="str">
        <x:v>NvM / Fee / Fls 配置详表（从生成配置解析）</x:v>
      </x:c>
      <x:c r="W1" s="133" t="str">
        <x:v>NvM / Fee / Fls 配置详表（从生成配置解析）</x:v>
      </x:c>
    </x:row>
    <x:row r="2" ht="36" customHeight="1">
      <x:c r="A2" s="136" t="str">
        <x:v>Fee Bank0=0x00350000–0x0038FFFF、Bank1=0x00390000–0x003CFFFF，各256KiB。Persistent ID是逻辑ID；Fee磨损均衡下单块物理地址不固定，不能把逻辑ID当Flash地址。</x:v>
      </x:c>
      <x:c r="B2" s="136" t="str">
        <x:v>Fee Bank0=0x00350000–0x0038FFFF、Bank1=0x00390000–0x003CFFFF，各256KiB。Persistent ID是逻辑ID；Fee磨损均衡下单块物理地址不固定，不能把逻辑ID当Flash地址。</x:v>
      </x:c>
      <x:c r="C2" s="136" t="str">
        <x:v>Fee Bank0=0x00350000–0x0038FFFF、Bank1=0x00390000–0x003CFFFF，各256KiB。Persistent ID是逻辑ID；Fee磨损均衡下单块物理地址不固定，不能把逻辑ID当Flash地址。</x:v>
      </x:c>
      <x:c r="D2" s="136" t="str">
        <x:v>Fee Bank0=0x00350000–0x0038FFFF、Bank1=0x00390000–0x003CFFFF，各256KiB。Persistent ID是逻辑ID；Fee磨损均衡下单块物理地址不固定，不能把逻辑ID当Flash地址。</x:v>
      </x:c>
      <x:c r="E2" s="136" t="str">
        <x:v>Fee Bank0=0x00350000–0x0038FFFF、Bank1=0x00390000–0x003CFFFF，各256KiB。Persistent ID是逻辑ID；Fee磨损均衡下单块物理地址不固定，不能把逻辑ID当Flash地址。</x:v>
      </x:c>
      <x:c r="F2" s="136" t="str">
        <x:v>Fee Bank0=0x00350000–0x0038FFFF、Bank1=0x00390000–0x003CFFFF，各256KiB。Persistent ID是逻辑ID；Fee磨损均衡下单块物理地址不固定，不能把逻辑ID当Flash地址。</x:v>
      </x:c>
      <x:c r="G2" s="136" t="str">
        <x:v>Fee Bank0=0x00350000–0x0038FFFF、Bank1=0x00390000–0x003CFFFF，各256KiB。Persistent ID是逻辑ID；Fee磨损均衡下单块物理地址不固定，不能把逻辑ID当Flash地址。</x:v>
      </x:c>
      <x:c r="H2" s="136" t="str">
        <x:v>Fee Bank0=0x00350000–0x0038FFFF、Bank1=0x00390000–0x003CFFFF，各256KiB。Persistent ID是逻辑ID；Fee磨损均衡下单块物理地址不固定，不能把逻辑ID当Flash地址。</x:v>
      </x:c>
      <x:c r="I2" s="136" t="str">
        <x:v>Fee Bank0=0x00350000–0x0038FFFF、Bank1=0x00390000–0x003CFFFF，各256KiB。Persistent ID是逻辑ID；Fee磨损均衡下单块物理地址不固定，不能把逻辑ID当Flash地址。</x:v>
      </x:c>
      <x:c r="J2" s="136" t="str">
        <x:v>Fee Bank0=0x00350000–0x0038FFFF、Bank1=0x00390000–0x003CFFFF，各256KiB。Persistent ID是逻辑ID；Fee磨损均衡下单块物理地址不固定，不能把逻辑ID当Flash地址。</x:v>
      </x:c>
      <x:c r="K2" s="136" t="str">
        <x:v>Fee Bank0=0x00350000–0x0038FFFF、Bank1=0x00390000–0x003CFFFF，各256KiB。Persistent ID是逻辑ID；Fee磨损均衡下单块物理地址不固定，不能把逻辑ID当Flash地址。</x:v>
      </x:c>
      <x:c r="L2" s="136" t="str">
        <x:v>Fee Bank0=0x00350000–0x0038FFFF、Bank1=0x00390000–0x003CFFFF，各256KiB。Persistent ID是逻辑ID；Fee磨损均衡下单块物理地址不固定，不能把逻辑ID当Flash地址。</x:v>
      </x:c>
      <x:c r="M2" s="136" t="str">
        <x:v>Fee Bank0=0x00350000–0x0038FFFF、Bank1=0x00390000–0x003CFFFF，各256KiB。Persistent ID是逻辑ID；Fee磨损均衡下单块物理地址不固定，不能把逻辑ID当Flash地址。</x:v>
      </x:c>
      <x:c r="N2" s="136" t="str">
        <x:v>Fee Bank0=0x00350000–0x0038FFFF、Bank1=0x00390000–0x003CFFFF，各256KiB。Persistent ID是逻辑ID；Fee磨损均衡下单块物理地址不固定，不能把逻辑ID当Flash地址。</x:v>
      </x:c>
      <x:c r="O2" s="136" t="str">
        <x:v>Fee Bank0=0x00350000–0x0038FFFF、Bank1=0x00390000–0x003CFFFF，各256KiB。Persistent ID是逻辑ID；Fee磨损均衡下单块物理地址不固定，不能把逻辑ID当Flash地址。</x:v>
      </x:c>
      <x:c r="P2" s="136" t="str">
        <x:v>Fee Bank0=0x00350000–0x0038FFFF、Bank1=0x00390000–0x003CFFFF，各256KiB。Persistent ID是逻辑ID；Fee磨损均衡下单块物理地址不固定，不能把逻辑ID当Flash地址。</x:v>
      </x:c>
      <x:c r="Q2" s="136" t="str">
        <x:v>Fee Bank0=0x00350000–0x0038FFFF、Bank1=0x00390000–0x003CFFFF，各256KiB。Persistent ID是逻辑ID；Fee磨损均衡下单块物理地址不固定，不能把逻辑ID当Flash地址。</x:v>
      </x:c>
      <x:c r="R2" s="136" t="str">
        <x:v>Fee Bank0=0x00350000–0x0038FFFF、Bank1=0x00390000–0x003CFFFF，各256KiB。Persistent ID是逻辑ID；Fee磨损均衡下单块物理地址不固定，不能把逻辑ID当Flash地址。</x:v>
      </x:c>
      <x:c r="S2" s="136" t="str">
        <x:v>Fee Bank0=0x00350000–0x0038FFFF、Bank1=0x00390000–0x003CFFFF，各256KiB。Persistent ID是逻辑ID；Fee磨损均衡下单块物理地址不固定，不能把逻辑ID当Flash地址。</x:v>
      </x:c>
      <x:c r="T2" s="136" t="str">
        <x:v>Fee Bank0=0x00350000–0x0038FFFF、Bank1=0x00390000–0x003CFFFF，各256KiB。Persistent ID是逻辑ID；Fee磨损均衡下单块物理地址不固定，不能把逻辑ID当Flash地址。</x:v>
      </x:c>
      <x:c r="U2" s="136" t="str">
        <x:v>Fee Bank0=0x00350000–0x0038FFFF、Bank1=0x00390000–0x003CFFFF，各256KiB。Persistent ID是逻辑ID；Fee磨损均衡下单块物理地址不固定，不能把逻辑ID当Flash地址。</x:v>
      </x:c>
      <x:c r="V2" s="136" t="str">
        <x:v>Fee Bank0=0x00350000–0x0038FFFF、Bank1=0x00390000–0x003CFFFF，各256KiB。Persistent ID是逻辑ID；Fee磨损均衡下单块物理地址不固定，不能把逻辑ID当Flash地址。</x:v>
      </x:c>
      <x:c r="W2" s="136" t="str">
        <x:v>Fee Bank0=0x00350000–0x0038FFFF、Bank1=0x00390000–0x003CFFFF，各256KiB。Persistent ID是逻辑ID；Fee磨损均衡下单块物理地址不固定，不能把逻辑ID当Flash地址。</x:v>
      </x:c>
    </x:row>
    <x:row r="3">
      <x:c r="A3" s="156" t="str">
        <x:v>业务块数量</x:v>
      </x:c>
      <x:c r="B3" s="157" t="n">
        <x:f>COUNTIF(A6:A110,"&gt;=2")</x:f>
        <x:v>103</x:v>
      </x:c>
      <x:c r="C3" s="157" t="str">
        <x:v>总逻辑字节</x:v>
      </x:c>
      <x:c r="D3" s="157" t="n">
        <x:f>SUM(D6:D110)</x:f>
        <x:v>13944</x:v>
      </x:c>
      <x:c r="E3" s="157" t="str">
        <x:v>CRC口径</x:v>
      </x:c>
      <x:c r="F3" s="157" t="str">
        <x:v>全部NoCrc</x:v>
      </x:c>
      <x:c r="G3" s="157" t="str">
        <x:v>Fee区域</x:v>
      </x:c>
      <x:c r="H3" s="158" t="str">
        <x:v>2×256KiB</x:v>
      </x:c>
    </x:row>
    <x:row r="5" ht="34" customHeight="1">
      <x:c r="A5" s="150" t="str">
        <x:v>Block ID</x:v>
      </x:c>
      <x:c r="B5" s="151" t="str">
        <x:v>Block名称</x:v>
      </x:c>
      <x:c r="C5" s="151" t="str">
        <x:v>分类/用途</x:v>
      </x:c>
      <x:c r="D5" s="151" t="str">
        <x:v>长度(Byte)</x:v>
      </x:c>
      <x:c r="E5" s="151" t="str">
        <x:v>Fee逻辑Persistent ID</x:v>
      </x:c>
      <x:c r="F5" s="151" t="str">
        <x:v>管理类型</x:v>
      </x:c>
      <x:c r="G5" s="151" t="str">
        <x:v>NV副本数</x:v>
      </x:c>
      <x:c r="H5" s="151" t="str">
        <x:v>ROM副本数</x:v>
      </x:c>
      <x:c r="I5" s="151" t="str">
        <x:v>CRC</x:v>
      </x:c>
      <x:c r="J5" s="151" t="str">
        <x:v>优先级</x:v>
      </x:c>
      <x:c r="K5" s="151" t="str">
        <x:v>ReadAll</x:v>
      </x:c>
      <x:c r="L5" s="151" t="str">
        <x:v>WriteAll</x:v>
      </x:c>
      <x:c r="M5" s="151" t="str">
        <x:v>FirstInitAll</x:v>
      </x:c>
      <x:c r="N5" s="151" t="str">
        <x:v>ResistantToChangedSW</x:v>
      </x:c>
      <x:c r="O5" s="151" t="str">
        <x:v>ExplicitSync</x:v>
      </x:c>
      <x:c r="P5" s="151" t="str">
        <x:v>WriteProtected</x:v>
      </x:c>
      <x:c r="Q5" s="151" t="str">
        <x:v>WriteOnce</x:v>
      </x:c>
      <x:c r="R5" s="151" t="str">
        <x:v>RAM类型</x:v>
      </x:c>
      <x:c r="S5" s="151" t="str">
        <x:v>ROM默认值</x:v>
      </x:c>
      <x:c r="T5" s="151" t="str">
        <x:v>Fee Flag</x:v>
      </x:c>
      <x:c r="U5" s="151" t="str">
        <x:v>物理存储说明</x:v>
      </x:c>
      <x:c r="V5" s="151" t="str">
        <x:v>源码证据</x:v>
      </x:c>
      <x:c r="W5" s="152" t="str">
        <x:v>专项验收</x:v>
      </x:c>
    </x:row>
    <x:row r="6" ht="54" customHeight="1">
      <x:c r="A6" s="144" t="n">
        <x:v>0</x:v>
      </x:c>
      <x:c r="B6" s="144" t="str">
        <x:v>NvM_MultiBlock</x:v>
      </x:c>
      <x:c r="C6" s="144" t="str">
        <x:v>NvM系统保留</x:v>
      </x:c>
      <x:c r="D6" s="153" t="n">
        <x:v>1</x:v>
      </x:c>
      <x:c r="E6" s="153" t="str">
        <x:v>-</x:v>
      </x:c>
      <x:c r="F6" s="144" t="str">
        <x:v>NATIVE</x:v>
      </x:c>
      <x:c r="G6" s="144" t="n">
        <x:v>1</x:v>
      </x:c>
      <x:c r="H6" s="144" t="n">
        <x:v>0</x:v>
      </x:c>
      <x:c r="I6" s="144" t="str">
        <x:v>NoCrc</x:v>
      </x:c>
      <x:c r="J6" s="144" t="n">
        <x:v>1</x:v>
      </x:c>
      <x:c r="K6" s="144" t="str">
        <x:v>否</x:v>
      </x:c>
      <x:c r="L6" s="144" t="str">
        <x:v>否</x:v>
      </x:c>
      <x:c r="M6" s="144" t="str">
        <x:v>否</x:v>
      </x:c>
      <x:c r="N6" s="144" t="str">
        <x:v>否</x:v>
      </x:c>
      <x:c r="O6" s="144" t="str">
        <x:v>否</x:v>
      </x:c>
      <x:c r="P6" s="144" t="str">
        <x:v>否</x:v>
      </x:c>
      <x:c r="Q6" s="144" t="str">
        <x:v>否</x:v>
      </x:c>
      <x:c r="R6" s="144" t="str">
        <x:v>NvM内部/NULL</x:v>
      </x:c>
      <x:c r="S6" s="144" t="str">
        <x:v>无ROM默认块</x:v>
      </x:c>
      <x:c r="T6" s="144" t="str">
        <x:v>-</x:v>
      </x:c>
      <x:c r="U6" s="144" t="str">
        <x:v>NvM内部</x:v>
      </x:c>
      <x:c r="V6" s="144" t="str">
        <x:v>NvM_Cfg.c:1305（ID 0 descriptor）</x:v>
      </x:c>
      <x:c r="W6" s="144" t="str">
        <x:v>读/写/状态码、掉电、默认恢复、版本迁移。</x:v>
      </x:c>
    </x:row>
    <x:row r="7" ht="54" customHeight="1">
      <x:c r="A7" s="144" t="n">
        <x:v>1</x:v>
      </x:c>
      <x:c r="B7" s="144" t="str">
        <x:v>NvM_ConfigId</x:v>
      </x:c>
      <x:c r="C7" s="144" t="str">
        <x:v>NvM系统保留</x:v>
      </x:c>
      <x:c r="D7" s="153" t="n">
        <x:v>2</x:v>
      </x:c>
      <x:c r="E7" s="153" t="str">
        <x:v>-</x:v>
      </x:c>
      <x:c r="F7" s="144" t="str">
        <x:v>NATIVE</x:v>
      </x:c>
      <x:c r="G7" s="144" t="n">
        <x:v>1</x:v>
      </x:c>
      <x:c r="H7" s="144" t="n">
        <x:v>0</x:v>
      </x:c>
      <x:c r="I7" s="144" t="str">
        <x:v>NoCrc</x:v>
      </x:c>
      <x:c r="J7" s="144" t="n">
        <x:v>1</x:v>
      </x:c>
      <x:c r="K7" s="144" t="str">
        <x:v>否</x:v>
      </x:c>
      <x:c r="L7" s="144" t="str">
        <x:v>否</x:v>
      </x:c>
      <x:c r="M7" s="144" t="str">
        <x:v>否</x:v>
      </x:c>
      <x:c r="N7" s="144" t="str">
        <x:v>否</x:v>
      </x:c>
      <x:c r="O7" s="144" t="str">
        <x:v>否</x:v>
      </x:c>
      <x:c r="P7" s="144" t="str">
        <x:v>否</x:v>
      </x:c>
      <x:c r="Q7" s="144" t="str">
        <x:v>否</x:v>
      </x:c>
      <x:c r="R7" s="144" t="str">
        <x:v>NvM内部/NULL</x:v>
      </x:c>
      <x:c r="S7" s="144" t="str">
        <x:v>无ROM默认块</x:v>
      </x:c>
      <x:c r="T7" s="144" t="str">
        <x:v>-</x:v>
      </x:c>
      <x:c r="U7" s="144" t="str">
        <x:v>NvM内部</x:v>
      </x:c>
      <x:c r="V7" s="144" t="str">
        <x:v>NvM_Cfg.c:1338（ID 1 descriptor）</x:v>
      </x:c>
      <x:c r="W7" s="144" t="str">
        <x:v>读/写/状态码、掉电、默认恢复、版本迁移。</x:v>
      </x:c>
    </x:row>
    <x:row r="8" ht="54" customHeight="1">
      <x:c r="A8" s="144" t="n">
        <x:v>2</x:v>
      </x:c>
      <x:c r="B8" s="144" t="str">
        <x:v>NvMBlock_LogisticData</x:v>
      </x:c>
      <x:c r="C8" s="144" t="str">
        <x:v>应用/系统持久化数据</x:v>
      </x:c>
      <x:c r="D8" s="153" t="n">
        <x:v>128</x:v>
      </x:c>
      <x:c r="E8" s="153" t="n">
        <x:v>44000</x:v>
      </x:c>
      <x:c r="F8" s="144" t="str">
        <x:v>NATIVE</x:v>
      </x:c>
      <x:c r="G8" s="144" t="n">
        <x:v>1</x:v>
      </x:c>
      <x:c r="H8" s="144" t="n">
        <x:v>0</x:v>
      </x:c>
      <x:c r="I8" s="144" t="str">
        <x:v>NoCrc</x:v>
      </x:c>
      <x:c r="J8" s="144" t="n">
        <x:v>1</x:v>
      </x:c>
      <x:c r="K8" s="144" t="str">
        <x:v>是</x:v>
      </x:c>
      <x:c r="L8" s="144" t="str">
        <x:v>否</x:v>
      </x:c>
      <x:c r="M8" s="144" t="str">
        <x:v>否</x:v>
      </x:c>
      <x:c r="N8" s="144" t="str">
        <x:v>是</x:v>
      </x:c>
      <x:c r="O8" s="144" t="str">
        <x:v>否</x:v>
      </x:c>
      <x:c r="P8" s="144" t="str">
        <x:v>否</x:v>
      </x:c>
      <x:c r="Q8" s="144" t="str">
        <x:v>否</x:v>
      </x:c>
      <x:c r="R8" s="144" t="str">
        <x:v>永久RAM</x:v>
      </x:c>
      <x:c r="S8" s="144" t="str">
        <x:v>无ROM默认块</x:v>
      </x:c>
      <x:c r="T8" s="144" t="str">
        <x:v>0x0100</x:v>
      </x:c>
      <x:c r="U8" s="144" t="str">
        <x:v>Fee动态（Bank0/Bank1；块物理地址不固定）</x:v>
      </x:c>
      <x:c r="V8" s="144" t="str">
        <x:v>NvM_Cfg.c:1371（ID 2 descriptor）</x:v>
      </x:c>
      <x:c r="W8" s="144" t="str">
        <x:v>读/写/状态码、掉电、默认恢复、版本迁移。</x:v>
      </x:c>
    </x:row>
    <x:row r="9" ht="54" customHeight="1">
      <x:c r="A9" s="144" t="n">
        <x:v>3</x:v>
      </x:c>
      <x:c r="B9" s="144" t="str">
        <x:v>NVM_OS_ErrorlogOsErrorHook</x:v>
      </x:c>
      <x:c r="C9" s="144" t="str">
        <x:v>复位/PMIC/OS错误日志</x:v>
      </x:c>
      <x:c r="D9" s="153" t="n">
        <x:v>370</x:v>
      </x:c>
      <x:c r="E9" s="153" t="n">
        <x:v>44002</x:v>
      </x:c>
      <x:c r="F9" s="144" t="str">
        <x:v>NATIVE</x:v>
      </x:c>
      <x:c r="G9" s="144" t="n">
        <x:v>1</x:v>
      </x:c>
      <x:c r="H9" s="144" t="n">
        <x:v>0</x:v>
      </x:c>
      <x:c r="I9" s="144" t="str">
        <x:v>NoCrc</x:v>
      </x:c>
      <x:c r="J9" s="144" t="n">
        <x:v>1</x:v>
      </x:c>
      <x:c r="K9" s="144" t="str">
        <x:v>是</x:v>
      </x:c>
      <x:c r="L9" s="144" t="str">
        <x:v>否</x:v>
      </x:c>
      <x:c r="M9" s="144" t="str">
        <x:v>否</x:v>
      </x:c>
      <x:c r="N9" s="144" t="str">
        <x:v>是</x:v>
      </x:c>
      <x:c r="O9" s="144" t="str">
        <x:v>否</x:v>
      </x:c>
      <x:c r="P9" s="144" t="str">
        <x:v>否</x:v>
      </x:c>
      <x:c r="Q9" s="144" t="str">
        <x:v>否</x:v>
      </x:c>
      <x:c r="R9" s="144" t="str">
        <x:v>永久RAM</x:v>
      </x:c>
      <x:c r="S9" s="144" t="str">
        <x:v>无ROM默认块</x:v>
      </x:c>
      <x:c r="T9" s="144" t="str">
        <x:v>0x0100</x:v>
      </x:c>
      <x:c r="U9" s="144" t="str">
        <x:v>Fee动态（Bank0/Bank1；块物理地址不固定）</x:v>
      </x:c>
      <x:c r="V9" s="144" t="str">
        <x:v>NvM_Cfg.c:1405（ID 3 descriptor）</x:v>
      </x:c>
      <x:c r="W9" s="144" t="str">
        <x:v>读/写/状态码、掉电、默认恢复、版本迁移。</x:v>
      </x:c>
    </x:row>
    <x:row r="10" ht="54" customHeight="1">
      <x:c r="A10" s="144" t="n">
        <x:v>4</x:v>
      </x:c>
      <x:c r="B10" s="144" t="str">
        <x:v>NVM_OS_ErrorlogOsShutdown</x:v>
      </x:c>
      <x:c r="C10" s="144" t="str">
        <x:v>复位/PMIC/OS错误日志</x:v>
      </x:c>
      <x:c r="D10" s="153" t="n">
        <x:v>44</x:v>
      </x:c>
      <x:c r="E10" s="153" t="n">
        <x:v>44003</x:v>
      </x:c>
      <x:c r="F10" s="144" t="str">
        <x:v>NATIVE</x:v>
      </x:c>
      <x:c r="G10" s="144" t="n">
        <x:v>1</x:v>
      </x:c>
      <x:c r="H10" s="144" t="n">
        <x:v>0</x:v>
      </x:c>
      <x:c r="I10" s="144" t="str">
        <x:v>NoCrc</x:v>
      </x:c>
      <x:c r="J10" s="144" t="n">
        <x:v>1</x:v>
      </x:c>
      <x:c r="K10" s="144" t="str">
        <x:v>是</x:v>
      </x:c>
      <x:c r="L10" s="144" t="str">
        <x:v>否</x:v>
      </x:c>
      <x:c r="M10" s="144" t="str">
        <x:v>否</x:v>
      </x:c>
      <x:c r="N10" s="144" t="str">
        <x:v>是</x:v>
      </x:c>
      <x:c r="O10" s="144" t="str">
        <x:v>否</x:v>
      </x:c>
      <x:c r="P10" s="144" t="str">
        <x:v>否</x:v>
      </x:c>
      <x:c r="Q10" s="144" t="str">
        <x:v>否</x:v>
      </x:c>
      <x:c r="R10" s="144" t="str">
        <x:v>永久RAM</x:v>
      </x:c>
      <x:c r="S10" s="144" t="str">
        <x:v>无ROM默认块</x:v>
      </x:c>
      <x:c r="T10" s="144" t="str">
        <x:v>0x0100</x:v>
      </x:c>
      <x:c r="U10" s="144" t="str">
        <x:v>Fee动态（Bank0/Bank1；块物理地址不固定）</x:v>
      </x:c>
      <x:c r="V10" s="144" t="str">
        <x:v>NvM_Cfg.c:1439（ID 4 descriptor）</x:v>
      </x:c>
      <x:c r="W10" s="144" t="str">
        <x:v>读/写/状态码、掉电、默认恢复、版本迁移。</x:v>
      </x:c>
    </x:row>
    <x:row r="11" ht="54" customHeight="1">
      <x:c r="A11" s="144" t="n">
        <x:v>5</x:v>
      </x:c>
      <x:c r="B11" s="144" t="str">
        <x:v>NVM_OS_ErrorlogOsWdgReset</x:v>
      </x:c>
      <x:c r="C11" s="144" t="str">
        <x:v>复位/PMIC/OS错误日志</x:v>
      </x:c>
      <x:c r="D11" s="153" t="n">
        <x:v>6</x:v>
      </x:c>
      <x:c r="E11" s="153" t="n">
        <x:v>44004</x:v>
      </x:c>
      <x:c r="F11" s="144" t="str">
        <x:v>NATIVE</x:v>
      </x:c>
      <x:c r="G11" s="144" t="n">
        <x:v>1</x:v>
      </x:c>
      <x:c r="H11" s="144" t="n">
        <x:v>0</x:v>
      </x:c>
      <x:c r="I11" s="144" t="str">
        <x:v>NoCrc</x:v>
      </x:c>
      <x:c r="J11" s="144" t="n">
        <x:v>1</x:v>
      </x:c>
      <x:c r="K11" s="144" t="str">
        <x:v>是</x:v>
      </x:c>
      <x:c r="L11" s="144" t="str">
        <x:v>否</x:v>
      </x:c>
      <x:c r="M11" s="144" t="str">
        <x:v>否</x:v>
      </x:c>
      <x:c r="N11" s="144" t="str">
        <x:v>是</x:v>
      </x:c>
      <x:c r="O11" s="144" t="str">
        <x:v>否</x:v>
      </x:c>
      <x:c r="P11" s="144" t="str">
        <x:v>否</x:v>
      </x:c>
      <x:c r="Q11" s="144" t="str">
        <x:v>否</x:v>
      </x:c>
      <x:c r="R11" s="144" t="str">
        <x:v>永久RAM</x:v>
      </x:c>
      <x:c r="S11" s="144" t="str">
        <x:v>无ROM默认块</x:v>
      </x:c>
      <x:c r="T11" s="144" t="str">
        <x:v>0x0100</x:v>
      </x:c>
      <x:c r="U11" s="144" t="str">
        <x:v>Fee动态（Bank0/Bank1；块物理地址不固定）</x:v>
      </x:c>
      <x:c r="V11" s="144" t="str">
        <x:v>NvM_Cfg.c:1473（ID 5 descriptor）</x:v>
      </x:c>
      <x:c r="W11" s="144" t="str">
        <x:v>读/写/状态码、掉电、默认恢复、版本迁移。</x:v>
      </x:c>
    </x:row>
    <x:row r="12" ht="54" customHeight="1">
      <x:c r="A12" s="144" t="n">
        <x:v>6</x:v>
      </x:c>
      <x:c r="B12" s="144" t="str">
        <x:v>NVM_OS_ErrorlogActiveReset</x:v>
      </x:c>
      <x:c r="C12" s="144" t="str">
        <x:v>复位/PMIC/OS错误日志</x:v>
      </x:c>
      <x:c r="D12" s="153" t="n">
        <x:v>5</x:v>
      </x:c>
      <x:c r="E12" s="153" t="n">
        <x:v>44005</x:v>
      </x:c>
      <x:c r="F12" s="144" t="str">
        <x:v>NATIVE</x:v>
      </x:c>
      <x:c r="G12" s="144" t="n">
        <x:v>1</x:v>
      </x:c>
      <x:c r="H12" s="144" t="n">
        <x:v>0</x:v>
      </x:c>
      <x:c r="I12" s="144" t="str">
        <x:v>NoCrc</x:v>
      </x:c>
      <x:c r="J12" s="144" t="n">
        <x:v>1</x:v>
      </x:c>
      <x:c r="K12" s="144" t="str">
        <x:v>是</x:v>
      </x:c>
      <x:c r="L12" s="144" t="str">
        <x:v>否</x:v>
      </x:c>
      <x:c r="M12" s="144" t="str">
        <x:v>否</x:v>
      </x:c>
      <x:c r="N12" s="144" t="str">
        <x:v>是</x:v>
      </x:c>
      <x:c r="O12" s="144" t="str">
        <x:v>否</x:v>
      </x:c>
      <x:c r="P12" s="144" t="str">
        <x:v>否</x:v>
      </x:c>
      <x:c r="Q12" s="144" t="str">
        <x:v>否</x:v>
      </x:c>
      <x:c r="R12" s="144" t="str">
        <x:v>永久RAM</x:v>
      </x:c>
      <x:c r="S12" s="144" t="str">
        <x:v>无ROM默认块</x:v>
      </x:c>
      <x:c r="T12" s="144" t="str">
        <x:v>0x0100</x:v>
      </x:c>
      <x:c r="U12" s="144" t="str">
        <x:v>Fee动态（Bank0/Bank1；块物理地址不固定）</x:v>
      </x:c>
      <x:c r="V12" s="144" t="str">
        <x:v>NvM_Cfg.c:1507（ID 6 descriptor）</x:v>
      </x:c>
      <x:c r="W12" s="144" t="str">
        <x:v>读/写/状态码、掉电、默认恢复、版本迁移。</x:v>
      </x:c>
    </x:row>
    <x:row r="13" ht="54" customHeight="1">
      <x:c r="A13" s="144" t="n">
        <x:v>7</x:v>
      </x:c>
      <x:c r="B13" s="144" t="str">
        <x:v>NVM_PMIC_DTC_ERROR</x:v>
      </x:c>
      <x:c r="C13" s="144" t="str">
        <x:v>复位/PMIC/OS错误日志</x:v>
      </x:c>
      <x:c r="D13" s="153" t="n">
        <x:v>40</x:v>
      </x:c>
      <x:c r="E13" s="153" t="n">
        <x:v>44017</x:v>
      </x:c>
      <x:c r="F13" s="144" t="str">
        <x:v>NATIVE</x:v>
      </x:c>
      <x:c r="G13" s="144" t="n">
        <x:v>1</x:v>
      </x:c>
      <x:c r="H13" s="144" t="n">
        <x:v>0</x:v>
      </x:c>
      <x:c r="I13" s="144" t="str">
        <x:v>NoCrc</x:v>
      </x:c>
      <x:c r="J13" s="144" t="n">
        <x:v>1</x:v>
      </x:c>
      <x:c r="K13" s="144" t="str">
        <x:v>是</x:v>
      </x:c>
      <x:c r="L13" s="144" t="str">
        <x:v>否</x:v>
      </x:c>
      <x:c r="M13" s="144" t="str">
        <x:v>否</x:v>
      </x:c>
      <x:c r="N13" s="144" t="str">
        <x:v>否</x:v>
      </x:c>
      <x:c r="O13" s="144" t="str">
        <x:v>否</x:v>
      </x:c>
      <x:c r="P13" s="144" t="str">
        <x:v>否</x:v>
      </x:c>
      <x:c r="Q13" s="144" t="str">
        <x:v>否</x:v>
      </x:c>
      <x:c r="R13" s="144" t="str">
        <x:v>永久RAM</x:v>
      </x:c>
      <x:c r="S13" s="144" t="str">
        <x:v>无ROM默认块</x:v>
      </x:c>
      <x:c r="T13" s="144" t="str">
        <x:v>0x0100</x:v>
      </x:c>
      <x:c r="U13" s="144" t="str">
        <x:v>Fee动态（Bank0/Bank1；块物理地址不固定）</x:v>
      </x:c>
      <x:c r="V13" s="144" t="str">
        <x:v>NvM_Cfg.c:1541（ID 7 descriptor）</x:v>
      </x:c>
      <x:c r="W13" s="144" t="str">
        <x:v>读/写/状态码、掉电、默认恢复、版本迁移。</x:v>
      </x:c>
    </x:row>
    <x:row r="14" ht="54" customHeight="1">
      <x:c r="A14" s="144" t="n">
        <x:v>8</x:v>
      </x:c>
      <x:c r="B14" s="144" t="str">
        <x:v>CustDID_APPVersion</x:v>
      </x:c>
      <x:c r="C14" s="144" t="str">
        <x:v>诊断DID/车辆配置数据</x:v>
      </x:c>
      <x:c r="D14" s="153" t="n">
        <x:v>6</x:v>
      </x:c>
      <x:c r="E14" s="153" t="n">
        <x:v>4099</x:v>
      </x:c>
      <x:c r="F14" s="144" t="str">
        <x:v>NATIVE</x:v>
      </x:c>
      <x:c r="G14" s="144" t="n">
        <x:v>1</x:v>
      </x:c>
      <x:c r="H14" s="144" t="n">
        <x:v>0</x:v>
      </x:c>
      <x:c r="I14" s="144" t="str">
        <x:v>NoCrc</x:v>
      </x:c>
      <x:c r="J14" s="144" t="n">
        <x:v>1</x:v>
      </x:c>
      <x:c r="K14" s="144" t="str">
        <x:v>是</x:v>
      </x:c>
      <x:c r="L14" s="144" t="str">
        <x:v>否</x:v>
      </x:c>
      <x:c r="M14" s="144" t="str">
        <x:v>否</x:v>
      </x:c>
      <x:c r="N14" s="144" t="str">
        <x:v>否</x:v>
      </x:c>
      <x:c r="O14" s="144" t="str">
        <x:v>否</x:v>
      </x:c>
      <x:c r="P14" s="144" t="str">
        <x:v>否</x:v>
      </x:c>
      <x:c r="Q14" s="144" t="str">
        <x:v>否</x:v>
      </x:c>
      <x:c r="R14" s="144" t="str">
        <x:v>永久RAM</x:v>
      </x:c>
      <x:c r="S14" s="144" t="str">
        <x:v>无ROM默认块</x:v>
      </x:c>
      <x:c r="T14" s="144" t="str">
        <x:v>0x0100</x:v>
      </x:c>
      <x:c r="U14" s="144" t="str">
        <x:v>Fee动态（Bank0/Bank1；块物理地址不固定）</x:v>
      </x:c>
      <x:c r="V14" s="144" t="str">
        <x:v>NvM_Cfg.c:1574（ID 8 descriptor）</x:v>
      </x:c>
      <x:c r="W14" s="144" t="str">
        <x:v>0x22/0x2E长度、端序、默认、权限与复位后持久化。</x:v>
      </x:c>
    </x:row>
    <x:row r="15" ht="54" customHeight="1">
      <x:c r="A15" s="144" t="n">
        <x:v>9</x:v>
      </x:c>
      <x:c r="B15" s="144" t="str">
        <x:v>CustDID_DisBetFrontandRear</x:v>
      </x:c>
      <x:c r="C15" s="144" t="str">
        <x:v>诊断DID/车辆配置数据</x:v>
      </x:c>
      <x:c r="D15" s="153" t="n">
        <x:v>2</x:v>
      </x:c>
      <x:c r="E15" s="153" t="n">
        <x:v>37771</x:v>
      </x:c>
      <x:c r="F15" s="144" t="str">
        <x:v>NATIVE</x:v>
      </x:c>
      <x:c r="G15" s="144" t="n">
        <x:v>1</x:v>
      </x:c>
      <x:c r="H15" s="144" t="n">
        <x:v>1</x:v>
      </x:c>
      <x:c r="I15" s="144" t="str">
        <x:v>NoCrc</x:v>
      </x:c>
      <x:c r="J15" s="144" t="n">
        <x:v>1</x:v>
      </x:c>
      <x:c r="K15" s="144" t="str">
        <x:v>是</x:v>
      </x:c>
      <x:c r="L15" s="144" t="str">
        <x:v>否</x:v>
      </x:c>
      <x:c r="M15" s="144" t="str">
        <x:v>否</x:v>
      </x:c>
      <x:c r="N15" s="144" t="str">
        <x:v>否</x:v>
      </x:c>
      <x:c r="O15" s="144" t="str">
        <x:v>否</x:v>
      </x:c>
      <x:c r="P15" s="144" t="str">
        <x:v>否</x:v>
      </x:c>
      <x:c r="Q15" s="144" t="str">
        <x:v>否</x:v>
      </x:c>
      <x:c r="R15" s="144" t="str">
        <x:v>永久RAM</x:v>
      </x:c>
      <x:c r="S15" s="144" t="str">
        <x:v>00 00（C静态零初始化）</x:v>
      </x:c>
      <x:c r="T15" s="144" t="str">
        <x:v>0x0100</x:v>
      </x:c>
      <x:c r="U15" s="144" t="str">
        <x:v>Fee动态（Bank0/Bank1；块物理地址不固定）</x:v>
      </x:c>
      <x:c r="V15" s="144" t="str">
        <x:v>NvM_Cfg.c:1607（ID 9 descriptor）</x:v>
      </x:c>
      <x:c r="W15" s="144" t="str">
        <x:v>0x22/0x2E长度、端序、默认、权限与复位后持久化。</x:v>
      </x:c>
    </x:row>
    <x:row r="16" ht="54" customHeight="1">
      <x:c r="A16" s="144" t="n">
        <x:v>10</x:v>
      </x:c>
      <x:c r="B16" s="144" t="str">
        <x:v>CustDID_DisBetLeftandRight_0x126A</x:v>
      </x:c>
      <x:c r="C16" s="144" t="str">
        <x:v>诊断DID/车辆配置数据</x:v>
      </x:c>
      <x:c r="D16" s="153" t="n">
        <x:v>2</x:v>
      </x:c>
      <x:c r="E16" s="153" t="n">
        <x:v>37770</x:v>
      </x:c>
      <x:c r="F16" s="144" t="str">
        <x:v>NATIVE</x:v>
      </x:c>
      <x:c r="G16" s="144" t="n">
        <x:v>1</x:v>
      </x:c>
      <x:c r="H16" s="144" t="n">
        <x:v>1</x:v>
      </x:c>
      <x:c r="I16" s="144" t="str">
        <x:v>NoCrc</x:v>
      </x:c>
      <x:c r="J16" s="144" t="n">
        <x:v>1</x:v>
      </x:c>
      <x:c r="K16" s="144" t="str">
        <x:v>是</x:v>
      </x:c>
      <x:c r="L16" s="144" t="str">
        <x:v>否</x:v>
      </x:c>
      <x:c r="M16" s="144" t="str">
        <x:v>否</x:v>
      </x:c>
      <x:c r="N16" s="144" t="str">
        <x:v>否</x:v>
      </x:c>
      <x:c r="O16" s="144" t="str">
        <x:v>否</x:v>
      </x:c>
      <x:c r="P16" s="144" t="str">
        <x:v>否</x:v>
      </x:c>
      <x:c r="Q16" s="144" t="str">
        <x:v>否</x:v>
      </x:c>
      <x:c r="R16" s="144" t="str">
        <x:v>永久RAM</x:v>
      </x:c>
      <x:c r="S16" s="144" t="str">
        <x:v>00 00（C静态零初始化）</x:v>
      </x:c>
      <x:c r="T16" s="144" t="str">
        <x:v>0x0100</x:v>
      </x:c>
      <x:c r="U16" s="144" t="str">
        <x:v>Fee动态（Bank0/Bank1；块物理地址不固定）</x:v>
      </x:c>
      <x:c r="V16" s="144" t="str">
        <x:v>NvM_Cfg.c:1640（ID 10 descriptor）</x:v>
      </x:c>
      <x:c r="W16" s="144" t="str">
        <x:v>0x22/0x2E长度、端序、默认、权限与复位后持久化。</x:v>
      </x:c>
    </x:row>
    <x:row r="17" ht="54" customHeight="1">
      <x:c r="A17" s="144" t="n">
        <x:v>11</x:v>
      </x:c>
      <x:c r="B17" s="144" t="str">
        <x:v>CustDID_ECUHWVersionNumber</x:v>
      </x:c>
      <x:c r="C17" s="144" t="str">
        <x:v>诊断DID/车辆配置数据</x:v>
      </x:c>
      <x:c r="D17" s="153" t="n">
        <x:v>5</x:v>
      </x:c>
      <x:c r="E17" s="153" t="n">
        <x:v>4102</x:v>
      </x:c>
      <x:c r="F17" s="144" t="str">
        <x:v>NATIVE</x:v>
      </x:c>
      <x:c r="G17" s="144" t="n">
        <x:v>1</x:v>
      </x:c>
      <x:c r="H17" s="144" t="n">
        <x:v>0</x:v>
      </x:c>
      <x:c r="I17" s="144" t="str">
        <x:v>NoCrc</x:v>
      </x:c>
      <x:c r="J17" s="144" t="n">
        <x:v>1</x:v>
      </x:c>
      <x:c r="K17" s="144" t="str">
        <x:v>否</x:v>
      </x:c>
      <x:c r="L17" s="144" t="str">
        <x:v>否</x:v>
      </x:c>
      <x:c r="M17" s="144" t="str">
        <x:v>否</x:v>
      </x:c>
      <x:c r="N17" s="144" t="str">
        <x:v>否</x:v>
      </x:c>
      <x:c r="O17" s="144" t="str">
        <x:v>否</x:v>
      </x:c>
      <x:c r="P17" s="144" t="str">
        <x:v>否</x:v>
      </x:c>
      <x:c r="Q17" s="144" t="str">
        <x:v>否</x:v>
      </x:c>
      <x:c r="R17" s="144" t="str">
        <x:v>永久RAM</x:v>
      </x:c>
      <x:c r="S17" s="144" t="str">
        <x:v>无ROM默认块</x:v>
      </x:c>
      <x:c r="T17" s="144" t="str">
        <x:v>0x0100</x:v>
      </x:c>
      <x:c r="U17" s="144" t="str">
        <x:v>Fee动态（Bank0/Bank1；块物理地址不固定）</x:v>
      </x:c>
      <x:c r="V17" s="144" t="str">
        <x:v>NvM_Cfg.c:1673（ID 11 descriptor）</x:v>
      </x:c>
      <x:c r="W17" s="144" t="str">
        <x:v>0x22/0x2E长度、端序、默认、权限与复位后持久化。</x:v>
      </x:c>
    </x:row>
    <x:row r="18" ht="54" customHeight="1">
      <x:c r="A18" s="144" t="n">
        <x:v>12</x:v>
      </x:c>
      <x:c r="B18" s="144" t="str">
        <x:v>CustDID_ECUSoftwareCode</x:v>
      </x:c>
      <x:c r="C18" s="144" t="str">
        <x:v>诊断DID/车辆配置数据</x:v>
      </x:c>
      <x:c r="D18" s="153" t="n">
        <x:v>9</x:v>
      </x:c>
      <x:c r="E18" s="153" t="n">
        <x:v>4101</x:v>
      </x:c>
      <x:c r="F18" s="144" t="str">
        <x:v>NATIVE</x:v>
      </x:c>
      <x:c r="G18" s="144" t="n">
        <x:v>1</x:v>
      </x:c>
      <x:c r="H18" s="144" t="n">
        <x:v>0</x:v>
      </x:c>
      <x:c r="I18" s="144" t="str">
        <x:v>NoCrc</x:v>
      </x:c>
      <x:c r="J18" s="144" t="n">
        <x:v>1</x:v>
      </x:c>
      <x:c r="K18" s="144" t="str">
        <x:v>否</x:v>
      </x:c>
      <x:c r="L18" s="144" t="str">
        <x:v>否</x:v>
      </x:c>
      <x:c r="M18" s="144" t="str">
        <x:v>否</x:v>
      </x:c>
      <x:c r="N18" s="144" t="str">
        <x:v>否</x:v>
      </x:c>
      <x:c r="O18" s="144" t="str">
        <x:v>否</x:v>
      </x:c>
      <x:c r="P18" s="144" t="str">
        <x:v>否</x:v>
      </x:c>
      <x:c r="Q18" s="144" t="str">
        <x:v>否</x:v>
      </x:c>
      <x:c r="R18" s="144" t="str">
        <x:v>永久RAM</x:v>
      </x:c>
      <x:c r="S18" s="144" t="str">
        <x:v>无ROM默认块</x:v>
      </x:c>
      <x:c r="T18" s="144" t="str">
        <x:v>0x0100</x:v>
      </x:c>
      <x:c r="U18" s="144" t="str">
        <x:v>Fee动态（Bank0/Bank1；块物理地址不固定）</x:v>
      </x:c>
      <x:c r="V18" s="144" t="str">
        <x:v>NvM_Cfg.c:1706（ID 12 descriptor）</x:v>
      </x:c>
      <x:c r="W18" s="144" t="str">
        <x:v>0x22/0x2E长度、端序、默认、权限与复位后持久化。</x:v>
      </x:c>
    </x:row>
    <x:row r="19" ht="54" customHeight="1">
      <x:c r="A19" s="144" t="n">
        <x:v>13</x:v>
      </x:c>
      <x:c r="B19" s="144" t="str">
        <x:v>CustDID_FBLVersion</x:v>
      </x:c>
      <x:c r="C19" s="144" t="str">
        <x:v>诊断DID/车辆配置数据</x:v>
      </x:c>
      <x:c r="D19" s="153" t="n">
        <x:v>9</x:v>
      </x:c>
      <x:c r="E19" s="153" t="n">
        <x:v>4098</x:v>
      </x:c>
      <x:c r="F19" s="144" t="str">
        <x:v>NATIVE</x:v>
      </x:c>
      <x:c r="G19" s="144" t="n">
        <x:v>1</x:v>
      </x:c>
      <x:c r="H19" s="144" t="n">
        <x:v>1</x:v>
      </x:c>
      <x:c r="I19" s="144" t="str">
        <x:v>NoCrc</x:v>
      </x:c>
      <x:c r="J19" s="144" t="n">
        <x:v>1</x:v>
      </x:c>
      <x:c r="K19" s="144" t="str">
        <x:v>是</x:v>
      </x:c>
      <x:c r="L19" s="144" t="str">
        <x:v>是</x:v>
      </x:c>
      <x:c r="M19" s="144" t="str">
        <x:v>否</x:v>
      </x:c>
      <x:c r="N19" s="144" t="str">
        <x:v>否</x:v>
      </x:c>
      <x:c r="O19" s="144" t="str">
        <x:v>否</x:v>
      </x:c>
      <x:c r="P19" s="144" t="str">
        <x:v>否</x:v>
      </x:c>
      <x:c r="Q19" s="144" t="str">
        <x:v>否</x:v>
      </x:c>
      <x:c r="R19" s="144" t="str">
        <x:v>永久RAM</x:v>
      </x:c>
      <x:c r="S19" s="144" t="str">
        <x:v>00 00 00 00 00 00 00 00 00</x:v>
      </x:c>
      <x:c r="T19" s="144" t="str">
        <x:v>0x0100</x:v>
      </x:c>
      <x:c r="U19" s="144" t="str">
        <x:v>Fee动态（Bank0/Bank1；块物理地址不固定）</x:v>
      </x:c>
      <x:c r="V19" s="144" t="str">
        <x:v>NvM_Cfg.c:1739（ID 13 descriptor）</x:v>
      </x:c>
      <x:c r="W19" s="144" t="str">
        <x:v>0x22/0x2E长度、端序、默认、权限与复位后持久化。</x:v>
      </x:c>
    </x:row>
    <x:row r="20" ht="54" customHeight="1">
      <x:c r="A20" s="144" t="n">
        <x:v>14</x:v>
      </x:c>
      <x:c r="B20" s="144" t="str">
        <x:v>CustDID_ProductionMode</x:v>
      </x:c>
      <x:c r="C20" s="144" t="str">
        <x:v>诊断DID/车辆配置数据</x:v>
      </x:c>
      <x:c r="D20" s="153" t="n">
        <x:v>1</x:v>
      </x:c>
      <x:c r="E20" s="153" t="n">
        <x:v>44012</x:v>
      </x:c>
      <x:c r="F20" s="144" t="str">
        <x:v>NATIVE</x:v>
      </x:c>
      <x:c r="G20" s="144" t="n">
        <x:v>1</x:v>
      </x:c>
      <x:c r="H20" s="144" t="n">
        <x:v>1</x:v>
      </x:c>
      <x:c r="I20" s="144" t="str">
        <x:v>NoCrc</x:v>
      </x:c>
      <x:c r="J20" s="144" t="n">
        <x:v>1</x:v>
      </x:c>
      <x:c r="K20" s="144" t="str">
        <x:v>是</x:v>
      </x:c>
      <x:c r="L20" s="144" t="str">
        <x:v>否</x:v>
      </x:c>
      <x:c r="M20" s="144" t="str">
        <x:v>否</x:v>
      </x:c>
      <x:c r="N20" s="144" t="str">
        <x:v>否</x:v>
      </x:c>
      <x:c r="O20" s="144" t="str">
        <x:v>否</x:v>
      </x:c>
      <x:c r="P20" s="144" t="str">
        <x:v>否</x:v>
      </x:c>
      <x:c r="Q20" s="144" t="str">
        <x:v>否</x:v>
      </x:c>
      <x:c r="R20" s="144" t="str">
        <x:v>永久RAM</x:v>
      </x:c>
      <x:c r="S20" s="144" t="str">
        <x:v>02</x:v>
      </x:c>
      <x:c r="T20" s="144" t="str">
        <x:v>0x0100</x:v>
      </x:c>
      <x:c r="U20" s="144" t="str">
        <x:v>Fee动态（Bank0/Bank1；块物理地址不固定）</x:v>
      </x:c>
      <x:c r="V20" s="144" t="str">
        <x:v>NvM_Cfg.c:1773（ID 14 descriptor）</x:v>
      </x:c>
      <x:c r="W20" s="144" t="str">
        <x:v>0x22/0x2E长度、端序、默认、权限与复位后持久化。</x:v>
      </x:c>
    </x:row>
    <x:row r="21" ht="54" customHeight="1">
      <x:c r="A21" s="144" t="n">
        <x:v>15</x:v>
      </x:c>
      <x:c r="B21" s="144" t="str">
        <x:v>NvMBlockDescriptor_ECUConfiguration</x:v>
      </x:c>
      <x:c r="C21" s="144" t="str">
        <x:v>应用/系统持久化数据</x:v>
      </x:c>
      <x:c r="D21" s="153" t="n">
        <x:v>4</x:v>
      </x:c>
      <x:c r="E21" s="153" t="n">
        <x:v>44001</x:v>
      </x:c>
      <x:c r="F21" s="144" t="str">
        <x:v>REDUNDANT</x:v>
      </x:c>
      <x:c r="G21" s="144" t="n">
        <x:v>2</x:v>
      </x:c>
      <x:c r="H21" s="144" t="n">
        <x:v>0</x:v>
      </x:c>
      <x:c r="I21" s="144" t="str">
        <x:v>NoCrc</x:v>
      </x:c>
      <x:c r="J21" s="144" t="n">
        <x:v>1</x:v>
      </x:c>
      <x:c r="K21" s="144" t="str">
        <x:v>是</x:v>
      </x:c>
      <x:c r="L21" s="144" t="str">
        <x:v>是</x:v>
      </x:c>
      <x:c r="M21" s="144" t="str">
        <x:v>是</x:v>
      </x:c>
      <x:c r="N21" s="144" t="str">
        <x:v>是</x:v>
      </x:c>
      <x:c r="O21" s="144" t="str">
        <x:v>否</x:v>
      </x:c>
      <x:c r="P21" s="144" t="str">
        <x:v>否</x:v>
      </x:c>
      <x:c r="Q21" s="144" t="str">
        <x:v>否</x:v>
      </x:c>
      <x:c r="R21" s="144" t="str">
        <x:v>永久RAM</x:v>
      </x:c>
      <x:c r="S21" s="144" t="str">
        <x:v>无ROM默认块</x:v>
      </x:c>
      <x:c r="T21" s="144" t="str">
        <x:v>0x0101（双存储）</x:v>
      </x:c>
      <x:c r="U21" s="144" t="str">
        <x:v>Fee动态（Bank0/Bank1；块物理地址不固定）</x:v>
      </x:c>
      <x:c r="V21" s="144" t="str">
        <x:v>NvM_Cfg.c:1806（ID 15 descriptor）</x:v>
      </x:c>
      <x:c r="W21" s="144" t="str">
        <x:v>读/写/状态码、掉电、默认恢复、版本迁移。</x:v>
      </x:c>
    </x:row>
    <x:row r="22" ht="54" customHeight="1">
      <x:c r="A22" s="144" t="n">
        <x:v>16</x:v>
      </x:c>
      <x:c r="B22" s="144" t="str">
        <x:v>CustDID_TargetPosition_0x1266</x:v>
      </x:c>
      <x:c r="C22" s="144" t="str">
        <x:v>诊断DID/车辆配置数据</x:v>
      </x:c>
      <x:c r="D22" s="153" t="n">
        <x:v>4</x:v>
      </x:c>
      <x:c r="E22" s="153" t="n">
        <x:v>37769</x:v>
      </x:c>
      <x:c r="F22" s="144" t="str">
        <x:v>NATIVE</x:v>
      </x:c>
      <x:c r="G22" s="144" t="n">
        <x:v>1</x:v>
      </x:c>
      <x:c r="H22" s="144" t="n">
        <x:v>1</x:v>
      </x:c>
      <x:c r="I22" s="144" t="str">
        <x:v>NoCrc</x:v>
      </x:c>
      <x:c r="J22" s="144" t="n">
        <x:v>1</x:v>
      </x:c>
      <x:c r="K22" s="144" t="str">
        <x:v>是</x:v>
      </x:c>
      <x:c r="L22" s="144" t="str">
        <x:v>否</x:v>
      </x:c>
      <x:c r="M22" s="144" t="str">
        <x:v>否</x:v>
      </x:c>
      <x:c r="N22" s="144" t="str">
        <x:v>否</x:v>
      </x:c>
      <x:c r="O22" s="144" t="str">
        <x:v>否</x:v>
      </x:c>
      <x:c r="P22" s="144" t="str">
        <x:v>否</x:v>
      </x:c>
      <x:c r="Q22" s="144" t="str">
        <x:v>否</x:v>
      </x:c>
      <x:c r="R22" s="144" t="str">
        <x:v>永久RAM</x:v>
      </x:c>
      <x:c r="S22" s="144" t="str">
        <x:v>00 00 00 00（C静态零初始化）</x:v>
      </x:c>
      <x:c r="T22" s="144" t="str">
        <x:v>0x0100</x:v>
      </x:c>
      <x:c r="U22" s="144" t="str">
        <x:v>Fee动态（Bank0/Bank1；块物理地址不固定）</x:v>
      </x:c>
      <x:c r="V22" s="144" t="str">
        <x:v>NvM_Cfg.c:1842（ID 16 descriptor）</x:v>
      </x:c>
      <x:c r="W22" s="144" t="str">
        <x:v>0x22/0x2E长度、端序、默认、权限与复位后持久化。</x:v>
      </x:c>
    </x:row>
    <x:row r="23" ht="54" customHeight="1">
      <x:c r="A23" s="144" t="n">
        <x:v>17</x:v>
      </x:c>
      <x:c r="B23" s="144" t="str">
        <x:v>CustDID_VIN</x:v>
      </x:c>
      <x:c r="C23" s="144" t="str">
        <x:v>诊断DID/车辆配置数据</x:v>
      </x:c>
      <x:c r="D23" s="153" t="n">
        <x:v>17</x:v>
      </x:c>
      <x:c r="E23" s="153" t="n">
        <x:v>40553</x:v>
      </x:c>
      <x:c r="F23" s="144" t="str">
        <x:v>NATIVE</x:v>
      </x:c>
      <x:c r="G23" s="144" t="n">
        <x:v>1</x:v>
      </x:c>
      <x:c r="H23" s="144" t="n">
        <x:v>1</x:v>
      </x:c>
      <x:c r="I23" s="144" t="str">
        <x:v>NoCrc</x:v>
      </x:c>
      <x:c r="J23" s="144" t="n">
        <x:v>1</x:v>
      </x:c>
      <x:c r="K23" s="144" t="str">
        <x:v>是</x:v>
      </x:c>
      <x:c r="L23" s="144" t="str">
        <x:v>否</x:v>
      </x:c>
      <x:c r="M23" s="144" t="str">
        <x:v>否</x:v>
      </x:c>
      <x:c r="N23" s="144" t="str">
        <x:v>否</x:v>
      </x:c>
      <x:c r="O23" s="144" t="str">
        <x:v>否</x:v>
      </x:c>
      <x:c r="P23" s="144" t="str">
        <x:v>否</x:v>
      </x:c>
      <x:c r="Q23" s="144" t="str">
        <x:v>否</x:v>
      </x:c>
      <x:c r="R23" s="144" t="str">
        <x:v>永久RAM</x:v>
      </x:c>
      <x:c r="S23" s="144" t="str">
        <x:v>FF×17</x:v>
      </x:c>
      <x:c r="T23" s="144" t="str">
        <x:v>0x0100</x:v>
      </x:c>
      <x:c r="U23" s="144" t="str">
        <x:v>Fee动态（Bank0/Bank1；块物理地址不固定）</x:v>
      </x:c>
      <x:c r="V23" s="144" t="str">
        <x:v>NvM_Cfg.c:1875（ID 17 descriptor）</x:v>
      </x:c>
      <x:c r="W23" s="144" t="str">
        <x:v>0x22/0x2E长度、端序、默认、权限与复位后持久化。</x:v>
      </x:c>
    </x:row>
    <x:row r="24" ht="54" customHeight="1">
      <x:c r="A24" s="144" t="n">
        <x:v>18</x:v>
      </x:c>
      <x:c r="B24" s="144" t="str">
        <x:v>CustDID_VariantCoding</x:v>
      </x:c>
      <x:c r="C24" s="144" t="str">
        <x:v>诊断DID/车辆配置数据</x:v>
      </x:c>
      <x:c r="D24" s="153" t="n">
        <x:v>8</x:v>
      </x:c>
      <x:c r="E24" s="153" t="n">
        <x:v>37776</x:v>
      </x:c>
      <x:c r="F24" s="144" t="str">
        <x:v>NATIVE</x:v>
      </x:c>
      <x:c r="G24" s="144" t="n">
        <x:v>1</x:v>
      </x:c>
      <x:c r="H24" s="144" t="n">
        <x:v>1</x:v>
      </x:c>
      <x:c r="I24" s="144" t="str">
        <x:v>NoCrc</x:v>
      </x:c>
      <x:c r="J24" s="144" t="n">
        <x:v>1</x:v>
      </x:c>
      <x:c r="K24" s="144" t="str">
        <x:v>是</x:v>
      </x:c>
      <x:c r="L24" s="144" t="str">
        <x:v>否</x:v>
      </x:c>
      <x:c r="M24" s="144" t="str">
        <x:v>否</x:v>
      </x:c>
      <x:c r="N24" s="144" t="str">
        <x:v>否</x:v>
      </x:c>
      <x:c r="O24" s="144" t="str">
        <x:v>否</x:v>
      </x:c>
      <x:c r="P24" s="144" t="str">
        <x:v>否</x:v>
      </x:c>
      <x:c r="Q24" s="144" t="str">
        <x:v>否</x:v>
      </x:c>
      <x:c r="R24" s="144" t="str">
        <x:v>永久RAM</x:v>
      </x:c>
      <x:c r="S24" s="144" t="str">
        <x:v>00×8</x:v>
      </x:c>
      <x:c r="T24" s="144" t="str">
        <x:v>0x0100</x:v>
      </x:c>
      <x:c r="U24" s="144" t="str">
        <x:v>Fee动态（Bank0/Bank1；块物理地址不固定）</x:v>
      </x:c>
      <x:c r="V24" s="144" t="str">
        <x:v>NvM_Cfg.c:1908（ID 18 descriptor）</x:v>
      </x:c>
      <x:c r="W24" s="144" t="str">
        <x:v>0x22/0x2E长度、端序、默认、权限与复位后持久化。</x:v>
      </x:c>
    </x:row>
    <x:row r="25" ht="54" customHeight="1">
      <x:c r="A25" s="144" t="n">
        <x:v>19</x:v>
      </x:c>
      <x:c r="B25" s="144" t="str">
        <x:v>CustDID_WheelBase</x:v>
      </x:c>
      <x:c r="C25" s="144" t="str">
        <x:v>诊断DID/车辆配置数据</x:v>
      </x:c>
      <x:c r="D25" s="153" t="n">
        <x:v>2</x:v>
      </x:c>
      <x:c r="E25" s="153" t="n">
        <x:v>37772</x:v>
      </x:c>
      <x:c r="F25" s="144" t="str">
        <x:v>NATIVE</x:v>
      </x:c>
      <x:c r="G25" s="144" t="n">
        <x:v>1</x:v>
      </x:c>
      <x:c r="H25" s="144" t="n">
        <x:v>1</x:v>
      </x:c>
      <x:c r="I25" s="144" t="str">
        <x:v>NoCrc</x:v>
      </x:c>
      <x:c r="J25" s="144" t="n">
        <x:v>1</x:v>
      </x:c>
      <x:c r="K25" s="144" t="str">
        <x:v>是</x:v>
      </x:c>
      <x:c r="L25" s="144" t="str">
        <x:v>否</x:v>
      </x:c>
      <x:c r="M25" s="144" t="str">
        <x:v>否</x:v>
      </x:c>
      <x:c r="N25" s="144" t="str">
        <x:v>否</x:v>
      </x:c>
      <x:c r="O25" s="144" t="str">
        <x:v>否</x:v>
      </x:c>
      <x:c r="P25" s="144" t="str">
        <x:v>否</x:v>
      </x:c>
      <x:c r="Q25" s="144" t="str">
        <x:v>否</x:v>
      </x:c>
      <x:c r="R25" s="144" t="str">
        <x:v>永久RAM</x:v>
      </x:c>
      <x:c r="S25" s="144" t="str">
        <x:v>00 00（C静态零初始化）</x:v>
      </x:c>
      <x:c r="T25" s="144" t="str">
        <x:v>0x0100</x:v>
      </x:c>
      <x:c r="U25" s="144" t="str">
        <x:v>Fee动态（Bank0/Bank1；块物理地址不固定）</x:v>
      </x:c>
      <x:c r="V25" s="144" t="str">
        <x:v>NvM_Cfg.c:1941（ID 19 descriptor）</x:v>
      </x:c>
      <x:c r="W25" s="144" t="str">
        <x:v>0x22/0x2E长度、端序、默认、权限与复位后持久化。</x:v>
      </x:c>
    </x:row>
    <x:row r="26" ht="54" customHeight="1">
      <x:c r="A26" s="144" t="n">
        <x:v>20</x:v>
      </x:c>
      <x:c r="B26" s="144" t="str">
        <x:v>NvM_PowerOn_Counter</x:v>
      </x:c>
      <x:c r="C26" s="144" t="str">
        <x:v>应用/系统持久化数据</x:v>
      </x:c>
      <x:c r="D26" s="153" t="n">
        <x:v>4</x:v>
      </x:c>
      <x:c r="E26" s="153" t="n">
        <x:v>44010</x:v>
      </x:c>
      <x:c r="F26" s="144" t="str">
        <x:v>NATIVE</x:v>
      </x:c>
      <x:c r="G26" s="144" t="n">
        <x:v>1</x:v>
      </x:c>
      <x:c r="H26" s="144" t="n">
        <x:v>0</x:v>
      </x:c>
      <x:c r="I26" s="144" t="str">
        <x:v>NoCrc</x:v>
      </x:c>
      <x:c r="J26" s="144" t="n">
        <x:v>1</x:v>
      </x:c>
      <x:c r="K26" s="144" t="str">
        <x:v>是</x:v>
      </x:c>
      <x:c r="L26" s="144" t="str">
        <x:v>否</x:v>
      </x:c>
      <x:c r="M26" s="144" t="str">
        <x:v>否</x:v>
      </x:c>
      <x:c r="N26" s="144" t="str">
        <x:v>是</x:v>
      </x:c>
      <x:c r="O26" s="144" t="str">
        <x:v>否</x:v>
      </x:c>
      <x:c r="P26" s="144" t="str">
        <x:v>否</x:v>
      </x:c>
      <x:c r="Q26" s="144" t="str">
        <x:v>否</x:v>
      </x:c>
      <x:c r="R26" s="144" t="str">
        <x:v>永久RAM</x:v>
      </x:c>
      <x:c r="S26" s="144" t="str">
        <x:v>无ROM默认块</x:v>
      </x:c>
      <x:c r="T26" s="144" t="str">
        <x:v>0x0100</x:v>
      </x:c>
      <x:c r="U26" s="144" t="str">
        <x:v>Fee动态（Bank0/Bank1；块物理地址不固定）</x:v>
      </x:c>
      <x:c r="V26" s="144" t="str">
        <x:v>NvM_Cfg.c:1974（ID 20 descriptor）</x:v>
      </x:c>
      <x:c r="W26" s="144" t="str">
        <x:v>读/写/状态码、掉电、默认恢复、版本迁移。</x:v>
      </x:c>
    </x:row>
    <x:row r="27" ht="54" customHeight="1">
      <x:c r="A27" s="144" t="n">
        <x:v>21</x:v>
      </x:c>
      <x:c r="B27" s="144" t="str">
        <x:v>NvM_RadarPosition_ETHOnly</x:v>
      </x:c>
      <x:c r="C27" s="144" t="str">
        <x:v>标定/雷达安装参数</x:v>
      </x:c>
      <x:c r="D27" s="153" t="n">
        <x:v>1</x:v>
      </x:c>
      <x:c r="E27" s="153" t="n">
        <x:v>44011</x:v>
      </x:c>
      <x:c r="F27" s="144" t="str">
        <x:v>NATIVE</x:v>
      </x:c>
      <x:c r="G27" s="144" t="n">
        <x:v>1</x:v>
      </x:c>
      <x:c r="H27" s="144" t="n">
        <x:v>1</x:v>
      </x:c>
      <x:c r="I27" s="144" t="str">
        <x:v>NoCrc</x:v>
      </x:c>
      <x:c r="J27" s="144" t="n">
        <x:v>1</x:v>
      </x:c>
      <x:c r="K27" s="144" t="str">
        <x:v>是</x:v>
      </x:c>
      <x:c r="L27" s="144" t="str">
        <x:v>否</x:v>
      </x:c>
      <x:c r="M27" s="144" t="str">
        <x:v>否</x:v>
      </x:c>
      <x:c r="N27" s="144" t="str">
        <x:v>是</x:v>
      </x:c>
      <x:c r="O27" s="144" t="str">
        <x:v>否</x:v>
      </x:c>
      <x:c r="P27" s="144" t="str">
        <x:v>否</x:v>
      </x:c>
      <x:c r="Q27" s="144" t="str">
        <x:v>否</x:v>
      </x:c>
      <x:c r="R27" s="144" t="str">
        <x:v>永久RAM</x:v>
      </x:c>
      <x:c r="S27" s="144" t="str">
        <x:v>ENM_POS_REAR_LEFT（宏值必须在需求中冻结）</x:v>
      </x:c>
      <x:c r="T27" s="144" t="str">
        <x:v>0x0100</x:v>
      </x:c>
      <x:c r="U27" s="144" t="str">
        <x:v>Fee动态（Bank0/Bank1；块物理地址不固定）</x:v>
      </x:c>
      <x:c r="V27" s="144" t="str">
        <x:v>NvM_Cfg.c:2008（ID 21 descriptor）</x:v>
      </x:c>
      <x:c r="W27" s="144" t="str">
        <x:v>读/写/状态码、掉电、默认恢复、版本迁移。</x:v>
      </x:c>
    </x:row>
    <x:row r="28" ht="54" customHeight="1">
      <x:c r="A28" s="144" t="n">
        <x:v>22</x:v>
      </x:c>
      <x:c r="B28" s="144" t="str">
        <x:v>Cust_SecurityAccesscounter</x:v>
      </x:c>
      <x:c r="C28" s="144" t="str">
        <x:v>诊断安全访问/安全数据</x:v>
      </x:c>
      <x:c r="D28" s="153" t="n">
        <x:v>1</x:v>
      </x:c>
      <x:c r="E28" s="153" t="n">
        <x:v>4353</x:v>
      </x:c>
      <x:c r="F28" s="144" t="str">
        <x:v>NATIVE</x:v>
      </x:c>
      <x:c r="G28" s="144" t="n">
        <x:v>1</x:v>
      </x:c>
      <x:c r="H28" s="144" t="n">
        <x:v>0</x:v>
      </x:c>
      <x:c r="I28" s="144" t="str">
        <x:v>NoCrc</x:v>
      </x:c>
      <x:c r="J28" s="144" t="n">
        <x:v>1</x:v>
      </x:c>
      <x:c r="K28" s="144" t="str">
        <x:v>否</x:v>
      </x:c>
      <x:c r="L28" s="144" t="str">
        <x:v>否</x:v>
      </x:c>
      <x:c r="M28" s="144" t="str">
        <x:v>否</x:v>
      </x:c>
      <x:c r="N28" s="144" t="str">
        <x:v>否</x:v>
      </x:c>
      <x:c r="O28" s="144" t="str">
        <x:v>否</x:v>
      </x:c>
      <x:c r="P28" s="144" t="str">
        <x:v>否</x:v>
      </x:c>
      <x:c r="Q28" s="144" t="str">
        <x:v>否</x:v>
      </x:c>
      <x:c r="R28" s="144" t="str">
        <x:v>无永久RAM（NULL）</x:v>
      </x:c>
      <x:c r="S28" s="144" t="str">
        <x:v>无ROM默认块</x:v>
      </x:c>
      <x:c r="T28" s="144" t="str">
        <x:v>0x0100</x:v>
      </x:c>
      <x:c r="U28" s="144" t="str">
        <x:v>Fee动态（Bank0/Bank1；块物理地址不固定）</x:v>
      </x:c>
      <x:c r="V28" s="144" t="str">
        <x:v>NvM_Cfg.c:2042（ID 22 descriptor）</x:v>
      </x:c>
      <x:c r="W28" s="144" t="str">
        <x:v>失败计数/密钥数据权限、持久化、掉电与信息隔离。</x:v>
      </x:c>
    </x:row>
    <x:row r="29" ht="54" customHeight="1">
      <x:c r="A29" s="144" t="n">
        <x:v>23</x:v>
      </x:c>
      <x:c r="B29" s="144" t="str">
        <x:v>Dia_SecurityAccesscounter</x:v>
      </x:c>
      <x:c r="C29" s="144" t="str">
        <x:v>诊断安全访问/安全数据</x:v>
      </x:c>
      <x:c r="D29" s="153" t="n">
        <x:v>1</x:v>
      </x:c>
      <x:c r="E29" s="153" t="n">
        <x:v>37775</x:v>
      </x:c>
      <x:c r="F29" s="144" t="str">
        <x:v>NATIVE</x:v>
      </x:c>
      <x:c r="G29" s="144" t="n">
        <x:v>1</x:v>
      </x:c>
      <x:c r="H29" s="144" t="n">
        <x:v>0</x:v>
      </x:c>
      <x:c r="I29" s="144" t="str">
        <x:v>NoCrc</x:v>
      </x:c>
      <x:c r="J29" s="144" t="n">
        <x:v>1</x:v>
      </x:c>
      <x:c r="K29" s="144" t="str">
        <x:v>是</x:v>
      </x:c>
      <x:c r="L29" s="144" t="str">
        <x:v>否</x:v>
      </x:c>
      <x:c r="M29" s="144" t="str">
        <x:v>否</x:v>
      </x:c>
      <x:c r="N29" s="144" t="str">
        <x:v>否</x:v>
      </x:c>
      <x:c r="O29" s="144" t="str">
        <x:v>否</x:v>
      </x:c>
      <x:c r="P29" s="144" t="str">
        <x:v>否</x:v>
      </x:c>
      <x:c r="Q29" s="144" t="str">
        <x:v>否</x:v>
      </x:c>
      <x:c r="R29" s="144" t="str">
        <x:v>永久RAM</x:v>
      </x:c>
      <x:c r="S29" s="144" t="str">
        <x:v>无ROM默认块</x:v>
      </x:c>
      <x:c r="T29" s="144" t="str">
        <x:v>0x0100</x:v>
      </x:c>
      <x:c r="U29" s="144" t="str">
        <x:v>Fee动态（Bank0/Bank1；块物理地址不固定）</x:v>
      </x:c>
      <x:c r="V29" s="144" t="str">
        <x:v>NvM_Cfg.c:2075（ID 23 descriptor）</x:v>
      </x:c>
      <x:c r="W29" s="144" t="str">
        <x:v>失败计数/密钥数据权限、持久化、掉电与信息隔离。</x:v>
      </x:c>
    </x:row>
    <x:row r="30" ht="54" customHeight="1">
      <x:c r="A30" s="144" t="n">
        <x:v>24</x:v>
      </x:c>
      <x:c r="B30" s="144" t="str">
        <x:v>ECUM_CFG_NVM_BLOCK</x:v>
      </x:c>
      <x:c r="C30" s="144" t="str">
        <x:v>启动/刷写状态</x:v>
      </x:c>
      <x:c r="D30" s="153" t="n">
        <x:v>4</x:v>
      </x:c>
      <x:c r="E30" s="153" t="n">
        <x:v>62199</x:v>
      </x:c>
      <x:c r="F30" s="144" t="str">
        <x:v>NATIVE</x:v>
      </x:c>
      <x:c r="G30" s="144" t="n">
        <x:v>1</x:v>
      </x:c>
      <x:c r="H30" s="144" t="n">
        <x:v>0</x:v>
      </x:c>
      <x:c r="I30" s="144" t="str">
        <x:v>NoCrc</x:v>
      </x:c>
      <x:c r="J30" s="144" t="n">
        <x:v>1</x:v>
      </x:c>
      <x:c r="K30" s="144" t="str">
        <x:v>是</x:v>
      </x:c>
      <x:c r="L30" s="144" t="str">
        <x:v>是</x:v>
      </x:c>
      <x:c r="M30" s="144" t="str">
        <x:v>否</x:v>
      </x:c>
      <x:c r="N30" s="144" t="str">
        <x:v>否</x:v>
      </x:c>
      <x:c r="O30" s="144" t="str">
        <x:v>否</x:v>
      </x:c>
      <x:c r="P30" s="144" t="str">
        <x:v>否</x:v>
      </x:c>
      <x:c r="Q30" s="144" t="str">
        <x:v>否</x:v>
      </x:c>
      <x:c r="R30" s="144" t="str">
        <x:v>永久RAM</x:v>
      </x:c>
      <x:c r="S30" s="144" t="str">
        <x:v>无ROM默认块</x:v>
      </x:c>
      <x:c r="T30" s="144" t="str">
        <x:v>0x0100</x:v>
      </x:c>
      <x:c r="U30" s="144" t="str">
        <x:v>Fee动态（Bank0/Bank1；块物理地址不固定）</x:v>
      </x:c>
      <x:c r="V30" s="144" t="str">
        <x:v>NvM_Cfg.c:2108（ID 24 descriptor）</x:v>
      </x:c>
      <x:c r="W30" s="144" t="str">
        <x:v>读/写/状态码、掉电、默认恢复、版本迁移。</x:v>
      </x:c>
    </x:row>
    <x:row r="31" ht="54" customHeight="1">
      <x:c r="A31" s="144" t="n">
        <x:v>25</x:v>
      </x:c>
      <x:c r="B31" s="144" t="str">
        <x:v>NVM_ADAS_HMISwitch</x:v>
      </x:c>
      <x:c r="C31" s="144" t="str">
        <x:v>应用/系统持久化数据</x:v>
      </x:c>
      <x:c r="D31" s="153" t="n">
        <x:v>11</x:v>
      </x:c>
      <x:c r="E31" s="153" t="n">
        <x:v>37777</x:v>
      </x:c>
      <x:c r="F31" s="144" t="str">
        <x:v>NATIVE</x:v>
      </x:c>
      <x:c r="G31" s="144" t="n">
        <x:v>1</x:v>
      </x:c>
      <x:c r="H31" s="144" t="n">
        <x:v>1</x:v>
      </x:c>
      <x:c r="I31" s="144" t="str">
        <x:v>NoCrc</x:v>
      </x:c>
      <x:c r="J31" s="144" t="n">
        <x:v>1</x:v>
      </x:c>
      <x:c r="K31" s="144" t="str">
        <x:v>是</x:v>
      </x:c>
      <x:c r="L31" s="144" t="str">
        <x:v>是</x:v>
      </x:c>
      <x:c r="M31" s="144" t="str">
        <x:v>否</x:v>
      </x:c>
      <x:c r="N31" s="144" t="str">
        <x:v>否</x:v>
      </x:c>
      <x:c r="O31" s="144" t="str">
        <x:v>否</x:v>
      </x:c>
      <x:c r="P31" s="144" t="str">
        <x:v>否</x:v>
      </x:c>
      <x:c r="Q31" s="144" t="str">
        <x:v>否</x:v>
      </x:c>
      <x:c r="R31" s="144" t="str">
        <x:v>永久RAM</x:v>
      </x:c>
      <x:c r="S31" s="144" t="str">
        <x:v>FF×11</x:v>
      </x:c>
      <x:c r="T31" s="144" t="str">
        <x:v>0x0100</x:v>
      </x:c>
      <x:c r="U31" s="144" t="str">
        <x:v>Fee动态（Bank0/Bank1；块物理地址不固定）</x:v>
      </x:c>
      <x:c r="V31" s="144" t="str">
        <x:v>NvM_Cfg.c:2142（ID 25 descriptor）</x:v>
      </x:c>
      <x:c r="W31" s="144" t="str">
        <x:v>读/写/状态码、掉电、默认恢复、版本迁移。</x:v>
      </x:c>
    </x:row>
    <x:row r="32" ht="54" customHeight="1">
      <x:c r="A32" s="144" t="n">
        <x:v>26</x:v>
      </x:c>
      <x:c r="B32" s="144" t="str">
        <x:v>NVM_Calibration_EffStatus</x:v>
      </x:c>
      <x:c r="C32" s="144" t="str">
        <x:v>标定/雷达安装参数</x:v>
      </x:c>
      <x:c r="D32" s="153" t="n">
        <x:v>1</x:v>
      </x:c>
      <x:c r="E32" s="153" t="n">
        <x:v>44020</x:v>
      </x:c>
      <x:c r="F32" s="144" t="str">
        <x:v>NATIVE</x:v>
      </x:c>
      <x:c r="G32" s="144" t="n">
        <x:v>1</x:v>
      </x:c>
      <x:c r="H32" s="144" t="n">
        <x:v>0</x:v>
      </x:c>
      <x:c r="I32" s="144" t="str">
        <x:v>NoCrc</x:v>
      </x:c>
      <x:c r="J32" s="144" t="n">
        <x:v>1</x:v>
      </x:c>
      <x:c r="K32" s="144" t="str">
        <x:v>是</x:v>
      </x:c>
      <x:c r="L32" s="144" t="str">
        <x:v>否</x:v>
      </x:c>
      <x:c r="M32" s="144" t="str">
        <x:v>否</x:v>
      </x:c>
      <x:c r="N32" s="144" t="str">
        <x:v>是</x:v>
      </x:c>
      <x:c r="O32" s="144" t="str">
        <x:v>否</x:v>
      </x:c>
      <x:c r="P32" s="144" t="str">
        <x:v>否</x:v>
      </x:c>
      <x:c r="Q32" s="144" t="str">
        <x:v>否</x:v>
      </x:c>
      <x:c r="R32" s="144" t="str">
        <x:v>永久RAM</x:v>
      </x:c>
      <x:c r="S32" s="144" t="str">
        <x:v>无ROM默认块</x:v>
      </x:c>
      <x:c r="T32" s="144" t="str">
        <x:v>0x0100</x:v>
      </x:c>
      <x:c r="U32" s="144" t="str">
        <x:v>Fee动态（Bank0/Bank1；块物理地址不固定）</x:v>
      </x:c>
      <x:c r="V32" s="144" t="str">
        <x:v>NvM_Cfg.c:2176（ID 26 descriptor）</x:v>
      </x:c>
      <x:c r="W32" s="144" t="str">
        <x:v>读/写/状态码、掉电、默认恢复、版本迁移。</x:v>
      </x:c>
    </x:row>
    <x:row r="33" ht="54" customHeight="1">
      <x:c r="A33" s="144" t="n">
        <x:v>27</x:v>
      </x:c>
      <x:c r="B33" s="144" t="str">
        <x:v>NVM_Calibration_OnlineStatus</x:v>
      </x:c>
      <x:c r="C33" s="144" t="str">
        <x:v>标定/雷达安装参数</x:v>
      </x:c>
      <x:c r="D33" s="153" t="n">
        <x:v>30</x:v>
      </x:c>
      <x:c r="E33" s="153" t="n">
        <x:v>44008</x:v>
      </x:c>
      <x:c r="F33" s="144" t="str">
        <x:v>NATIVE</x:v>
      </x:c>
      <x:c r="G33" s="144" t="n">
        <x:v>1</x:v>
      </x:c>
      <x:c r="H33" s="144" t="n">
        <x:v>0</x:v>
      </x:c>
      <x:c r="I33" s="144" t="str">
        <x:v>NoCrc</x:v>
      </x:c>
      <x:c r="J33" s="144" t="n">
        <x:v>1</x:v>
      </x:c>
      <x:c r="K33" s="144" t="str">
        <x:v>是</x:v>
      </x:c>
      <x:c r="L33" s="144" t="str">
        <x:v>否</x:v>
      </x:c>
      <x:c r="M33" s="144" t="str">
        <x:v>否</x:v>
      </x:c>
      <x:c r="N33" s="144" t="str">
        <x:v>是</x:v>
      </x:c>
      <x:c r="O33" s="144" t="str">
        <x:v>否</x:v>
      </x:c>
      <x:c r="P33" s="144" t="str">
        <x:v>否</x:v>
      </x:c>
      <x:c r="Q33" s="144" t="str">
        <x:v>否</x:v>
      </x:c>
      <x:c r="R33" s="144" t="str">
        <x:v>永久RAM</x:v>
      </x:c>
      <x:c r="S33" s="144" t="str">
        <x:v>无ROM默认块</x:v>
      </x:c>
      <x:c r="T33" s="144" t="str">
        <x:v>0x0100</x:v>
      </x:c>
      <x:c r="U33" s="144" t="str">
        <x:v>Fee动态（Bank0/Bank1；块物理地址不固定）</x:v>
      </x:c>
      <x:c r="V33" s="144" t="str">
        <x:v>NvM_Cfg.c:2210（ID 27 descriptor）</x:v>
      </x:c>
      <x:c r="W33" s="144" t="str">
        <x:v>读/写/状态码、掉电、默认恢复、版本迁移。</x:v>
      </x:c>
    </x:row>
    <x:row r="34" ht="54" customHeight="1">
      <x:c r="A34" s="144" t="n">
        <x:v>28</x:v>
      </x:c>
      <x:c r="B34" s="144" t="str">
        <x:v>NVM_Calibration_TriggerStatus</x:v>
      </x:c>
      <x:c r="C34" s="144" t="str">
        <x:v>标定/雷达安装参数</x:v>
      </x:c>
      <x:c r="D34" s="153" t="n">
        <x:v>30</x:v>
      </x:c>
      <x:c r="E34" s="153" t="n">
        <x:v>44007</x:v>
      </x:c>
      <x:c r="F34" s="144" t="str">
        <x:v>NATIVE</x:v>
      </x:c>
      <x:c r="G34" s="144" t="n">
        <x:v>1</x:v>
      </x:c>
      <x:c r="H34" s="144" t="n">
        <x:v>0</x:v>
      </x:c>
      <x:c r="I34" s="144" t="str">
        <x:v>NoCrc</x:v>
      </x:c>
      <x:c r="J34" s="144" t="n">
        <x:v>1</x:v>
      </x:c>
      <x:c r="K34" s="144" t="str">
        <x:v>是</x:v>
      </x:c>
      <x:c r="L34" s="144" t="str">
        <x:v>否</x:v>
      </x:c>
      <x:c r="M34" s="144" t="str">
        <x:v>否</x:v>
      </x:c>
      <x:c r="N34" s="144" t="str">
        <x:v>是</x:v>
      </x:c>
      <x:c r="O34" s="144" t="str">
        <x:v>否</x:v>
      </x:c>
      <x:c r="P34" s="144" t="str">
        <x:v>否</x:v>
      </x:c>
      <x:c r="Q34" s="144" t="str">
        <x:v>否</x:v>
      </x:c>
      <x:c r="R34" s="144" t="str">
        <x:v>永久RAM</x:v>
      </x:c>
      <x:c r="S34" s="144" t="str">
        <x:v>无ROM默认块</x:v>
      </x:c>
      <x:c r="T34" s="144" t="str">
        <x:v>0x0100</x:v>
      </x:c>
      <x:c r="U34" s="144" t="str">
        <x:v>Fee动态（Bank0/Bank1；块物理地址不固定）</x:v>
      </x:c>
      <x:c r="V34" s="144" t="str">
        <x:v>NvM_Cfg.c:2244（ID 28 descriptor）</x:v>
      </x:c>
      <x:c r="W34" s="144" t="str">
        <x:v>读/写/状态码、掉电、默认恢复、版本迁移。</x:v>
      </x:c>
    </x:row>
    <x:row r="35" ht="54" customHeight="1">
      <x:c r="A35" s="144" t="n">
        <x:v>29</x:v>
      </x:c>
      <x:c r="B35" s="144" t="str">
        <x:v>NVM_ID_DEM_EXTRA_INFO_0</x:v>
      </x:c>
      <x:c r="C35" s="144" t="str">
        <x:v>诊断/故障事件存储</x:v>
      </x:c>
      <x:c r="D35" s="153" t="n">
        <x:v>32</x:v>
      </x:c>
      <x:c r="E35" s="153" t="n">
        <x:v>43000</x:v>
      </x:c>
      <x:c r="F35" s="144" t="str">
        <x:v>NATIVE</x:v>
      </x:c>
      <x:c r="G35" s="144" t="n">
        <x:v>1</x:v>
      </x:c>
      <x:c r="H35" s="144" t="n">
        <x:v>0</x:v>
      </x:c>
      <x:c r="I35" s="144" t="str">
        <x:v>NoCrc</x:v>
      </x:c>
      <x:c r="J35" s="144" t="n">
        <x:v>1</x:v>
      </x:c>
      <x:c r="K35" s="144" t="str">
        <x:v>是</x:v>
      </x:c>
      <x:c r="L35" s="144" t="str">
        <x:v>否</x:v>
      </x:c>
      <x:c r="M35" s="144" t="str">
        <x:v>否</x:v>
      </x:c>
      <x:c r="N35" s="144" t="str">
        <x:v>否</x:v>
      </x:c>
      <x:c r="O35" s="144" t="str">
        <x:v>是</x:v>
      </x:c>
      <x:c r="P35" s="144" t="str">
        <x:v>否</x:v>
      </x:c>
      <x:c r="Q35" s="144" t="str">
        <x:v>否</x:v>
      </x:c>
      <x:c r="R35" s="144" t="str">
        <x:v>Explicit Sync共享镜像</x:v>
      </x:c>
      <x:c r="S35" s="144" t="str">
        <x:v>无ROM默认块</x:v>
      </x:c>
      <x:c r="T35" s="144" t="str">
        <x:v>0x0100</x:v>
      </x:c>
      <x:c r="U35" s="144" t="str">
        <x:v>Fee动态（Bank0/Bank1；块物理地址不固定）</x:v>
      </x:c>
      <x:c r="V35" s="144" t="str">
        <x:v>NvM_Cfg.c:2278（ID 29 descriptor）</x:v>
      </x:c>
      <x:c r="W35" s="144" t="str">
        <x:v>Dem并发/0x19/ClearDTC、共享镜像、满载与断电一致性。</x:v>
      </x:c>
    </x:row>
    <x:row r="36" ht="54" customHeight="1">
      <x:c r="A36" s="144" t="n">
        <x:v>30</x:v>
      </x:c>
      <x:c r="B36" s="144" t="str">
        <x:v>NVM_ID_DEM_EXTRA_INFO_1</x:v>
      </x:c>
      <x:c r="C36" s="144" t="str">
        <x:v>诊断/故障事件存储</x:v>
      </x:c>
      <x:c r="D36" s="153" t="n">
        <x:v>32</x:v>
      </x:c>
      <x:c r="E36" s="153" t="n">
        <x:v>43001</x:v>
      </x:c>
      <x:c r="F36" s="144" t="str">
        <x:v>NATIVE</x:v>
      </x:c>
      <x:c r="G36" s="144" t="n">
        <x:v>1</x:v>
      </x:c>
      <x:c r="H36" s="144" t="n">
        <x:v>0</x:v>
      </x:c>
      <x:c r="I36" s="144" t="str">
        <x:v>NoCrc</x:v>
      </x:c>
      <x:c r="J36" s="144" t="n">
        <x:v>1</x:v>
      </x:c>
      <x:c r="K36" s="144" t="str">
        <x:v>是</x:v>
      </x:c>
      <x:c r="L36" s="144" t="str">
        <x:v>否</x:v>
      </x:c>
      <x:c r="M36" s="144" t="str">
        <x:v>否</x:v>
      </x:c>
      <x:c r="N36" s="144" t="str">
        <x:v>否</x:v>
      </x:c>
      <x:c r="O36" s="144" t="str">
        <x:v>是</x:v>
      </x:c>
      <x:c r="P36" s="144" t="str">
        <x:v>否</x:v>
      </x:c>
      <x:c r="Q36" s="144" t="str">
        <x:v>否</x:v>
      </x:c>
      <x:c r="R36" s="144" t="str">
        <x:v>Explicit Sync共享镜像</x:v>
      </x:c>
      <x:c r="S36" s="144" t="str">
        <x:v>无ROM默认块</x:v>
      </x:c>
      <x:c r="T36" s="144" t="str">
        <x:v>0x0100</x:v>
      </x:c>
      <x:c r="U36" s="144" t="str">
        <x:v>Fee动态（Bank0/Bank1；块物理地址不固定）</x:v>
      </x:c>
      <x:c r="V36" s="144" t="str">
        <x:v>NvM_Cfg.c:2312（ID 30 descriptor）</x:v>
      </x:c>
      <x:c r="W36" s="144" t="str">
        <x:v>Dem并发/0x19/ClearDTC、共享镜像、满载与断电一致性。</x:v>
      </x:c>
    </x:row>
    <x:row r="37" ht="54" customHeight="1">
      <x:c r="A37" s="144" t="n">
        <x:v>31</x:v>
      </x:c>
      <x:c r="B37" s="144" t="str">
        <x:v>NVM_ID_DEM_EXTRA_INFO_10</x:v>
      </x:c>
      <x:c r="C37" s="144" t="str">
        <x:v>诊断/故障事件存储</x:v>
      </x:c>
      <x:c r="D37" s="153" t="n">
        <x:v>32</x:v>
      </x:c>
      <x:c r="E37" s="153" t="n">
        <x:v>43010</x:v>
      </x:c>
      <x:c r="F37" s="144" t="str">
        <x:v>NATIVE</x:v>
      </x:c>
      <x:c r="G37" s="144" t="n">
        <x:v>1</x:v>
      </x:c>
      <x:c r="H37" s="144" t="n">
        <x:v>0</x:v>
      </x:c>
      <x:c r="I37" s="144" t="str">
        <x:v>NoCrc</x:v>
      </x:c>
      <x:c r="J37" s="144" t="n">
        <x:v>1</x:v>
      </x:c>
      <x:c r="K37" s="144" t="str">
        <x:v>是</x:v>
      </x:c>
      <x:c r="L37" s="144" t="str">
        <x:v>否</x:v>
      </x:c>
      <x:c r="M37" s="144" t="str">
        <x:v>否</x:v>
      </x:c>
      <x:c r="N37" s="144" t="str">
        <x:v>否</x:v>
      </x:c>
      <x:c r="O37" s="144" t="str">
        <x:v>是</x:v>
      </x:c>
      <x:c r="P37" s="144" t="str">
        <x:v>否</x:v>
      </x:c>
      <x:c r="Q37" s="144" t="str">
        <x:v>否</x:v>
      </x:c>
      <x:c r="R37" s="144" t="str">
        <x:v>Explicit Sync共享镜像</x:v>
      </x:c>
      <x:c r="S37" s="144" t="str">
        <x:v>无ROM默认块</x:v>
      </x:c>
      <x:c r="T37" s="144" t="str">
        <x:v>0x0100</x:v>
      </x:c>
      <x:c r="U37" s="144" t="str">
        <x:v>Fee动态（Bank0/Bank1；块物理地址不固定）</x:v>
      </x:c>
      <x:c r="V37" s="144" t="str">
        <x:v>NvM_Cfg.c:2346（ID 31 descriptor）</x:v>
      </x:c>
      <x:c r="W37" s="144" t="str">
        <x:v>Dem并发/0x19/ClearDTC、共享镜像、满载与断电一致性。</x:v>
      </x:c>
    </x:row>
    <x:row r="38" ht="54" customHeight="1">
      <x:c r="A38" s="144" t="n">
        <x:v>32</x:v>
      </x:c>
      <x:c r="B38" s="144" t="str">
        <x:v>NVM_ID_DEM_EXTRA_INFO_11</x:v>
      </x:c>
      <x:c r="C38" s="144" t="str">
        <x:v>诊断/故障事件存储</x:v>
      </x:c>
      <x:c r="D38" s="153" t="n">
        <x:v>32</x:v>
      </x:c>
      <x:c r="E38" s="153" t="n">
        <x:v>43011</x:v>
      </x:c>
      <x:c r="F38" s="144" t="str">
        <x:v>NATIVE</x:v>
      </x:c>
      <x:c r="G38" s="144" t="n">
        <x:v>1</x:v>
      </x:c>
      <x:c r="H38" s="144" t="n">
        <x:v>0</x:v>
      </x:c>
      <x:c r="I38" s="144" t="str">
        <x:v>NoCrc</x:v>
      </x:c>
      <x:c r="J38" s="144" t="n">
        <x:v>1</x:v>
      </x:c>
      <x:c r="K38" s="144" t="str">
        <x:v>是</x:v>
      </x:c>
      <x:c r="L38" s="144" t="str">
        <x:v>否</x:v>
      </x:c>
      <x:c r="M38" s="144" t="str">
        <x:v>否</x:v>
      </x:c>
      <x:c r="N38" s="144" t="str">
        <x:v>否</x:v>
      </x:c>
      <x:c r="O38" s="144" t="str">
        <x:v>是</x:v>
      </x:c>
      <x:c r="P38" s="144" t="str">
        <x:v>否</x:v>
      </x:c>
      <x:c r="Q38" s="144" t="str">
        <x:v>否</x:v>
      </x:c>
      <x:c r="R38" s="144" t="str">
        <x:v>Explicit Sync共享镜像</x:v>
      </x:c>
      <x:c r="S38" s="144" t="str">
        <x:v>无ROM默认块</x:v>
      </x:c>
      <x:c r="T38" s="144" t="str">
        <x:v>0x0100</x:v>
      </x:c>
      <x:c r="U38" s="144" t="str">
        <x:v>Fee动态（Bank0/Bank1；块物理地址不固定）</x:v>
      </x:c>
      <x:c r="V38" s="144" t="str">
        <x:v>NvM_Cfg.c:2380（ID 32 descriptor）</x:v>
      </x:c>
      <x:c r="W38" s="144" t="str">
        <x:v>Dem并发/0x19/ClearDTC、共享镜像、满载与断电一致性。</x:v>
      </x:c>
    </x:row>
    <x:row r="39" ht="54" customHeight="1">
      <x:c r="A39" s="144" t="n">
        <x:v>33</x:v>
      </x:c>
      <x:c r="B39" s="144" t="str">
        <x:v>NVM_ID_DEM_EXTRA_INFO_12</x:v>
      </x:c>
      <x:c r="C39" s="144" t="str">
        <x:v>诊断/故障事件存储</x:v>
      </x:c>
      <x:c r="D39" s="153" t="n">
        <x:v>32</x:v>
      </x:c>
      <x:c r="E39" s="153" t="n">
        <x:v>43012</x:v>
      </x:c>
      <x:c r="F39" s="144" t="str">
        <x:v>NATIVE</x:v>
      </x:c>
      <x:c r="G39" s="144" t="n">
        <x:v>1</x:v>
      </x:c>
      <x:c r="H39" s="144" t="n">
        <x:v>0</x:v>
      </x:c>
      <x:c r="I39" s="144" t="str">
        <x:v>NoCrc</x:v>
      </x:c>
      <x:c r="J39" s="144" t="n">
        <x:v>1</x:v>
      </x:c>
      <x:c r="K39" s="144" t="str">
        <x:v>是</x:v>
      </x:c>
      <x:c r="L39" s="144" t="str">
        <x:v>否</x:v>
      </x:c>
      <x:c r="M39" s="144" t="str">
        <x:v>否</x:v>
      </x:c>
      <x:c r="N39" s="144" t="str">
        <x:v>否</x:v>
      </x:c>
      <x:c r="O39" s="144" t="str">
        <x:v>是</x:v>
      </x:c>
      <x:c r="P39" s="144" t="str">
        <x:v>否</x:v>
      </x:c>
      <x:c r="Q39" s="144" t="str">
        <x:v>否</x:v>
      </x:c>
      <x:c r="R39" s="144" t="str">
        <x:v>Explicit Sync共享镜像</x:v>
      </x:c>
      <x:c r="S39" s="144" t="str">
        <x:v>无ROM默认块</x:v>
      </x:c>
      <x:c r="T39" s="144" t="str">
        <x:v>0x0100</x:v>
      </x:c>
      <x:c r="U39" s="144" t="str">
        <x:v>Fee动态（Bank0/Bank1；块物理地址不固定）</x:v>
      </x:c>
      <x:c r="V39" s="144" t="str">
        <x:v>NvM_Cfg.c:2414（ID 33 descriptor）</x:v>
      </x:c>
      <x:c r="W39" s="144" t="str">
        <x:v>Dem并发/0x19/ClearDTC、共享镜像、满载与断电一致性。</x:v>
      </x:c>
    </x:row>
    <x:row r="40" ht="54" customHeight="1">
      <x:c r="A40" s="144" t="n">
        <x:v>34</x:v>
      </x:c>
      <x:c r="B40" s="144" t="str">
        <x:v>NVM_ID_DEM_EXTRA_INFO_13</x:v>
      </x:c>
      <x:c r="C40" s="144" t="str">
        <x:v>诊断/故障事件存储</x:v>
      </x:c>
      <x:c r="D40" s="153" t="n">
        <x:v>32</x:v>
      </x:c>
      <x:c r="E40" s="153" t="n">
        <x:v>43013</x:v>
      </x:c>
      <x:c r="F40" s="144" t="str">
        <x:v>NATIVE</x:v>
      </x:c>
      <x:c r="G40" s="144" t="n">
        <x:v>1</x:v>
      </x:c>
      <x:c r="H40" s="144" t="n">
        <x:v>0</x:v>
      </x:c>
      <x:c r="I40" s="144" t="str">
        <x:v>NoCrc</x:v>
      </x:c>
      <x:c r="J40" s="144" t="n">
        <x:v>1</x:v>
      </x:c>
      <x:c r="K40" s="144" t="str">
        <x:v>是</x:v>
      </x:c>
      <x:c r="L40" s="144" t="str">
        <x:v>否</x:v>
      </x:c>
      <x:c r="M40" s="144" t="str">
        <x:v>否</x:v>
      </x:c>
      <x:c r="N40" s="144" t="str">
        <x:v>否</x:v>
      </x:c>
      <x:c r="O40" s="144" t="str">
        <x:v>是</x:v>
      </x:c>
      <x:c r="P40" s="144" t="str">
        <x:v>否</x:v>
      </x:c>
      <x:c r="Q40" s="144" t="str">
        <x:v>否</x:v>
      </x:c>
      <x:c r="R40" s="144" t="str">
        <x:v>Explicit Sync共享镜像</x:v>
      </x:c>
      <x:c r="S40" s="144" t="str">
        <x:v>无ROM默认块</x:v>
      </x:c>
      <x:c r="T40" s="144" t="str">
        <x:v>0x0100</x:v>
      </x:c>
      <x:c r="U40" s="144" t="str">
        <x:v>Fee动态（Bank0/Bank1；块物理地址不固定）</x:v>
      </x:c>
      <x:c r="V40" s="144" t="str">
        <x:v>NvM_Cfg.c:2448（ID 34 descriptor）</x:v>
      </x:c>
      <x:c r="W40" s="144" t="str">
        <x:v>Dem并发/0x19/ClearDTC、共享镜像、满载与断电一致性。</x:v>
      </x:c>
    </x:row>
    <x:row r="41" ht="54" customHeight="1">
      <x:c r="A41" s="144" t="n">
        <x:v>35</x:v>
      </x:c>
      <x:c r="B41" s="144" t="str">
        <x:v>NVM_ID_DEM_EXTRA_INFO_14</x:v>
      </x:c>
      <x:c r="C41" s="144" t="str">
        <x:v>诊断/故障事件存储</x:v>
      </x:c>
      <x:c r="D41" s="153" t="n">
        <x:v>32</x:v>
      </x:c>
      <x:c r="E41" s="153" t="n">
        <x:v>43014</x:v>
      </x:c>
      <x:c r="F41" s="144" t="str">
        <x:v>NATIVE</x:v>
      </x:c>
      <x:c r="G41" s="144" t="n">
        <x:v>1</x:v>
      </x:c>
      <x:c r="H41" s="144" t="n">
        <x:v>0</x:v>
      </x:c>
      <x:c r="I41" s="144" t="str">
        <x:v>NoCrc</x:v>
      </x:c>
      <x:c r="J41" s="144" t="n">
        <x:v>1</x:v>
      </x:c>
      <x:c r="K41" s="144" t="str">
        <x:v>是</x:v>
      </x:c>
      <x:c r="L41" s="144" t="str">
        <x:v>否</x:v>
      </x:c>
      <x:c r="M41" s="144" t="str">
        <x:v>否</x:v>
      </x:c>
      <x:c r="N41" s="144" t="str">
        <x:v>否</x:v>
      </x:c>
      <x:c r="O41" s="144" t="str">
        <x:v>是</x:v>
      </x:c>
      <x:c r="P41" s="144" t="str">
        <x:v>否</x:v>
      </x:c>
      <x:c r="Q41" s="144" t="str">
        <x:v>否</x:v>
      </x:c>
      <x:c r="R41" s="144" t="str">
        <x:v>Explicit Sync共享镜像</x:v>
      </x:c>
      <x:c r="S41" s="144" t="str">
        <x:v>无ROM默认块</x:v>
      </x:c>
      <x:c r="T41" s="144" t="str">
        <x:v>0x0100</x:v>
      </x:c>
      <x:c r="U41" s="144" t="str">
        <x:v>Fee动态（Bank0/Bank1；块物理地址不固定）</x:v>
      </x:c>
      <x:c r="V41" s="144" t="str">
        <x:v>NvM_Cfg.c:2482（ID 35 descriptor）</x:v>
      </x:c>
      <x:c r="W41" s="144" t="str">
        <x:v>Dem并发/0x19/ClearDTC、共享镜像、满载与断电一致性。</x:v>
      </x:c>
    </x:row>
    <x:row r="42" ht="54" customHeight="1">
      <x:c r="A42" s="144" t="n">
        <x:v>36</x:v>
      </x:c>
      <x:c r="B42" s="144" t="str">
        <x:v>NVM_ID_DEM_EXTRA_INFO_15</x:v>
      </x:c>
      <x:c r="C42" s="144" t="str">
        <x:v>诊断/故障事件存储</x:v>
      </x:c>
      <x:c r="D42" s="153" t="n">
        <x:v>32</x:v>
      </x:c>
      <x:c r="E42" s="153" t="n">
        <x:v>43015</x:v>
      </x:c>
      <x:c r="F42" s="144" t="str">
        <x:v>NATIVE</x:v>
      </x:c>
      <x:c r="G42" s="144" t="n">
        <x:v>1</x:v>
      </x:c>
      <x:c r="H42" s="144" t="n">
        <x:v>0</x:v>
      </x:c>
      <x:c r="I42" s="144" t="str">
        <x:v>NoCrc</x:v>
      </x:c>
      <x:c r="J42" s="144" t="n">
        <x:v>1</x:v>
      </x:c>
      <x:c r="K42" s="144" t="str">
        <x:v>是</x:v>
      </x:c>
      <x:c r="L42" s="144" t="str">
        <x:v>否</x:v>
      </x:c>
      <x:c r="M42" s="144" t="str">
        <x:v>否</x:v>
      </x:c>
      <x:c r="N42" s="144" t="str">
        <x:v>否</x:v>
      </x:c>
      <x:c r="O42" s="144" t="str">
        <x:v>是</x:v>
      </x:c>
      <x:c r="P42" s="144" t="str">
        <x:v>否</x:v>
      </x:c>
      <x:c r="Q42" s="144" t="str">
        <x:v>否</x:v>
      </x:c>
      <x:c r="R42" s="144" t="str">
        <x:v>Explicit Sync共享镜像</x:v>
      </x:c>
      <x:c r="S42" s="144" t="str">
        <x:v>无ROM默认块</x:v>
      </x:c>
      <x:c r="T42" s="144" t="str">
        <x:v>0x0100</x:v>
      </x:c>
      <x:c r="U42" s="144" t="str">
        <x:v>Fee动态（Bank0/Bank1；块物理地址不固定）</x:v>
      </x:c>
      <x:c r="V42" s="144" t="str">
        <x:v>NvM_Cfg.c:2516（ID 36 descriptor）</x:v>
      </x:c>
      <x:c r="W42" s="144" t="str">
        <x:v>Dem并发/0x19/ClearDTC、共享镜像、满载与断电一致性。</x:v>
      </x:c>
    </x:row>
    <x:row r="43" ht="54" customHeight="1">
      <x:c r="A43" s="144" t="n">
        <x:v>37</x:v>
      </x:c>
      <x:c r="B43" s="144" t="str">
        <x:v>NVM_ID_DEM_EXTRA_INFO_16</x:v>
      </x:c>
      <x:c r="C43" s="144" t="str">
        <x:v>诊断/故障事件存储</x:v>
      </x:c>
      <x:c r="D43" s="153" t="n">
        <x:v>32</x:v>
      </x:c>
      <x:c r="E43" s="153" t="n">
        <x:v>43016</x:v>
      </x:c>
      <x:c r="F43" s="144" t="str">
        <x:v>NATIVE</x:v>
      </x:c>
      <x:c r="G43" s="144" t="n">
        <x:v>1</x:v>
      </x:c>
      <x:c r="H43" s="144" t="n">
        <x:v>0</x:v>
      </x:c>
      <x:c r="I43" s="144" t="str">
        <x:v>NoCrc</x:v>
      </x:c>
      <x:c r="J43" s="144" t="n">
        <x:v>1</x:v>
      </x:c>
      <x:c r="K43" s="144" t="str">
        <x:v>是</x:v>
      </x:c>
      <x:c r="L43" s="144" t="str">
        <x:v>否</x:v>
      </x:c>
      <x:c r="M43" s="144" t="str">
        <x:v>否</x:v>
      </x:c>
      <x:c r="N43" s="144" t="str">
        <x:v>否</x:v>
      </x:c>
      <x:c r="O43" s="144" t="str">
        <x:v>是</x:v>
      </x:c>
      <x:c r="P43" s="144" t="str">
        <x:v>否</x:v>
      </x:c>
      <x:c r="Q43" s="144" t="str">
        <x:v>否</x:v>
      </x:c>
      <x:c r="R43" s="144" t="str">
        <x:v>Explicit Sync共享镜像</x:v>
      </x:c>
      <x:c r="S43" s="144" t="str">
        <x:v>无ROM默认块</x:v>
      </x:c>
      <x:c r="T43" s="144" t="str">
        <x:v>0x0100</x:v>
      </x:c>
      <x:c r="U43" s="144" t="str">
        <x:v>Fee动态（Bank0/Bank1；块物理地址不固定）</x:v>
      </x:c>
      <x:c r="V43" s="144" t="str">
        <x:v>NvM_Cfg.c:2550（ID 37 descriptor）</x:v>
      </x:c>
      <x:c r="W43" s="144" t="str">
        <x:v>Dem并发/0x19/ClearDTC、共享镜像、满载与断电一致性。</x:v>
      </x:c>
    </x:row>
    <x:row r="44" ht="54" customHeight="1">
      <x:c r="A44" s="144" t="n">
        <x:v>38</x:v>
      </x:c>
      <x:c r="B44" s="144" t="str">
        <x:v>NVM_ID_DEM_EXTRA_INFO_17</x:v>
      </x:c>
      <x:c r="C44" s="144" t="str">
        <x:v>诊断/故障事件存储</x:v>
      </x:c>
      <x:c r="D44" s="153" t="n">
        <x:v>32</x:v>
      </x:c>
      <x:c r="E44" s="153" t="n">
        <x:v>43017</x:v>
      </x:c>
      <x:c r="F44" s="144" t="str">
        <x:v>NATIVE</x:v>
      </x:c>
      <x:c r="G44" s="144" t="n">
        <x:v>1</x:v>
      </x:c>
      <x:c r="H44" s="144" t="n">
        <x:v>0</x:v>
      </x:c>
      <x:c r="I44" s="144" t="str">
        <x:v>NoCrc</x:v>
      </x:c>
      <x:c r="J44" s="144" t="n">
        <x:v>1</x:v>
      </x:c>
      <x:c r="K44" s="144" t="str">
        <x:v>是</x:v>
      </x:c>
      <x:c r="L44" s="144" t="str">
        <x:v>否</x:v>
      </x:c>
      <x:c r="M44" s="144" t="str">
        <x:v>否</x:v>
      </x:c>
      <x:c r="N44" s="144" t="str">
        <x:v>否</x:v>
      </x:c>
      <x:c r="O44" s="144" t="str">
        <x:v>是</x:v>
      </x:c>
      <x:c r="P44" s="144" t="str">
        <x:v>否</x:v>
      </x:c>
      <x:c r="Q44" s="144" t="str">
        <x:v>否</x:v>
      </x:c>
      <x:c r="R44" s="144" t="str">
        <x:v>Explicit Sync共享镜像</x:v>
      </x:c>
      <x:c r="S44" s="144" t="str">
        <x:v>无ROM默认块</x:v>
      </x:c>
      <x:c r="T44" s="144" t="str">
        <x:v>0x0100</x:v>
      </x:c>
      <x:c r="U44" s="144" t="str">
        <x:v>Fee动态（Bank0/Bank1；块物理地址不固定）</x:v>
      </x:c>
      <x:c r="V44" s="144" t="str">
        <x:v>NvM_Cfg.c:2584（ID 38 descriptor）</x:v>
      </x:c>
      <x:c r="W44" s="144" t="str">
        <x:v>Dem并发/0x19/ClearDTC、共享镜像、满载与断电一致性。</x:v>
      </x:c>
    </x:row>
    <x:row r="45" ht="54" customHeight="1">
      <x:c r="A45" s="144" t="n">
        <x:v>39</x:v>
      </x:c>
      <x:c r="B45" s="144" t="str">
        <x:v>NVM_ID_DEM_EXTRA_INFO_18</x:v>
      </x:c>
      <x:c r="C45" s="144" t="str">
        <x:v>诊断/故障事件存储</x:v>
      </x:c>
      <x:c r="D45" s="153" t="n">
        <x:v>32</x:v>
      </x:c>
      <x:c r="E45" s="153" t="n">
        <x:v>43018</x:v>
      </x:c>
      <x:c r="F45" s="144" t="str">
        <x:v>NATIVE</x:v>
      </x:c>
      <x:c r="G45" s="144" t="n">
        <x:v>1</x:v>
      </x:c>
      <x:c r="H45" s="144" t="n">
        <x:v>0</x:v>
      </x:c>
      <x:c r="I45" s="144" t="str">
        <x:v>NoCrc</x:v>
      </x:c>
      <x:c r="J45" s="144" t="n">
        <x:v>1</x:v>
      </x:c>
      <x:c r="K45" s="144" t="str">
        <x:v>是</x:v>
      </x:c>
      <x:c r="L45" s="144" t="str">
        <x:v>否</x:v>
      </x:c>
      <x:c r="M45" s="144" t="str">
        <x:v>否</x:v>
      </x:c>
      <x:c r="N45" s="144" t="str">
        <x:v>否</x:v>
      </x:c>
      <x:c r="O45" s="144" t="str">
        <x:v>是</x:v>
      </x:c>
      <x:c r="P45" s="144" t="str">
        <x:v>否</x:v>
      </x:c>
      <x:c r="Q45" s="144" t="str">
        <x:v>否</x:v>
      </x:c>
      <x:c r="R45" s="144" t="str">
        <x:v>Explicit Sync共享镜像</x:v>
      </x:c>
      <x:c r="S45" s="144" t="str">
        <x:v>无ROM默认块</x:v>
      </x:c>
      <x:c r="T45" s="144" t="str">
        <x:v>0x0100</x:v>
      </x:c>
      <x:c r="U45" s="144" t="str">
        <x:v>Fee动态（Bank0/Bank1；块物理地址不固定）</x:v>
      </x:c>
      <x:c r="V45" s="144" t="str">
        <x:v>NvM_Cfg.c:2618（ID 39 descriptor）</x:v>
      </x:c>
      <x:c r="W45" s="144" t="str">
        <x:v>Dem并发/0x19/ClearDTC、共享镜像、满载与断电一致性。</x:v>
      </x:c>
    </x:row>
    <x:row r="46" ht="54" customHeight="1">
      <x:c r="A46" s="144" t="n">
        <x:v>40</x:v>
      </x:c>
      <x:c r="B46" s="144" t="str">
        <x:v>NVM_ID_DEM_EXTRA_INFO_19</x:v>
      </x:c>
      <x:c r="C46" s="144" t="str">
        <x:v>诊断/故障事件存储</x:v>
      </x:c>
      <x:c r="D46" s="153" t="n">
        <x:v>32</x:v>
      </x:c>
      <x:c r="E46" s="153" t="n">
        <x:v>43019</x:v>
      </x:c>
      <x:c r="F46" s="144" t="str">
        <x:v>NATIVE</x:v>
      </x:c>
      <x:c r="G46" s="144" t="n">
        <x:v>1</x:v>
      </x:c>
      <x:c r="H46" s="144" t="n">
        <x:v>0</x:v>
      </x:c>
      <x:c r="I46" s="144" t="str">
        <x:v>NoCrc</x:v>
      </x:c>
      <x:c r="J46" s="144" t="n">
        <x:v>1</x:v>
      </x:c>
      <x:c r="K46" s="144" t="str">
        <x:v>是</x:v>
      </x:c>
      <x:c r="L46" s="144" t="str">
        <x:v>否</x:v>
      </x:c>
      <x:c r="M46" s="144" t="str">
        <x:v>否</x:v>
      </x:c>
      <x:c r="N46" s="144" t="str">
        <x:v>否</x:v>
      </x:c>
      <x:c r="O46" s="144" t="str">
        <x:v>是</x:v>
      </x:c>
      <x:c r="P46" s="144" t="str">
        <x:v>否</x:v>
      </x:c>
      <x:c r="Q46" s="144" t="str">
        <x:v>否</x:v>
      </x:c>
      <x:c r="R46" s="144" t="str">
        <x:v>Explicit Sync共享镜像</x:v>
      </x:c>
      <x:c r="S46" s="144" t="str">
        <x:v>无ROM默认块</x:v>
      </x:c>
      <x:c r="T46" s="144" t="str">
        <x:v>0x0100</x:v>
      </x:c>
      <x:c r="U46" s="144" t="str">
        <x:v>Fee动态（Bank0/Bank1；块物理地址不固定）</x:v>
      </x:c>
      <x:c r="V46" s="144" t="str">
        <x:v>NvM_Cfg.c:2652（ID 40 descriptor）</x:v>
      </x:c>
      <x:c r="W46" s="144" t="str">
        <x:v>Dem并发/0x19/ClearDTC、共享镜像、满载与断电一致性。</x:v>
      </x:c>
    </x:row>
    <x:row r="47" ht="54" customHeight="1">
      <x:c r="A47" s="144" t="n">
        <x:v>41</x:v>
      </x:c>
      <x:c r="B47" s="144" t="str">
        <x:v>NVM_ID_DEM_EXTRA_INFO_2</x:v>
      </x:c>
      <x:c r="C47" s="144" t="str">
        <x:v>诊断/故障事件存储</x:v>
      </x:c>
      <x:c r="D47" s="153" t="n">
        <x:v>32</x:v>
      </x:c>
      <x:c r="E47" s="153" t="n">
        <x:v>43002</x:v>
      </x:c>
      <x:c r="F47" s="144" t="str">
        <x:v>NATIVE</x:v>
      </x:c>
      <x:c r="G47" s="144" t="n">
        <x:v>1</x:v>
      </x:c>
      <x:c r="H47" s="144" t="n">
        <x:v>0</x:v>
      </x:c>
      <x:c r="I47" s="144" t="str">
        <x:v>NoCrc</x:v>
      </x:c>
      <x:c r="J47" s="144" t="n">
        <x:v>1</x:v>
      </x:c>
      <x:c r="K47" s="144" t="str">
        <x:v>是</x:v>
      </x:c>
      <x:c r="L47" s="144" t="str">
        <x:v>否</x:v>
      </x:c>
      <x:c r="M47" s="144" t="str">
        <x:v>否</x:v>
      </x:c>
      <x:c r="N47" s="144" t="str">
        <x:v>否</x:v>
      </x:c>
      <x:c r="O47" s="144" t="str">
        <x:v>是</x:v>
      </x:c>
      <x:c r="P47" s="144" t="str">
        <x:v>否</x:v>
      </x:c>
      <x:c r="Q47" s="144" t="str">
        <x:v>否</x:v>
      </x:c>
      <x:c r="R47" s="144" t="str">
        <x:v>Explicit Sync共享镜像</x:v>
      </x:c>
      <x:c r="S47" s="144" t="str">
        <x:v>无ROM默认块</x:v>
      </x:c>
      <x:c r="T47" s="144" t="str">
        <x:v>0x0100</x:v>
      </x:c>
      <x:c r="U47" s="144" t="str">
        <x:v>Fee动态（Bank0/Bank1；块物理地址不固定）</x:v>
      </x:c>
      <x:c r="V47" s="144" t="str">
        <x:v>NvM_Cfg.c:2686（ID 41 descriptor）</x:v>
      </x:c>
      <x:c r="W47" s="144" t="str">
        <x:v>Dem并发/0x19/ClearDTC、共享镜像、满载与断电一致性。</x:v>
      </x:c>
    </x:row>
    <x:row r="48" ht="54" customHeight="1">
      <x:c r="A48" s="144" t="n">
        <x:v>42</x:v>
      </x:c>
      <x:c r="B48" s="144" t="str">
        <x:v>NVM_ID_DEM_EXTRA_INFO_3</x:v>
      </x:c>
      <x:c r="C48" s="144" t="str">
        <x:v>诊断/故障事件存储</x:v>
      </x:c>
      <x:c r="D48" s="153" t="n">
        <x:v>32</x:v>
      </x:c>
      <x:c r="E48" s="153" t="n">
        <x:v>43003</x:v>
      </x:c>
      <x:c r="F48" s="144" t="str">
        <x:v>NATIVE</x:v>
      </x:c>
      <x:c r="G48" s="144" t="n">
        <x:v>1</x:v>
      </x:c>
      <x:c r="H48" s="144" t="n">
        <x:v>0</x:v>
      </x:c>
      <x:c r="I48" s="144" t="str">
        <x:v>NoCrc</x:v>
      </x:c>
      <x:c r="J48" s="144" t="n">
        <x:v>1</x:v>
      </x:c>
      <x:c r="K48" s="144" t="str">
        <x:v>是</x:v>
      </x:c>
      <x:c r="L48" s="144" t="str">
        <x:v>否</x:v>
      </x:c>
      <x:c r="M48" s="144" t="str">
        <x:v>否</x:v>
      </x:c>
      <x:c r="N48" s="144" t="str">
        <x:v>否</x:v>
      </x:c>
      <x:c r="O48" s="144" t="str">
        <x:v>是</x:v>
      </x:c>
      <x:c r="P48" s="144" t="str">
        <x:v>否</x:v>
      </x:c>
      <x:c r="Q48" s="144" t="str">
        <x:v>否</x:v>
      </x:c>
      <x:c r="R48" s="144" t="str">
        <x:v>Explicit Sync共享镜像</x:v>
      </x:c>
      <x:c r="S48" s="144" t="str">
        <x:v>无ROM默认块</x:v>
      </x:c>
      <x:c r="T48" s="144" t="str">
        <x:v>0x0100</x:v>
      </x:c>
      <x:c r="U48" s="144" t="str">
        <x:v>Fee动态（Bank0/Bank1；块物理地址不固定）</x:v>
      </x:c>
      <x:c r="V48" s="144" t="str">
        <x:v>NvM_Cfg.c:2720（ID 42 descriptor）</x:v>
      </x:c>
      <x:c r="W48" s="144" t="str">
        <x:v>Dem并发/0x19/ClearDTC、共享镜像、满载与断电一致性。</x:v>
      </x:c>
    </x:row>
    <x:row r="49" ht="54" customHeight="1">
      <x:c r="A49" s="144" t="n">
        <x:v>43</x:v>
      </x:c>
      <x:c r="B49" s="144" t="str">
        <x:v>NVM_ID_DEM_EXTRA_INFO_4</x:v>
      </x:c>
      <x:c r="C49" s="144" t="str">
        <x:v>诊断/故障事件存储</x:v>
      </x:c>
      <x:c r="D49" s="153" t="n">
        <x:v>32</x:v>
      </x:c>
      <x:c r="E49" s="153" t="n">
        <x:v>43004</x:v>
      </x:c>
      <x:c r="F49" s="144" t="str">
        <x:v>NATIVE</x:v>
      </x:c>
      <x:c r="G49" s="144" t="n">
        <x:v>1</x:v>
      </x:c>
      <x:c r="H49" s="144" t="n">
        <x:v>0</x:v>
      </x:c>
      <x:c r="I49" s="144" t="str">
        <x:v>NoCrc</x:v>
      </x:c>
      <x:c r="J49" s="144" t="n">
        <x:v>1</x:v>
      </x:c>
      <x:c r="K49" s="144" t="str">
        <x:v>是</x:v>
      </x:c>
      <x:c r="L49" s="144" t="str">
        <x:v>否</x:v>
      </x:c>
      <x:c r="M49" s="144" t="str">
        <x:v>否</x:v>
      </x:c>
      <x:c r="N49" s="144" t="str">
        <x:v>否</x:v>
      </x:c>
      <x:c r="O49" s="144" t="str">
        <x:v>是</x:v>
      </x:c>
      <x:c r="P49" s="144" t="str">
        <x:v>否</x:v>
      </x:c>
      <x:c r="Q49" s="144" t="str">
        <x:v>否</x:v>
      </x:c>
      <x:c r="R49" s="144" t="str">
        <x:v>Explicit Sync共享镜像</x:v>
      </x:c>
      <x:c r="S49" s="144" t="str">
        <x:v>无ROM默认块</x:v>
      </x:c>
      <x:c r="T49" s="144" t="str">
        <x:v>0x0100</x:v>
      </x:c>
      <x:c r="U49" s="144" t="str">
        <x:v>Fee动态（Bank0/Bank1；块物理地址不固定）</x:v>
      </x:c>
      <x:c r="V49" s="144" t="str">
        <x:v>NvM_Cfg.c:2754（ID 43 descriptor）</x:v>
      </x:c>
      <x:c r="W49" s="144" t="str">
        <x:v>Dem并发/0x19/ClearDTC、共享镜像、满载与断电一致性。</x:v>
      </x:c>
    </x:row>
    <x:row r="50" ht="54" customHeight="1">
      <x:c r="A50" s="144" t="n">
        <x:v>44</x:v>
      </x:c>
      <x:c r="B50" s="144" t="str">
        <x:v>NVM_ID_DEM_EXTRA_INFO_5</x:v>
      </x:c>
      <x:c r="C50" s="144" t="str">
        <x:v>诊断/故障事件存储</x:v>
      </x:c>
      <x:c r="D50" s="153" t="n">
        <x:v>32</x:v>
      </x:c>
      <x:c r="E50" s="153" t="n">
        <x:v>43005</x:v>
      </x:c>
      <x:c r="F50" s="144" t="str">
        <x:v>NATIVE</x:v>
      </x:c>
      <x:c r="G50" s="144" t="n">
        <x:v>1</x:v>
      </x:c>
      <x:c r="H50" s="144" t="n">
        <x:v>0</x:v>
      </x:c>
      <x:c r="I50" s="144" t="str">
        <x:v>NoCrc</x:v>
      </x:c>
      <x:c r="J50" s="144" t="n">
        <x:v>1</x:v>
      </x:c>
      <x:c r="K50" s="144" t="str">
        <x:v>是</x:v>
      </x:c>
      <x:c r="L50" s="144" t="str">
        <x:v>否</x:v>
      </x:c>
      <x:c r="M50" s="144" t="str">
        <x:v>否</x:v>
      </x:c>
      <x:c r="N50" s="144" t="str">
        <x:v>否</x:v>
      </x:c>
      <x:c r="O50" s="144" t="str">
        <x:v>是</x:v>
      </x:c>
      <x:c r="P50" s="144" t="str">
        <x:v>否</x:v>
      </x:c>
      <x:c r="Q50" s="144" t="str">
        <x:v>否</x:v>
      </x:c>
      <x:c r="R50" s="144" t="str">
        <x:v>Explicit Sync共享镜像</x:v>
      </x:c>
      <x:c r="S50" s="144" t="str">
        <x:v>无ROM默认块</x:v>
      </x:c>
      <x:c r="T50" s="144" t="str">
        <x:v>0x0100</x:v>
      </x:c>
      <x:c r="U50" s="144" t="str">
        <x:v>Fee动态（Bank0/Bank1；块物理地址不固定）</x:v>
      </x:c>
      <x:c r="V50" s="144" t="str">
        <x:v>NvM_Cfg.c:2788（ID 44 descriptor）</x:v>
      </x:c>
      <x:c r="W50" s="144" t="str">
        <x:v>Dem并发/0x19/ClearDTC、共享镜像、满载与断电一致性。</x:v>
      </x:c>
    </x:row>
    <x:row r="51" ht="54" customHeight="1">
      <x:c r="A51" s="144" t="n">
        <x:v>45</x:v>
      </x:c>
      <x:c r="B51" s="144" t="str">
        <x:v>NVM_ID_DEM_EXTRA_INFO_6</x:v>
      </x:c>
      <x:c r="C51" s="144" t="str">
        <x:v>诊断/故障事件存储</x:v>
      </x:c>
      <x:c r="D51" s="153" t="n">
        <x:v>32</x:v>
      </x:c>
      <x:c r="E51" s="153" t="n">
        <x:v>43006</x:v>
      </x:c>
      <x:c r="F51" s="144" t="str">
        <x:v>NATIVE</x:v>
      </x:c>
      <x:c r="G51" s="144" t="n">
        <x:v>1</x:v>
      </x:c>
      <x:c r="H51" s="144" t="n">
        <x:v>0</x:v>
      </x:c>
      <x:c r="I51" s="144" t="str">
        <x:v>NoCrc</x:v>
      </x:c>
      <x:c r="J51" s="144" t="n">
        <x:v>1</x:v>
      </x:c>
      <x:c r="K51" s="144" t="str">
        <x:v>是</x:v>
      </x:c>
      <x:c r="L51" s="144" t="str">
        <x:v>否</x:v>
      </x:c>
      <x:c r="M51" s="144" t="str">
        <x:v>否</x:v>
      </x:c>
      <x:c r="N51" s="144" t="str">
        <x:v>否</x:v>
      </x:c>
      <x:c r="O51" s="144" t="str">
        <x:v>是</x:v>
      </x:c>
      <x:c r="P51" s="144" t="str">
        <x:v>否</x:v>
      </x:c>
      <x:c r="Q51" s="144" t="str">
        <x:v>否</x:v>
      </x:c>
      <x:c r="R51" s="144" t="str">
        <x:v>Explicit Sync共享镜像</x:v>
      </x:c>
      <x:c r="S51" s="144" t="str">
        <x:v>无ROM默认块</x:v>
      </x:c>
      <x:c r="T51" s="144" t="str">
        <x:v>0x0100</x:v>
      </x:c>
      <x:c r="U51" s="144" t="str">
        <x:v>Fee动态（Bank0/Bank1；块物理地址不固定）</x:v>
      </x:c>
      <x:c r="V51" s="144" t="str">
        <x:v>NvM_Cfg.c:2822（ID 45 descriptor）</x:v>
      </x:c>
      <x:c r="W51" s="144" t="str">
        <x:v>Dem并发/0x19/ClearDTC、共享镜像、满载与断电一致性。</x:v>
      </x:c>
    </x:row>
    <x:row r="52" ht="54" customHeight="1">
      <x:c r="A52" s="144" t="n">
        <x:v>46</x:v>
      </x:c>
      <x:c r="B52" s="144" t="str">
        <x:v>NVM_ID_DEM_EXTRA_INFO_7</x:v>
      </x:c>
      <x:c r="C52" s="144" t="str">
        <x:v>诊断/故障事件存储</x:v>
      </x:c>
      <x:c r="D52" s="153" t="n">
        <x:v>32</x:v>
      </x:c>
      <x:c r="E52" s="153" t="n">
        <x:v>43007</x:v>
      </x:c>
      <x:c r="F52" s="144" t="str">
        <x:v>NATIVE</x:v>
      </x:c>
      <x:c r="G52" s="144" t="n">
        <x:v>1</x:v>
      </x:c>
      <x:c r="H52" s="144" t="n">
        <x:v>0</x:v>
      </x:c>
      <x:c r="I52" s="144" t="str">
        <x:v>NoCrc</x:v>
      </x:c>
      <x:c r="J52" s="144" t="n">
        <x:v>1</x:v>
      </x:c>
      <x:c r="K52" s="144" t="str">
        <x:v>是</x:v>
      </x:c>
      <x:c r="L52" s="144" t="str">
        <x:v>否</x:v>
      </x:c>
      <x:c r="M52" s="144" t="str">
        <x:v>否</x:v>
      </x:c>
      <x:c r="N52" s="144" t="str">
        <x:v>否</x:v>
      </x:c>
      <x:c r="O52" s="144" t="str">
        <x:v>是</x:v>
      </x:c>
      <x:c r="P52" s="144" t="str">
        <x:v>否</x:v>
      </x:c>
      <x:c r="Q52" s="144" t="str">
        <x:v>否</x:v>
      </x:c>
      <x:c r="R52" s="144" t="str">
        <x:v>Explicit Sync共享镜像</x:v>
      </x:c>
      <x:c r="S52" s="144" t="str">
        <x:v>无ROM默认块</x:v>
      </x:c>
      <x:c r="T52" s="144" t="str">
        <x:v>0x0100</x:v>
      </x:c>
      <x:c r="U52" s="144" t="str">
        <x:v>Fee动态（Bank0/Bank1；块物理地址不固定）</x:v>
      </x:c>
      <x:c r="V52" s="144" t="str">
        <x:v>NvM_Cfg.c:2856（ID 46 descriptor）</x:v>
      </x:c>
      <x:c r="W52" s="144" t="str">
        <x:v>Dem并发/0x19/ClearDTC、共享镜像、满载与断电一致性。</x:v>
      </x:c>
    </x:row>
    <x:row r="53" ht="54" customHeight="1">
      <x:c r="A53" s="144" t="n">
        <x:v>47</x:v>
      </x:c>
      <x:c r="B53" s="144" t="str">
        <x:v>NVM_ID_DEM_EXTRA_INFO_8</x:v>
      </x:c>
      <x:c r="C53" s="144" t="str">
        <x:v>诊断/故障事件存储</x:v>
      </x:c>
      <x:c r="D53" s="153" t="n">
        <x:v>32</x:v>
      </x:c>
      <x:c r="E53" s="153" t="n">
        <x:v>43008</x:v>
      </x:c>
      <x:c r="F53" s="144" t="str">
        <x:v>NATIVE</x:v>
      </x:c>
      <x:c r="G53" s="144" t="n">
        <x:v>1</x:v>
      </x:c>
      <x:c r="H53" s="144" t="n">
        <x:v>0</x:v>
      </x:c>
      <x:c r="I53" s="144" t="str">
        <x:v>NoCrc</x:v>
      </x:c>
      <x:c r="J53" s="144" t="n">
        <x:v>1</x:v>
      </x:c>
      <x:c r="K53" s="144" t="str">
        <x:v>是</x:v>
      </x:c>
      <x:c r="L53" s="144" t="str">
        <x:v>否</x:v>
      </x:c>
      <x:c r="M53" s="144" t="str">
        <x:v>否</x:v>
      </x:c>
      <x:c r="N53" s="144" t="str">
        <x:v>否</x:v>
      </x:c>
      <x:c r="O53" s="144" t="str">
        <x:v>是</x:v>
      </x:c>
      <x:c r="P53" s="144" t="str">
        <x:v>否</x:v>
      </x:c>
      <x:c r="Q53" s="144" t="str">
        <x:v>否</x:v>
      </x:c>
      <x:c r="R53" s="144" t="str">
        <x:v>Explicit Sync共享镜像</x:v>
      </x:c>
      <x:c r="S53" s="144" t="str">
        <x:v>无ROM默认块</x:v>
      </x:c>
      <x:c r="T53" s="144" t="str">
        <x:v>0x0100</x:v>
      </x:c>
      <x:c r="U53" s="144" t="str">
        <x:v>Fee动态（Bank0/Bank1；块物理地址不固定）</x:v>
      </x:c>
      <x:c r="V53" s="144" t="str">
        <x:v>NvM_Cfg.c:2890（ID 47 descriptor）</x:v>
      </x:c>
      <x:c r="W53" s="144" t="str">
        <x:v>Dem并发/0x19/ClearDTC、共享镜像、满载与断电一致性。</x:v>
      </x:c>
    </x:row>
    <x:row r="54" ht="54" customHeight="1">
      <x:c r="A54" s="144" t="n">
        <x:v>48</x:v>
      </x:c>
      <x:c r="B54" s="144" t="str">
        <x:v>NVM_ID_DEM_EXTRA_INFO_9</x:v>
      </x:c>
      <x:c r="C54" s="144" t="str">
        <x:v>诊断/故障事件存储</x:v>
      </x:c>
      <x:c r="D54" s="153" t="n">
        <x:v>32</x:v>
      </x:c>
      <x:c r="E54" s="153" t="n">
        <x:v>43009</x:v>
      </x:c>
      <x:c r="F54" s="144" t="str">
        <x:v>NATIVE</x:v>
      </x:c>
      <x:c r="G54" s="144" t="n">
        <x:v>1</x:v>
      </x:c>
      <x:c r="H54" s="144" t="n">
        <x:v>0</x:v>
      </x:c>
      <x:c r="I54" s="144" t="str">
        <x:v>NoCrc</x:v>
      </x:c>
      <x:c r="J54" s="144" t="n">
        <x:v>1</x:v>
      </x:c>
      <x:c r="K54" s="144" t="str">
        <x:v>是</x:v>
      </x:c>
      <x:c r="L54" s="144" t="str">
        <x:v>否</x:v>
      </x:c>
      <x:c r="M54" s="144" t="str">
        <x:v>否</x:v>
      </x:c>
      <x:c r="N54" s="144" t="str">
        <x:v>否</x:v>
      </x:c>
      <x:c r="O54" s="144" t="str">
        <x:v>是</x:v>
      </x:c>
      <x:c r="P54" s="144" t="str">
        <x:v>否</x:v>
      </x:c>
      <x:c r="Q54" s="144" t="str">
        <x:v>否</x:v>
      </x:c>
      <x:c r="R54" s="144" t="str">
        <x:v>Explicit Sync共享镜像</x:v>
      </x:c>
      <x:c r="S54" s="144" t="str">
        <x:v>无ROM默认块</x:v>
      </x:c>
      <x:c r="T54" s="144" t="str">
        <x:v>0x0100</x:v>
      </x:c>
      <x:c r="U54" s="144" t="str">
        <x:v>Fee动态（Bank0/Bank1；块物理地址不固定）</x:v>
      </x:c>
      <x:c r="V54" s="144" t="str">
        <x:v>NvM_Cfg.c:2924（ID 48 descriptor）</x:v>
      </x:c>
      <x:c r="W54" s="144" t="str">
        <x:v>Dem并发/0x19/ClearDTC、共享镜像、满载与断电一致性。</x:v>
      </x:c>
    </x:row>
    <x:row r="55" ht="54" customHeight="1">
      <x:c r="A55" s="144" t="n">
        <x:v>49</x:v>
      </x:c>
      <x:c r="B55" s="144" t="str">
        <x:v>NVM_ID_DEM_GENERIC_NV_DATA</x:v>
      </x:c>
      <x:c r="C55" s="144" t="str">
        <x:v>诊断/故障事件存储</x:v>
      </x:c>
      <x:c r="D55" s="153" t="n">
        <x:v>16</x:v>
      </x:c>
      <x:c r="E55" s="153" t="n">
        <x:v>42790</x:v>
      </x:c>
      <x:c r="F55" s="144" t="str">
        <x:v>NATIVE</x:v>
      </x:c>
      <x:c r="G55" s="144" t="n">
        <x:v>1</x:v>
      </x:c>
      <x:c r="H55" s="144" t="n">
        <x:v>0</x:v>
      </x:c>
      <x:c r="I55" s="144" t="str">
        <x:v>NoCrc</x:v>
      </x:c>
      <x:c r="J55" s="144" t="n">
        <x:v>1</x:v>
      </x:c>
      <x:c r="K55" s="144" t="str">
        <x:v>是</x:v>
      </x:c>
      <x:c r="L55" s="144" t="str">
        <x:v>否</x:v>
      </x:c>
      <x:c r="M55" s="144" t="str">
        <x:v>否</x:v>
      </x:c>
      <x:c r="N55" s="144" t="str">
        <x:v>否</x:v>
      </x:c>
      <x:c r="O55" s="144" t="str">
        <x:v>是</x:v>
      </x:c>
      <x:c r="P55" s="144" t="str">
        <x:v>否</x:v>
      </x:c>
      <x:c r="Q55" s="144" t="str">
        <x:v>否</x:v>
      </x:c>
      <x:c r="R55" s="144" t="str">
        <x:v>Explicit Sync共享镜像</x:v>
      </x:c>
      <x:c r="S55" s="144" t="str">
        <x:v>无ROM默认块</x:v>
      </x:c>
      <x:c r="T55" s="144" t="str">
        <x:v>0x0100</x:v>
      </x:c>
      <x:c r="U55" s="144" t="str">
        <x:v>Fee动态（Bank0/Bank1；块物理地址不固定）</x:v>
      </x:c>
      <x:c r="V55" s="144" t="str">
        <x:v>NvM_Cfg.c:2958（ID 49 descriptor）</x:v>
      </x:c>
      <x:c r="W55" s="144" t="str">
        <x:v>Dem并发/0x19/ClearDTC、共享镜像、满载与断电一致性。</x:v>
      </x:c>
    </x:row>
    <x:row r="56" ht="54" customHeight="1">
      <x:c r="A56" s="144" t="n">
        <x:v>50</x:v>
      </x:c>
      <x:c r="B56" s="144" t="str">
        <x:v>NVM_ID_EVMEM_LOC_0</x:v>
      </x:c>
      <x:c r="C56" s="144" t="str">
        <x:v>诊断/故障事件存储</x:v>
      </x:c>
      <x:c r="D56" s="153" t="n">
        <x:v>48</x:v>
      </x:c>
      <x:c r="E56" s="153" t="n">
        <x:v>42770</x:v>
      </x:c>
      <x:c r="F56" s="144" t="str">
        <x:v>NATIVE</x:v>
      </x:c>
      <x:c r="G56" s="144" t="n">
        <x:v>1</x:v>
      </x:c>
      <x:c r="H56" s="144" t="n">
        <x:v>0</x:v>
      </x:c>
      <x:c r="I56" s="144" t="str">
        <x:v>NoCrc</x:v>
      </x:c>
      <x:c r="J56" s="144" t="n">
        <x:v>1</x:v>
      </x:c>
      <x:c r="K56" s="144" t="str">
        <x:v>是</x:v>
      </x:c>
      <x:c r="L56" s="144" t="str">
        <x:v>否</x:v>
      </x:c>
      <x:c r="M56" s="144" t="str">
        <x:v>否</x:v>
      </x:c>
      <x:c r="N56" s="144" t="str">
        <x:v>否</x:v>
      </x:c>
      <x:c r="O56" s="144" t="str">
        <x:v>是</x:v>
      </x:c>
      <x:c r="P56" s="144" t="str">
        <x:v>否</x:v>
      </x:c>
      <x:c r="Q56" s="144" t="str">
        <x:v>否</x:v>
      </x:c>
      <x:c r="R56" s="144" t="str">
        <x:v>Explicit Sync共享镜像</x:v>
      </x:c>
      <x:c r="S56" s="144" t="str">
        <x:v>无ROM默认块</x:v>
      </x:c>
      <x:c r="T56" s="144" t="str">
        <x:v>0x0100</x:v>
      </x:c>
      <x:c r="U56" s="144" t="str">
        <x:v>Fee动态（Bank0/Bank1；块物理地址不固定）</x:v>
      </x:c>
      <x:c r="V56" s="144" t="str">
        <x:v>NvM_Cfg.c:2992（ID 50 descriptor）</x:v>
      </x:c>
      <x:c r="W56" s="144" t="str">
        <x:v>Dem并发/0x19/ClearDTC、共享镜像、满载与断电一致性。</x:v>
      </x:c>
    </x:row>
    <x:row r="57" ht="54" customHeight="1">
      <x:c r="A57" s="144" t="n">
        <x:v>51</x:v>
      </x:c>
      <x:c r="B57" s="144" t="str">
        <x:v>NVM_ID_EVMEM_LOC_1</x:v>
      </x:c>
      <x:c r="C57" s="144" t="str">
        <x:v>诊断/故障事件存储</x:v>
      </x:c>
      <x:c r="D57" s="153" t="n">
        <x:v>48</x:v>
      </x:c>
      <x:c r="E57" s="153" t="n">
        <x:v>42771</x:v>
      </x:c>
      <x:c r="F57" s="144" t="str">
        <x:v>NATIVE</x:v>
      </x:c>
      <x:c r="G57" s="144" t="n">
        <x:v>1</x:v>
      </x:c>
      <x:c r="H57" s="144" t="n">
        <x:v>0</x:v>
      </x:c>
      <x:c r="I57" s="144" t="str">
        <x:v>NoCrc</x:v>
      </x:c>
      <x:c r="J57" s="144" t="n">
        <x:v>1</x:v>
      </x:c>
      <x:c r="K57" s="144" t="str">
        <x:v>是</x:v>
      </x:c>
      <x:c r="L57" s="144" t="str">
        <x:v>否</x:v>
      </x:c>
      <x:c r="M57" s="144" t="str">
        <x:v>否</x:v>
      </x:c>
      <x:c r="N57" s="144" t="str">
        <x:v>否</x:v>
      </x:c>
      <x:c r="O57" s="144" t="str">
        <x:v>是</x:v>
      </x:c>
      <x:c r="P57" s="144" t="str">
        <x:v>否</x:v>
      </x:c>
      <x:c r="Q57" s="144" t="str">
        <x:v>否</x:v>
      </x:c>
      <x:c r="R57" s="144" t="str">
        <x:v>Explicit Sync共享镜像</x:v>
      </x:c>
      <x:c r="S57" s="144" t="str">
        <x:v>无ROM默认块</x:v>
      </x:c>
      <x:c r="T57" s="144" t="str">
        <x:v>0x0100</x:v>
      </x:c>
      <x:c r="U57" s="144" t="str">
        <x:v>Fee动态（Bank0/Bank1；块物理地址不固定）</x:v>
      </x:c>
      <x:c r="V57" s="144" t="str">
        <x:v>NvM_Cfg.c:3026（ID 51 descriptor）</x:v>
      </x:c>
      <x:c r="W57" s="144" t="str">
        <x:v>Dem并发/0x19/ClearDTC、共享镜像、满载与断电一致性。</x:v>
      </x:c>
    </x:row>
    <x:row r="58" ht="54" customHeight="1">
      <x:c r="A58" s="144" t="n">
        <x:v>52</x:v>
      </x:c>
      <x:c r="B58" s="144" t="str">
        <x:v>NVM_ID_EVMEM_LOC_10</x:v>
      </x:c>
      <x:c r="C58" s="144" t="str">
        <x:v>诊断/故障事件存储</x:v>
      </x:c>
      <x:c r="D58" s="153" t="n">
        <x:v>48</x:v>
      </x:c>
      <x:c r="E58" s="153" t="n">
        <x:v>42780</x:v>
      </x:c>
      <x:c r="F58" s="144" t="str">
        <x:v>NATIVE</x:v>
      </x:c>
      <x:c r="G58" s="144" t="n">
        <x:v>1</x:v>
      </x:c>
      <x:c r="H58" s="144" t="n">
        <x:v>0</x:v>
      </x:c>
      <x:c r="I58" s="144" t="str">
        <x:v>NoCrc</x:v>
      </x:c>
      <x:c r="J58" s="144" t="n">
        <x:v>1</x:v>
      </x:c>
      <x:c r="K58" s="144" t="str">
        <x:v>是</x:v>
      </x:c>
      <x:c r="L58" s="144" t="str">
        <x:v>否</x:v>
      </x:c>
      <x:c r="M58" s="144" t="str">
        <x:v>否</x:v>
      </x:c>
      <x:c r="N58" s="144" t="str">
        <x:v>否</x:v>
      </x:c>
      <x:c r="O58" s="144" t="str">
        <x:v>是</x:v>
      </x:c>
      <x:c r="P58" s="144" t="str">
        <x:v>否</x:v>
      </x:c>
      <x:c r="Q58" s="144" t="str">
        <x:v>否</x:v>
      </x:c>
      <x:c r="R58" s="144" t="str">
        <x:v>Explicit Sync共享镜像</x:v>
      </x:c>
      <x:c r="S58" s="144" t="str">
        <x:v>无ROM默认块</x:v>
      </x:c>
      <x:c r="T58" s="144" t="str">
        <x:v>0x0100</x:v>
      </x:c>
      <x:c r="U58" s="144" t="str">
        <x:v>Fee动态（Bank0/Bank1；块物理地址不固定）</x:v>
      </x:c>
      <x:c r="V58" s="144" t="str">
        <x:v>NvM_Cfg.c:3060（ID 52 descriptor）</x:v>
      </x:c>
      <x:c r="W58" s="144" t="str">
        <x:v>Dem并发/0x19/ClearDTC、共享镜像、满载与断电一致性。</x:v>
      </x:c>
    </x:row>
    <x:row r="59" ht="54" customHeight="1">
      <x:c r="A59" s="144" t="n">
        <x:v>53</x:v>
      </x:c>
      <x:c r="B59" s="144" t="str">
        <x:v>NVM_ID_EVMEM_LOC_11</x:v>
      </x:c>
      <x:c r="C59" s="144" t="str">
        <x:v>诊断/故障事件存储</x:v>
      </x:c>
      <x:c r="D59" s="153" t="n">
        <x:v>48</x:v>
      </x:c>
      <x:c r="E59" s="153" t="n">
        <x:v>42781</x:v>
      </x:c>
      <x:c r="F59" s="144" t="str">
        <x:v>NATIVE</x:v>
      </x:c>
      <x:c r="G59" s="144" t="n">
        <x:v>1</x:v>
      </x:c>
      <x:c r="H59" s="144" t="n">
        <x:v>0</x:v>
      </x:c>
      <x:c r="I59" s="144" t="str">
        <x:v>NoCrc</x:v>
      </x:c>
      <x:c r="J59" s="144" t="n">
        <x:v>1</x:v>
      </x:c>
      <x:c r="K59" s="144" t="str">
        <x:v>是</x:v>
      </x:c>
      <x:c r="L59" s="144" t="str">
        <x:v>否</x:v>
      </x:c>
      <x:c r="M59" s="144" t="str">
        <x:v>否</x:v>
      </x:c>
      <x:c r="N59" s="144" t="str">
        <x:v>否</x:v>
      </x:c>
      <x:c r="O59" s="144" t="str">
        <x:v>是</x:v>
      </x:c>
      <x:c r="P59" s="144" t="str">
        <x:v>否</x:v>
      </x:c>
      <x:c r="Q59" s="144" t="str">
        <x:v>否</x:v>
      </x:c>
      <x:c r="R59" s="144" t="str">
        <x:v>Explicit Sync共享镜像</x:v>
      </x:c>
      <x:c r="S59" s="144" t="str">
        <x:v>无ROM默认块</x:v>
      </x:c>
      <x:c r="T59" s="144" t="str">
        <x:v>0x0100</x:v>
      </x:c>
      <x:c r="U59" s="144" t="str">
        <x:v>Fee动态（Bank0/Bank1；块物理地址不固定）</x:v>
      </x:c>
      <x:c r="V59" s="144" t="str">
        <x:v>NvM_Cfg.c:3094（ID 53 descriptor）</x:v>
      </x:c>
      <x:c r="W59" s="144" t="str">
        <x:v>Dem并发/0x19/ClearDTC、共享镜像、满载与断电一致性。</x:v>
      </x:c>
    </x:row>
    <x:row r="60" ht="54" customHeight="1">
      <x:c r="A60" s="144" t="n">
        <x:v>54</x:v>
      </x:c>
      <x:c r="B60" s="144" t="str">
        <x:v>NVM_ID_EVMEM_LOC_12</x:v>
      </x:c>
      <x:c r="C60" s="144" t="str">
        <x:v>诊断/故障事件存储</x:v>
      </x:c>
      <x:c r="D60" s="153" t="n">
        <x:v>48</x:v>
      </x:c>
      <x:c r="E60" s="153" t="n">
        <x:v>42782</x:v>
      </x:c>
      <x:c r="F60" s="144" t="str">
        <x:v>NATIVE</x:v>
      </x:c>
      <x:c r="G60" s="144" t="n">
        <x:v>1</x:v>
      </x:c>
      <x:c r="H60" s="144" t="n">
        <x:v>0</x:v>
      </x:c>
      <x:c r="I60" s="144" t="str">
        <x:v>NoCrc</x:v>
      </x:c>
      <x:c r="J60" s="144" t="n">
        <x:v>1</x:v>
      </x:c>
      <x:c r="K60" s="144" t="str">
        <x:v>是</x:v>
      </x:c>
      <x:c r="L60" s="144" t="str">
        <x:v>否</x:v>
      </x:c>
      <x:c r="M60" s="144" t="str">
        <x:v>否</x:v>
      </x:c>
      <x:c r="N60" s="144" t="str">
        <x:v>否</x:v>
      </x:c>
      <x:c r="O60" s="144" t="str">
        <x:v>是</x:v>
      </x:c>
      <x:c r="P60" s="144" t="str">
        <x:v>否</x:v>
      </x:c>
      <x:c r="Q60" s="144" t="str">
        <x:v>否</x:v>
      </x:c>
      <x:c r="R60" s="144" t="str">
        <x:v>Explicit Sync共享镜像</x:v>
      </x:c>
      <x:c r="S60" s="144" t="str">
        <x:v>无ROM默认块</x:v>
      </x:c>
      <x:c r="T60" s="144" t="str">
        <x:v>0x0100</x:v>
      </x:c>
      <x:c r="U60" s="144" t="str">
        <x:v>Fee动态（Bank0/Bank1；块物理地址不固定）</x:v>
      </x:c>
      <x:c r="V60" s="144" t="str">
        <x:v>NvM_Cfg.c:3128（ID 54 descriptor）</x:v>
      </x:c>
      <x:c r="W60" s="144" t="str">
        <x:v>Dem并发/0x19/ClearDTC、共享镜像、满载与断电一致性。</x:v>
      </x:c>
    </x:row>
    <x:row r="61" ht="54" customHeight="1">
      <x:c r="A61" s="144" t="n">
        <x:v>55</x:v>
      </x:c>
      <x:c r="B61" s="144" t="str">
        <x:v>NVM_ID_EVMEM_LOC_13</x:v>
      </x:c>
      <x:c r="C61" s="144" t="str">
        <x:v>诊断/故障事件存储</x:v>
      </x:c>
      <x:c r="D61" s="153" t="n">
        <x:v>48</x:v>
      </x:c>
      <x:c r="E61" s="153" t="n">
        <x:v>42783</x:v>
      </x:c>
      <x:c r="F61" s="144" t="str">
        <x:v>NATIVE</x:v>
      </x:c>
      <x:c r="G61" s="144" t="n">
        <x:v>1</x:v>
      </x:c>
      <x:c r="H61" s="144" t="n">
        <x:v>0</x:v>
      </x:c>
      <x:c r="I61" s="144" t="str">
        <x:v>NoCrc</x:v>
      </x:c>
      <x:c r="J61" s="144" t="n">
        <x:v>1</x:v>
      </x:c>
      <x:c r="K61" s="144" t="str">
        <x:v>是</x:v>
      </x:c>
      <x:c r="L61" s="144" t="str">
        <x:v>否</x:v>
      </x:c>
      <x:c r="M61" s="144" t="str">
        <x:v>否</x:v>
      </x:c>
      <x:c r="N61" s="144" t="str">
        <x:v>否</x:v>
      </x:c>
      <x:c r="O61" s="144" t="str">
        <x:v>是</x:v>
      </x:c>
      <x:c r="P61" s="144" t="str">
        <x:v>否</x:v>
      </x:c>
      <x:c r="Q61" s="144" t="str">
        <x:v>否</x:v>
      </x:c>
      <x:c r="R61" s="144" t="str">
        <x:v>Explicit Sync共享镜像</x:v>
      </x:c>
      <x:c r="S61" s="144" t="str">
        <x:v>无ROM默认块</x:v>
      </x:c>
      <x:c r="T61" s="144" t="str">
        <x:v>0x0100</x:v>
      </x:c>
      <x:c r="U61" s="144" t="str">
        <x:v>Fee动态（Bank0/Bank1；块物理地址不固定）</x:v>
      </x:c>
      <x:c r="V61" s="144" t="str">
        <x:v>NvM_Cfg.c:3162（ID 55 descriptor）</x:v>
      </x:c>
      <x:c r="W61" s="144" t="str">
        <x:v>Dem并发/0x19/ClearDTC、共享镜像、满载与断电一致性。</x:v>
      </x:c>
    </x:row>
    <x:row r="62" ht="54" customHeight="1">
      <x:c r="A62" s="144" t="n">
        <x:v>56</x:v>
      </x:c>
      <x:c r="B62" s="144" t="str">
        <x:v>NVM_ID_EVMEM_LOC_14</x:v>
      </x:c>
      <x:c r="C62" s="144" t="str">
        <x:v>诊断/故障事件存储</x:v>
      </x:c>
      <x:c r="D62" s="153" t="n">
        <x:v>48</x:v>
      </x:c>
      <x:c r="E62" s="153" t="n">
        <x:v>42784</x:v>
      </x:c>
      <x:c r="F62" s="144" t="str">
        <x:v>NATIVE</x:v>
      </x:c>
      <x:c r="G62" s="144" t="n">
        <x:v>1</x:v>
      </x:c>
      <x:c r="H62" s="144" t="n">
        <x:v>0</x:v>
      </x:c>
      <x:c r="I62" s="144" t="str">
        <x:v>NoCrc</x:v>
      </x:c>
      <x:c r="J62" s="144" t="n">
        <x:v>1</x:v>
      </x:c>
      <x:c r="K62" s="144" t="str">
        <x:v>是</x:v>
      </x:c>
      <x:c r="L62" s="144" t="str">
        <x:v>否</x:v>
      </x:c>
      <x:c r="M62" s="144" t="str">
        <x:v>否</x:v>
      </x:c>
      <x:c r="N62" s="144" t="str">
        <x:v>否</x:v>
      </x:c>
      <x:c r="O62" s="144" t="str">
        <x:v>是</x:v>
      </x:c>
      <x:c r="P62" s="144" t="str">
        <x:v>否</x:v>
      </x:c>
      <x:c r="Q62" s="144" t="str">
        <x:v>否</x:v>
      </x:c>
      <x:c r="R62" s="144" t="str">
        <x:v>Explicit Sync共享镜像</x:v>
      </x:c>
      <x:c r="S62" s="144" t="str">
        <x:v>无ROM默认块</x:v>
      </x:c>
      <x:c r="T62" s="144" t="str">
        <x:v>0x0100</x:v>
      </x:c>
      <x:c r="U62" s="144" t="str">
        <x:v>Fee动态（Bank0/Bank1；块物理地址不固定）</x:v>
      </x:c>
      <x:c r="V62" s="144" t="str">
        <x:v>NvM_Cfg.c:3196（ID 56 descriptor）</x:v>
      </x:c>
      <x:c r="W62" s="144" t="str">
        <x:v>Dem并发/0x19/ClearDTC、共享镜像、满载与断电一致性。</x:v>
      </x:c>
    </x:row>
    <x:row r="63" ht="54" customHeight="1">
      <x:c r="A63" s="144" t="n">
        <x:v>57</x:v>
      </x:c>
      <x:c r="B63" s="144" t="str">
        <x:v>NVM_ID_EVMEM_LOC_15</x:v>
      </x:c>
      <x:c r="C63" s="144" t="str">
        <x:v>诊断/故障事件存储</x:v>
      </x:c>
      <x:c r="D63" s="153" t="n">
        <x:v>48</x:v>
      </x:c>
      <x:c r="E63" s="153" t="n">
        <x:v>42785</x:v>
      </x:c>
      <x:c r="F63" s="144" t="str">
        <x:v>NATIVE</x:v>
      </x:c>
      <x:c r="G63" s="144" t="n">
        <x:v>1</x:v>
      </x:c>
      <x:c r="H63" s="144" t="n">
        <x:v>0</x:v>
      </x:c>
      <x:c r="I63" s="144" t="str">
        <x:v>NoCrc</x:v>
      </x:c>
      <x:c r="J63" s="144" t="n">
        <x:v>1</x:v>
      </x:c>
      <x:c r="K63" s="144" t="str">
        <x:v>是</x:v>
      </x:c>
      <x:c r="L63" s="144" t="str">
        <x:v>否</x:v>
      </x:c>
      <x:c r="M63" s="144" t="str">
        <x:v>否</x:v>
      </x:c>
      <x:c r="N63" s="144" t="str">
        <x:v>否</x:v>
      </x:c>
      <x:c r="O63" s="144" t="str">
        <x:v>是</x:v>
      </x:c>
      <x:c r="P63" s="144" t="str">
        <x:v>否</x:v>
      </x:c>
      <x:c r="Q63" s="144" t="str">
        <x:v>否</x:v>
      </x:c>
      <x:c r="R63" s="144" t="str">
        <x:v>Explicit Sync共享镜像</x:v>
      </x:c>
      <x:c r="S63" s="144" t="str">
        <x:v>无ROM默认块</x:v>
      </x:c>
      <x:c r="T63" s="144" t="str">
        <x:v>0x0100</x:v>
      </x:c>
      <x:c r="U63" s="144" t="str">
        <x:v>Fee动态（Bank0/Bank1；块物理地址不固定）</x:v>
      </x:c>
      <x:c r="V63" s="144" t="str">
        <x:v>NvM_Cfg.c:3230（ID 57 descriptor）</x:v>
      </x:c>
      <x:c r="W63" s="144" t="str">
        <x:v>Dem并发/0x19/ClearDTC、共享镜像、满载与断电一致性。</x:v>
      </x:c>
    </x:row>
    <x:row r="64" ht="54" customHeight="1">
      <x:c r="A64" s="144" t="n">
        <x:v>58</x:v>
      </x:c>
      <x:c r="B64" s="144" t="str">
        <x:v>NVM_ID_EVMEM_LOC_16</x:v>
      </x:c>
      <x:c r="C64" s="144" t="str">
        <x:v>诊断/故障事件存储</x:v>
      </x:c>
      <x:c r="D64" s="153" t="n">
        <x:v>48</x:v>
      </x:c>
      <x:c r="E64" s="153" t="n">
        <x:v>42786</x:v>
      </x:c>
      <x:c r="F64" s="144" t="str">
        <x:v>NATIVE</x:v>
      </x:c>
      <x:c r="G64" s="144" t="n">
        <x:v>1</x:v>
      </x:c>
      <x:c r="H64" s="144" t="n">
        <x:v>0</x:v>
      </x:c>
      <x:c r="I64" s="144" t="str">
        <x:v>NoCrc</x:v>
      </x:c>
      <x:c r="J64" s="144" t="n">
        <x:v>1</x:v>
      </x:c>
      <x:c r="K64" s="144" t="str">
        <x:v>是</x:v>
      </x:c>
      <x:c r="L64" s="144" t="str">
        <x:v>否</x:v>
      </x:c>
      <x:c r="M64" s="144" t="str">
        <x:v>否</x:v>
      </x:c>
      <x:c r="N64" s="144" t="str">
        <x:v>否</x:v>
      </x:c>
      <x:c r="O64" s="144" t="str">
        <x:v>是</x:v>
      </x:c>
      <x:c r="P64" s="144" t="str">
        <x:v>否</x:v>
      </x:c>
      <x:c r="Q64" s="144" t="str">
        <x:v>否</x:v>
      </x:c>
      <x:c r="R64" s="144" t="str">
        <x:v>Explicit Sync共享镜像</x:v>
      </x:c>
      <x:c r="S64" s="144" t="str">
        <x:v>无ROM默认块</x:v>
      </x:c>
      <x:c r="T64" s="144" t="str">
        <x:v>0x0100</x:v>
      </x:c>
      <x:c r="U64" s="144" t="str">
        <x:v>Fee动态（Bank0/Bank1；块物理地址不固定）</x:v>
      </x:c>
      <x:c r="V64" s="144" t="str">
        <x:v>NvM_Cfg.c:3264（ID 58 descriptor）</x:v>
      </x:c>
      <x:c r="W64" s="144" t="str">
        <x:v>Dem并发/0x19/ClearDTC、共享镜像、满载与断电一致性。</x:v>
      </x:c>
    </x:row>
    <x:row r="65" ht="54" customHeight="1">
      <x:c r="A65" s="144" t="n">
        <x:v>59</x:v>
      </x:c>
      <x:c r="B65" s="144" t="str">
        <x:v>NVM_ID_EVMEM_LOC_17</x:v>
      </x:c>
      <x:c r="C65" s="144" t="str">
        <x:v>诊断/故障事件存储</x:v>
      </x:c>
      <x:c r="D65" s="153" t="n">
        <x:v>48</x:v>
      </x:c>
      <x:c r="E65" s="153" t="n">
        <x:v>42787</x:v>
      </x:c>
      <x:c r="F65" s="144" t="str">
        <x:v>NATIVE</x:v>
      </x:c>
      <x:c r="G65" s="144" t="n">
        <x:v>1</x:v>
      </x:c>
      <x:c r="H65" s="144" t="n">
        <x:v>0</x:v>
      </x:c>
      <x:c r="I65" s="144" t="str">
        <x:v>NoCrc</x:v>
      </x:c>
      <x:c r="J65" s="144" t="n">
        <x:v>1</x:v>
      </x:c>
      <x:c r="K65" s="144" t="str">
        <x:v>是</x:v>
      </x:c>
      <x:c r="L65" s="144" t="str">
        <x:v>否</x:v>
      </x:c>
      <x:c r="M65" s="144" t="str">
        <x:v>否</x:v>
      </x:c>
      <x:c r="N65" s="144" t="str">
        <x:v>否</x:v>
      </x:c>
      <x:c r="O65" s="144" t="str">
        <x:v>是</x:v>
      </x:c>
      <x:c r="P65" s="144" t="str">
        <x:v>否</x:v>
      </x:c>
      <x:c r="Q65" s="144" t="str">
        <x:v>否</x:v>
      </x:c>
      <x:c r="R65" s="144" t="str">
        <x:v>Explicit Sync共享镜像</x:v>
      </x:c>
      <x:c r="S65" s="144" t="str">
        <x:v>无ROM默认块</x:v>
      </x:c>
      <x:c r="T65" s="144" t="str">
        <x:v>0x0100</x:v>
      </x:c>
      <x:c r="U65" s="144" t="str">
        <x:v>Fee动态（Bank0/Bank1；块物理地址不固定）</x:v>
      </x:c>
      <x:c r="V65" s="144" t="str">
        <x:v>NvM_Cfg.c:3298（ID 59 descriptor）</x:v>
      </x:c>
      <x:c r="W65" s="144" t="str">
        <x:v>Dem并发/0x19/ClearDTC、共享镜像、满载与断电一致性。</x:v>
      </x:c>
    </x:row>
    <x:row r="66" ht="54" customHeight="1">
      <x:c r="A66" s="144" t="n">
        <x:v>60</x:v>
      </x:c>
      <x:c r="B66" s="144" t="str">
        <x:v>NVM_ID_EVMEM_LOC_18</x:v>
      </x:c>
      <x:c r="C66" s="144" t="str">
        <x:v>诊断/故障事件存储</x:v>
      </x:c>
      <x:c r="D66" s="153" t="n">
        <x:v>48</x:v>
      </x:c>
      <x:c r="E66" s="153" t="n">
        <x:v>42788</x:v>
      </x:c>
      <x:c r="F66" s="144" t="str">
        <x:v>NATIVE</x:v>
      </x:c>
      <x:c r="G66" s="144" t="n">
        <x:v>1</x:v>
      </x:c>
      <x:c r="H66" s="144" t="n">
        <x:v>0</x:v>
      </x:c>
      <x:c r="I66" s="144" t="str">
        <x:v>NoCrc</x:v>
      </x:c>
      <x:c r="J66" s="144" t="n">
        <x:v>1</x:v>
      </x:c>
      <x:c r="K66" s="144" t="str">
        <x:v>是</x:v>
      </x:c>
      <x:c r="L66" s="144" t="str">
        <x:v>否</x:v>
      </x:c>
      <x:c r="M66" s="144" t="str">
        <x:v>否</x:v>
      </x:c>
      <x:c r="N66" s="144" t="str">
        <x:v>否</x:v>
      </x:c>
      <x:c r="O66" s="144" t="str">
        <x:v>是</x:v>
      </x:c>
      <x:c r="P66" s="144" t="str">
        <x:v>否</x:v>
      </x:c>
      <x:c r="Q66" s="144" t="str">
        <x:v>否</x:v>
      </x:c>
      <x:c r="R66" s="144" t="str">
        <x:v>Explicit Sync共享镜像</x:v>
      </x:c>
      <x:c r="S66" s="144" t="str">
        <x:v>无ROM默认块</x:v>
      </x:c>
      <x:c r="T66" s="144" t="str">
        <x:v>0x0100</x:v>
      </x:c>
      <x:c r="U66" s="144" t="str">
        <x:v>Fee动态（Bank0/Bank1；块物理地址不固定）</x:v>
      </x:c>
      <x:c r="V66" s="144" t="str">
        <x:v>NvM_Cfg.c:3332（ID 60 descriptor）</x:v>
      </x:c>
      <x:c r="W66" s="144" t="str">
        <x:v>Dem并发/0x19/ClearDTC、共享镜像、满载与断电一致性。</x:v>
      </x:c>
    </x:row>
    <x:row r="67" ht="54" customHeight="1">
      <x:c r="A67" s="144" t="n">
        <x:v>61</x:v>
      </x:c>
      <x:c r="B67" s="144" t="str">
        <x:v>NVM_ID_EVMEM_LOC_19</x:v>
      </x:c>
      <x:c r="C67" s="144" t="str">
        <x:v>诊断/故障事件存储</x:v>
      </x:c>
      <x:c r="D67" s="153" t="n">
        <x:v>48</x:v>
      </x:c>
      <x:c r="E67" s="153" t="n">
        <x:v>42789</x:v>
      </x:c>
      <x:c r="F67" s="144" t="str">
        <x:v>NATIVE</x:v>
      </x:c>
      <x:c r="G67" s="144" t="n">
        <x:v>1</x:v>
      </x:c>
      <x:c r="H67" s="144" t="n">
        <x:v>0</x:v>
      </x:c>
      <x:c r="I67" s="144" t="str">
        <x:v>NoCrc</x:v>
      </x:c>
      <x:c r="J67" s="144" t="n">
        <x:v>1</x:v>
      </x:c>
      <x:c r="K67" s="144" t="str">
        <x:v>是</x:v>
      </x:c>
      <x:c r="L67" s="144" t="str">
        <x:v>否</x:v>
      </x:c>
      <x:c r="M67" s="144" t="str">
        <x:v>否</x:v>
      </x:c>
      <x:c r="N67" s="144" t="str">
        <x:v>否</x:v>
      </x:c>
      <x:c r="O67" s="144" t="str">
        <x:v>是</x:v>
      </x:c>
      <x:c r="P67" s="144" t="str">
        <x:v>否</x:v>
      </x:c>
      <x:c r="Q67" s="144" t="str">
        <x:v>否</x:v>
      </x:c>
      <x:c r="R67" s="144" t="str">
        <x:v>Explicit Sync共享镜像</x:v>
      </x:c>
      <x:c r="S67" s="144" t="str">
        <x:v>无ROM默认块</x:v>
      </x:c>
      <x:c r="T67" s="144" t="str">
        <x:v>0x0100</x:v>
      </x:c>
      <x:c r="U67" s="144" t="str">
        <x:v>Fee动态（Bank0/Bank1；块物理地址不固定）</x:v>
      </x:c>
      <x:c r="V67" s="144" t="str">
        <x:v>NvM_Cfg.c:3366（ID 61 descriptor）</x:v>
      </x:c>
      <x:c r="W67" s="144" t="str">
        <x:v>Dem并发/0x19/ClearDTC、共享镜像、满载与断电一致性。</x:v>
      </x:c>
    </x:row>
    <x:row r="68" ht="54" customHeight="1">
      <x:c r="A68" s="144" t="n">
        <x:v>62</x:v>
      </x:c>
      <x:c r="B68" s="144" t="str">
        <x:v>NVM_ID_EVMEM_LOC_2</x:v>
      </x:c>
      <x:c r="C68" s="144" t="str">
        <x:v>诊断/故障事件存储</x:v>
      </x:c>
      <x:c r="D68" s="153" t="n">
        <x:v>48</x:v>
      </x:c>
      <x:c r="E68" s="153" t="n">
        <x:v>42772</x:v>
      </x:c>
      <x:c r="F68" s="144" t="str">
        <x:v>NATIVE</x:v>
      </x:c>
      <x:c r="G68" s="144" t="n">
        <x:v>1</x:v>
      </x:c>
      <x:c r="H68" s="144" t="n">
        <x:v>0</x:v>
      </x:c>
      <x:c r="I68" s="144" t="str">
        <x:v>NoCrc</x:v>
      </x:c>
      <x:c r="J68" s="144" t="n">
        <x:v>1</x:v>
      </x:c>
      <x:c r="K68" s="144" t="str">
        <x:v>是</x:v>
      </x:c>
      <x:c r="L68" s="144" t="str">
        <x:v>否</x:v>
      </x:c>
      <x:c r="M68" s="144" t="str">
        <x:v>否</x:v>
      </x:c>
      <x:c r="N68" s="144" t="str">
        <x:v>否</x:v>
      </x:c>
      <x:c r="O68" s="144" t="str">
        <x:v>是</x:v>
      </x:c>
      <x:c r="P68" s="144" t="str">
        <x:v>否</x:v>
      </x:c>
      <x:c r="Q68" s="144" t="str">
        <x:v>否</x:v>
      </x:c>
      <x:c r="R68" s="144" t="str">
        <x:v>Explicit Sync共享镜像</x:v>
      </x:c>
      <x:c r="S68" s="144" t="str">
        <x:v>无ROM默认块</x:v>
      </x:c>
      <x:c r="T68" s="144" t="str">
        <x:v>0x0100</x:v>
      </x:c>
      <x:c r="U68" s="144" t="str">
        <x:v>Fee动态（Bank0/Bank1；块物理地址不固定）</x:v>
      </x:c>
      <x:c r="V68" s="144" t="str">
        <x:v>NvM_Cfg.c:3400（ID 62 descriptor）</x:v>
      </x:c>
      <x:c r="W68" s="144" t="str">
        <x:v>Dem并发/0x19/ClearDTC、共享镜像、满载与断电一致性。</x:v>
      </x:c>
    </x:row>
    <x:row r="69" ht="54" customHeight="1">
      <x:c r="A69" s="144" t="n">
        <x:v>63</x:v>
      </x:c>
      <x:c r="B69" s="144" t="str">
        <x:v>NVM_ID_EVMEM_LOC_20</x:v>
      </x:c>
      <x:c r="C69" s="144" t="str">
        <x:v>诊断/故障事件存储</x:v>
      </x:c>
      <x:c r="D69" s="153" t="n">
        <x:v>48</x:v>
      </x:c>
      <x:c r="E69" s="153" t="n">
        <x:v>42810</x:v>
      </x:c>
      <x:c r="F69" s="144" t="str">
        <x:v>NATIVE</x:v>
      </x:c>
      <x:c r="G69" s="144" t="n">
        <x:v>1</x:v>
      </x:c>
      <x:c r="H69" s="144" t="n">
        <x:v>0</x:v>
      </x:c>
      <x:c r="I69" s="144" t="str">
        <x:v>NoCrc</x:v>
      </x:c>
      <x:c r="J69" s="144" t="n">
        <x:v>1</x:v>
      </x:c>
      <x:c r="K69" s="144" t="str">
        <x:v>是</x:v>
      </x:c>
      <x:c r="L69" s="144" t="str">
        <x:v>否</x:v>
      </x:c>
      <x:c r="M69" s="144" t="str">
        <x:v>否</x:v>
      </x:c>
      <x:c r="N69" s="144" t="str">
        <x:v>否</x:v>
      </x:c>
      <x:c r="O69" s="144" t="str">
        <x:v>是</x:v>
      </x:c>
      <x:c r="P69" s="144" t="str">
        <x:v>否</x:v>
      </x:c>
      <x:c r="Q69" s="144" t="str">
        <x:v>否</x:v>
      </x:c>
      <x:c r="R69" s="144" t="str">
        <x:v>Explicit Sync共享镜像</x:v>
      </x:c>
      <x:c r="S69" s="144" t="str">
        <x:v>无ROM默认块</x:v>
      </x:c>
      <x:c r="T69" s="144" t="str">
        <x:v>0x0100</x:v>
      </x:c>
      <x:c r="U69" s="144" t="str">
        <x:v>Fee动态（Bank0/Bank1；块物理地址不固定）</x:v>
      </x:c>
      <x:c r="V69" s="144" t="str">
        <x:v>NvM_Cfg.c:3434（ID 63 descriptor）</x:v>
      </x:c>
      <x:c r="W69" s="144" t="str">
        <x:v>Dem并发/0x19/ClearDTC、共享镜像、满载与断电一致性。</x:v>
      </x:c>
    </x:row>
    <x:row r="70" ht="54" customHeight="1">
      <x:c r="A70" s="144" t="n">
        <x:v>64</x:v>
      </x:c>
      <x:c r="B70" s="144" t="str">
        <x:v>NVM_ID_EVMEM_LOC_21</x:v>
      </x:c>
      <x:c r="C70" s="144" t="str">
        <x:v>诊断/故障事件存储</x:v>
      </x:c>
      <x:c r="D70" s="153" t="n">
        <x:v>48</x:v>
      </x:c>
      <x:c r="E70" s="153" t="n">
        <x:v>42791</x:v>
      </x:c>
      <x:c r="F70" s="144" t="str">
        <x:v>NATIVE</x:v>
      </x:c>
      <x:c r="G70" s="144" t="n">
        <x:v>1</x:v>
      </x:c>
      <x:c r="H70" s="144" t="n">
        <x:v>0</x:v>
      </x:c>
      <x:c r="I70" s="144" t="str">
        <x:v>NoCrc</x:v>
      </x:c>
      <x:c r="J70" s="144" t="n">
        <x:v>1</x:v>
      </x:c>
      <x:c r="K70" s="144" t="str">
        <x:v>是</x:v>
      </x:c>
      <x:c r="L70" s="144" t="str">
        <x:v>否</x:v>
      </x:c>
      <x:c r="M70" s="144" t="str">
        <x:v>否</x:v>
      </x:c>
      <x:c r="N70" s="144" t="str">
        <x:v>否</x:v>
      </x:c>
      <x:c r="O70" s="144" t="str">
        <x:v>是</x:v>
      </x:c>
      <x:c r="P70" s="144" t="str">
        <x:v>否</x:v>
      </x:c>
      <x:c r="Q70" s="144" t="str">
        <x:v>否</x:v>
      </x:c>
      <x:c r="R70" s="144" t="str">
        <x:v>Explicit Sync共享镜像</x:v>
      </x:c>
      <x:c r="S70" s="144" t="str">
        <x:v>无ROM默认块</x:v>
      </x:c>
      <x:c r="T70" s="144" t="str">
        <x:v>0x0100</x:v>
      </x:c>
      <x:c r="U70" s="144" t="str">
        <x:v>Fee动态（Bank0/Bank1；块物理地址不固定）</x:v>
      </x:c>
      <x:c r="V70" s="144" t="str">
        <x:v>NvM_Cfg.c:3468（ID 64 descriptor）</x:v>
      </x:c>
      <x:c r="W70" s="144" t="str">
        <x:v>Dem并发/0x19/ClearDTC、共享镜像、满载与断电一致性。</x:v>
      </x:c>
    </x:row>
    <x:row r="71" ht="54" customHeight="1">
      <x:c r="A71" s="144" t="n">
        <x:v>65</x:v>
      </x:c>
      <x:c r="B71" s="144" t="str">
        <x:v>NVM_ID_EVMEM_LOC_22</x:v>
      </x:c>
      <x:c r="C71" s="144" t="str">
        <x:v>诊断/故障事件存储</x:v>
      </x:c>
      <x:c r="D71" s="153" t="n">
        <x:v>48</x:v>
      </x:c>
      <x:c r="E71" s="153" t="n">
        <x:v>42792</x:v>
      </x:c>
      <x:c r="F71" s="144" t="str">
        <x:v>NATIVE</x:v>
      </x:c>
      <x:c r="G71" s="144" t="n">
        <x:v>1</x:v>
      </x:c>
      <x:c r="H71" s="144" t="n">
        <x:v>0</x:v>
      </x:c>
      <x:c r="I71" s="144" t="str">
        <x:v>NoCrc</x:v>
      </x:c>
      <x:c r="J71" s="144" t="n">
        <x:v>1</x:v>
      </x:c>
      <x:c r="K71" s="144" t="str">
        <x:v>是</x:v>
      </x:c>
      <x:c r="L71" s="144" t="str">
        <x:v>否</x:v>
      </x:c>
      <x:c r="M71" s="144" t="str">
        <x:v>否</x:v>
      </x:c>
      <x:c r="N71" s="144" t="str">
        <x:v>否</x:v>
      </x:c>
      <x:c r="O71" s="144" t="str">
        <x:v>是</x:v>
      </x:c>
      <x:c r="P71" s="144" t="str">
        <x:v>否</x:v>
      </x:c>
      <x:c r="Q71" s="144" t="str">
        <x:v>否</x:v>
      </x:c>
      <x:c r="R71" s="144" t="str">
        <x:v>Explicit Sync共享镜像</x:v>
      </x:c>
      <x:c r="S71" s="144" t="str">
        <x:v>无ROM默认块</x:v>
      </x:c>
      <x:c r="T71" s="144" t="str">
        <x:v>0x0100</x:v>
      </x:c>
      <x:c r="U71" s="144" t="str">
        <x:v>Fee动态（Bank0/Bank1；块物理地址不固定）</x:v>
      </x:c>
      <x:c r="V71" s="144" t="str">
        <x:v>NvM_Cfg.c:3502（ID 65 descriptor）</x:v>
      </x:c>
      <x:c r="W71" s="144" t="str">
        <x:v>Dem并发/0x19/ClearDTC、共享镜像、满载与断电一致性。</x:v>
      </x:c>
    </x:row>
    <x:row r="72" ht="54" customHeight="1">
      <x:c r="A72" s="144" t="n">
        <x:v>66</x:v>
      </x:c>
      <x:c r="B72" s="144" t="str">
        <x:v>NVM_ID_EVMEM_LOC_23</x:v>
      </x:c>
      <x:c r="C72" s="144" t="str">
        <x:v>诊断/故障事件存储</x:v>
      </x:c>
      <x:c r="D72" s="153" t="n">
        <x:v>48</x:v>
      </x:c>
      <x:c r="E72" s="153" t="n">
        <x:v>42793</x:v>
      </x:c>
      <x:c r="F72" s="144" t="str">
        <x:v>NATIVE</x:v>
      </x:c>
      <x:c r="G72" s="144" t="n">
        <x:v>1</x:v>
      </x:c>
      <x:c r="H72" s="144" t="n">
        <x:v>0</x:v>
      </x:c>
      <x:c r="I72" s="144" t="str">
        <x:v>NoCrc</x:v>
      </x:c>
      <x:c r="J72" s="144" t="n">
        <x:v>1</x:v>
      </x:c>
      <x:c r="K72" s="144" t="str">
        <x:v>是</x:v>
      </x:c>
      <x:c r="L72" s="144" t="str">
        <x:v>否</x:v>
      </x:c>
      <x:c r="M72" s="144" t="str">
        <x:v>否</x:v>
      </x:c>
      <x:c r="N72" s="144" t="str">
        <x:v>否</x:v>
      </x:c>
      <x:c r="O72" s="144" t="str">
        <x:v>是</x:v>
      </x:c>
      <x:c r="P72" s="144" t="str">
        <x:v>否</x:v>
      </x:c>
      <x:c r="Q72" s="144" t="str">
        <x:v>否</x:v>
      </x:c>
      <x:c r="R72" s="144" t="str">
        <x:v>Explicit Sync共享镜像</x:v>
      </x:c>
      <x:c r="S72" s="144" t="str">
        <x:v>无ROM默认块</x:v>
      </x:c>
      <x:c r="T72" s="144" t="str">
        <x:v>0x0100</x:v>
      </x:c>
      <x:c r="U72" s="144" t="str">
        <x:v>Fee动态（Bank0/Bank1；块物理地址不固定）</x:v>
      </x:c>
      <x:c r="V72" s="144" t="str">
        <x:v>NvM_Cfg.c:3536（ID 66 descriptor）</x:v>
      </x:c>
      <x:c r="W72" s="144" t="str">
        <x:v>Dem并发/0x19/ClearDTC、共享镜像、满载与断电一致性。</x:v>
      </x:c>
    </x:row>
    <x:row r="73" ht="54" customHeight="1">
      <x:c r="A73" s="144" t="n">
        <x:v>67</x:v>
      </x:c>
      <x:c r="B73" s="144" t="str">
        <x:v>NVM_ID_EVMEM_LOC_24</x:v>
      </x:c>
      <x:c r="C73" s="144" t="str">
        <x:v>诊断/故障事件存储</x:v>
      </x:c>
      <x:c r="D73" s="153" t="n">
        <x:v>48</x:v>
      </x:c>
      <x:c r="E73" s="153" t="n">
        <x:v>42794</x:v>
      </x:c>
      <x:c r="F73" s="144" t="str">
        <x:v>NATIVE</x:v>
      </x:c>
      <x:c r="G73" s="144" t="n">
        <x:v>1</x:v>
      </x:c>
      <x:c r="H73" s="144" t="n">
        <x:v>0</x:v>
      </x:c>
      <x:c r="I73" s="144" t="str">
        <x:v>NoCrc</x:v>
      </x:c>
      <x:c r="J73" s="144" t="n">
        <x:v>1</x:v>
      </x:c>
      <x:c r="K73" s="144" t="str">
        <x:v>是</x:v>
      </x:c>
      <x:c r="L73" s="144" t="str">
        <x:v>否</x:v>
      </x:c>
      <x:c r="M73" s="144" t="str">
        <x:v>否</x:v>
      </x:c>
      <x:c r="N73" s="144" t="str">
        <x:v>否</x:v>
      </x:c>
      <x:c r="O73" s="144" t="str">
        <x:v>是</x:v>
      </x:c>
      <x:c r="P73" s="144" t="str">
        <x:v>否</x:v>
      </x:c>
      <x:c r="Q73" s="144" t="str">
        <x:v>否</x:v>
      </x:c>
      <x:c r="R73" s="144" t="str">
        <x:v>Explicit Sync共享镜像</x:v>
      </x:c>
      <x:c r="S73" s="144" t="str">
        <x:v>无ROM默认块</x:v>
      </x:c>
      <x:c r="T73" s="144" t="str">
        <x:v>0x0100</x:v>
      </x:c>
      <x:c r="U73" s="144" t="str">
        <x:v>Fee动态（Bank0/Bank1；块物理地址不固定）</x:v>
      </x:c>
      <x:c r="V73" s="144" t="str">
        <x:v>NvM_Cfg.c:3570（ID 67 descriptor）</x:v>
      </x:c>
      <x:c r="W73" s="144" t="str">
        <x:v>Dem并发/0x19/ClearDTC、共享镜像、满载与断电一致性。</x:v>
      </x:c>
    </x:row>
    <x:row r="74" ht="54" customHeight="1">
      <x:c r="A74" s="144" t="n">
        <x:v>68</x:v>
      </x:c>
      <x:c r="B74" s="144" t="str">
        <x:v>NVM_ID_EVMEM_LOC_25</x:v>
      </x:c>
      <x:c r="C74" s="144" t="str">
        <x:v>诊断/故障事件存储</x:v>
      </x:c>
      <x:c r="D74" s="153" t="n">
        <x:v>48</x:v>
      </x:c>
      <x:c r="E74" s="153" t="n">
        <x:v>42795</x:v>
      </x:c>
      <x:c r="F74" s="144" t="str">
        <x:v>NATIVE</x:v>
      </x:c>
      <x:c r="G74" s="144" t="n">
        <x:v>1</x:v>
      </x:c>
      <x:c r="H74" s="144" t="n">
        <x:v>0</x:v>
      </x:c>
      <x:c r="I74" s="144" t="str">
        <x:v>NoCrc</x:v>
      </x:c>
      <x:c r="J74" s="144" t="n">
        <x:v>1</x:v>
      </x:c>
      <x:c r="K74" s="144" t="str">
        <x:v>是</x:v>
      </x:c>
      <x:c r="L74" s="144" t="str">
        <x:v>否</x:v>
      </x:c>
      <x:c r="M74" s="144" t="str">
        <x:v>否</x:v>
      </x:c>
      <x:c r="N74" s="144" t="str">
        <x:v>否</x:v>
      </x:c>
      <x:c r="O74" s="144" t="str">
        <x:v>是</x:v>
      </x:c>
      <x:c r="P74" s="144" t="str">
        <x:v>否</x:v>
      </x:c>
      <x:c r="Q74" s="144" t="str">
        <x:v>否</x:v>
      </x:c>
      <x:c r="R74" s="144" t="str">
        <x:v>Explicit Sync共享镜像</x:v>
      </x:c>
      <x:c r="S74" s="144" t="str">
        <x:v>无ROM默认块</x:v>
      </x:c>
      <x:c r="T74" s="144" t="str">
        <x:v>0x0100</x:v>
      </x:c>
      <x:c r="U74" s="144" t="str">
        <x:v>Fee动态（Bank0/Bank1；块物理地址不固定）</x:v>
      </x:c>
      <x:c r="V74" s="144" t="str">
        <x:v>NvM_Cfg.c:3604（ID 68 descriptor）</x:v>
      </x:c>
      <x:c r="W74" s="144" t="str">
        <x:v>Dem并发/0x19/ClearDTC、共享镜像、满载与断电一致性。</x:v>
      </x:c>
    </x:row>
    <x:row r="75" ht="54" customHeight="1">
      <x:c r="A75" s="144" t="n">
        <x:v>69</x:v>
      </x:c>
      <x:c r="B75" s="144" t="str">
        <x:v>NVM_ID_EVMEM_LOC_26</x:v>
      </x:c>
      <x:c r="C75" s="144" t="str">
        <x:v>诊断/故障事件存储</x:v>
      </x:c>
      <x:c r="D75" s="153" t="n">
        <x:v>48</x:v>
      </x:c>
      <x:c r="E75" s="153" t="n">
        <x:v>42796</x:v>
      </x:c>
      <x:c r="F75" s="144" t="str">
        <x:v>NATIVE</x:v>
      </x:c>
      <x:c r="G75" s="144" t="n">
        <x:v>1</x:v>
      </x:c>
      <x:c r="H75" s="144" t="n">
        <x:v>0</x:v>
      </x:c>
      <x:c r="I75" s="144" t="str">
        <x:v>NoCrc</x:v>
      </x:c>
      <x:c r="J75" s="144" t="n">
        <x:v>1</x:v>
      </x:c>
      <x:c r="K75" s="144" t="str">
        <x:v>是</x:v>
      </x:c>
      <x:c r="L75" s="144" t="str">
        <x:v>否</x:v>
      </x:c>
      <x:c r="M75" s="144" t="str">
        <x:v>否</x:v>
      </x:c>
      <x:c r="N75" s="144" t="str">
        <x:v>否</x:v>
      </x:c>
      <x:c r="O75" s="144" t="str">
        <x:v>是</x:v>
      </x:c>
      <x:c r="P75" s="144" t="str">
        <x:v>否</x:v>
      </x:c>
      <x:c r="Q75" s="144" t="str">
        <x:v>否</x:v>
      </x:c>
      <x:c r="R75" s="144" t="str">
        <x:v>Explicit Sync共享镜像</x:v>
      </x:c>
      <x:c r="S75" s="144" t="str">
        <x:v>无ROM默认块</x:v>
      </x:c>
      <x:c r="T75" s="144" t="str">
        <x:v>0x0100</x:v>
      </x:c>
      <x:c r="U75" s="144" t="str">
        <x:v>Fee动态（Bank0/Bank1；块物理地址不固定）</x:v>
      </x:c>
      <x:c r="V75" s="144" t="str">
        <x:v>NvM_Cfg.c:3638（ID 69 descriptor）</x:v>
      </x:c>
      <x:c r="W75" s="144" t="str">
        <x:v>Dem并发/0x19/ClearDTC、共享镜像、满载与断电一致性。</x:v>
      </x:c>
    </x:row>
    <x:row r="76" ht="54" customHeight="1">
      <x:c r="A76" s="144" t="n">
        <x:v>70</x:v>
      </x:c>
      <x:c r="B76" s="144" t="str">
        <x:v>NVM_ID_EVMEM_LOC_27</x:v>
      </x:c>
      <x:c r="C76" s="144" t="str">
        <x:v>诊断/故障事件存储</x:v>
      </x:c>
      <x:c r="D76" s="153" t="n">
        <x:v>48</x:v>
      </x:c>
      <x:c r="E76" s="153" t="n">
        <x:v>42797</x:v>
      </x:c>
      <x:c r="F76" s="144" t="str">
        <x:v>NATIVE</x:v>
      </x:c>
      <x:c r="G76" s="144" t="n">
        <x:v>1</x:v>
      </x:c>
      <x:c r="H76" s="144" t="n">
        <x:v>0</x:v>
      </x:c>
      <x:c r="I76" s="144" t="str">
        <x:v>NoCrc</x:v>
      </x:c>
      <x:c r="J76" s="144" t="n">
        <x:v>1</x:v>
      </x:c>
      <x:c r="K76" s="144" t="str">
        <x:v>是</x:v>
      </x:c>
      <x:c r="L76" s="144" t="str">
        <x:v>否</x:v>
      </x:c>
      <x:c r="M76" s="144" t="str">
        <x:v>否</x:v>
      </x:c>
      <x:c r="N76" s="144" t="str">
        <x:v>否</x:v>
      </x:c>
      <x:c r="O76" s="144" t="str">
        <x:v>是</x:v>
      </x:c>
      <x:c r="P76" s="144" t="str">
        <x:v>否</x:v>
      </x:c>
      <x:c r="Q76" s="144" t="str">
        <x:v>否</x:v>
      </x:c>
      <x:c r="R76" s="144" t="str">
        <x:v>Explicit Sync共享镜像</x:v>
      </x:c>
      <x:c r="S76" s="144" t="str">
        <x:v>无ROM默认块</x:v>
      </x:c>
      <x:c r="T76" s="144" t="str">
        <x:v>0x0100</x:v>
      </x:c>
      <x:c r="U76" s="144" t="str">
        <x:v>Fee动态（Bank0/Bank1；块物理地址不固定）</x:v>
      </x:c>
      <x:c r="V76" s="144" t="str">
        <x:v>NvM_Cfg.c:3672（ID 70 descriptor）</x:v>
      </x:c>
      <x:c r="W76" s="144" t="str">
        <x:v>Dem并发/0x19/ClearDTC、共享镜像、满载与断电一致性。</x:v>
      </x:c>
    </x:row>
    <x:row r="77" ht="54" customHeight="1">
      <x:c r="A77" s="144" t="n">
        <x:v>71</x:v>
      </x:c>
      <x:c r="B77" s="144" t="str">
        <x:v>NVM_ID_EVMEM_LOC_28</x:v>
      </x:c>
      <x:c r="C77" s="144" t="str">
        <x:v>诊断/故障事件存储</x:v>
      </x:c>
      <x:c r="D77" s="153" t="n">
        <x:v>48</x:v>
      </x:c>
      <x:c r="E77" s="153" t="n">
        <x:v>42798</x:v>
      </x:c>
      <x:c r="F77" s="144" t="str">
        <x:v>NATIVE</x:v>
      </x:c>
      <x:c r="G77" s="144" t="n">
        <x:v>1</x:v>
      </x:c>
      <x:c r="H77" s="144" t="n">
        <x:v>0</x:v>
      </x:c>
      <x:c r="I77" s="144" t="str">
        <x:v>NoCrc</x:v>
      </x:c>
      <x:c r="J77" s="144" t="n">
        <x:v>1</x:v>
      </x:c>
      <x:c r="K77" s="144" t="str">
        <x:v>是</x:v>
      </x:c>
      <x:c r="L77" s="144" t="str">
        <x:v>否</x:v>
      </x:c>
      <x:c r="M77" s="144" t="str">
        <x:v>否</x:v>
      </x:c>
      <x:c r="N77" s="144" t="str">
        <x:v>否</x:v>
      </x:c>
      <x:c r="O77" s="144" t="str">
        <x:v>是</x:v>
      </x:c>
      <x:c r="P77" s="144" t="str">
        <x:v>否</x:v>
      </x:c>
      <x:c r="Q77" s="144" t="str">
        <x:v>否</x:v>
      </x:c>
      <x:c r="R77" s="144" t="str">
        <x:v>Explicit Sync共享镜像</x:v>
      </x:c>
      <x:c r="S77" s="144" t="str">
        <x:v>无ROM默认块</x:v>
      </x:c>
      <x:c r="T77" s="144" t="str">
        <x:v>0x0100</x:v>
      </x:c>
      <x:c r="U77" s="144" t="str">
        <x:v>Fee动态（Bank0/Bank1；块物理地址不固定）</x:v>
      </x:c>
      <x:c r="V77" s="144" t="str">
        <x:v>NvM_Cfg.c:3706（ID 71 descriptor）</x:v>
      </x:c>
      <x:c r="W77" s="144" t="str">
        <x:v>Dem并发/0x19/ClearDTC、共享镜像、满载与断电一致性。</x:v>
      </x:c>
    </x:row>
    <x:row r="78" ht="54" customHeight="1">
      <x:c r="A78" s="144" t="n">
        <x:v>72</x:v>
      </x:c>
      <x:c r="B78" s="144" t="str">
        <x:v>NVM_ID_EVMEM_LOC_29</x:v>
      </x:c>
      <x:c r="C78" s="144" t="str">
        <x:v>诊断/故障事件存储</x:v>
      </x:c>
      <x:c r="D78" s="153" t="n">
        <x:v>48</x:v>
      </x:c>
      <x:c r="E78" s="153" t="n">
        <x:v>42799</x:v>
      </x:c>
      <x:c r="F78" s="144" t="str">
        <x:v>NATIVE</x:v>
      </x:c>
      <x:c r="G78" s="144" t="n">
        <x:v>1</x:v>
      </x:c>
      <x:c r="H78" s="144" t="n">
        <x:v>0</x:v>
      </x:c>
      <x:c r="I78" s="144" t="str">
        <x:v>NoCrc</x:v>
      </x:c>
      <x:c r="J78" s="144" t="n">
        <x:v>1</x:v>
      </x:c>
      <x:c r="K78" s="144" t="str">
        <x:v>是</x:v>
      </x:c>
      <x:c r="L78" s="144" t="str">
        <x:v>否</x:v>
      </x:c>
      <x:c r="M78" s="144" t="str">
        <x:v>否</x:v>
      </x:c>
      <x:c r="N78" s="144" t="str">
        <x:v>否</x:v>
      </x:c>
      <x:c r="O78" s="144" t="str">
        <x:v>是</x:v>
      </x:c>
      <x:c r="P78" s="144" t="str">
        <x:v>否</x:v>
      </x:c>
      <x:c r="Q78" s="144" t="str">
        <x:v>否</x:v>
      </x:c>
      <x:c r="R78" s="144" t="str">
        <x:v>Explicit Sync共享镜像</x:v>
      </x:c>
      <x:c r="S78" s="144" t="str">
        <x:v>无ROM默认块</x:v>
      </x:c>
      <x:c r="T78" s="144" t="str">
        <x:v>0x0100</x:v>
      </x:c>
      <x:c r="U78" s="144" t="str">
        <x:v>Fee动态（Bank0/Bank1；块物理地址不固定）</x:v>
      </x:c>
      <x:c r="V78" s="144" t="str">
        <x:v>NvM_Cfg.c:3740（ID 72 descriptor）</x:v>
      </x:c>
      <x:c r="W78" s="144" t="str">
        <x:v>Dem并发/0x19/ClearDTC、共享镜像、满载与断电一致性。</x:v>
      </x:c>
    </x:row>
    <x:row r="79" ht="54" customHeight="1">
      <x:c r="A79" s="144" t="n">
        <x:v>73</x:v>
      </x:c>
      <x:c r="B79" s="144" t="str">
        <x:v>NVM_ID_EVMEM_LOC_3</x:v>
      </x:c>
      <x:c r="C79" s="144" t="str">
        <x:v>诊断/故障事件存储</x:v>
      </x:c>
      <x:c r="D79" s="153" t="n">
        <x:v>48</x:v>
      </x:c>
      <x:c r="E79" s="153" t="n">
        <x:v>42773</x:v>
      </x:c>
      <x:c r="F79" s="144" t="str">
        <x:v>NATIVE</x:v>
      </x:c>
      <x:c r="G79" s="144" t="n">
        <x:v>1</x:v>
      </x:c>
      <x:c r="H79" s="144" t="n">
        <x:v>0</x:v>
      </x:c>
      <x:c r="I79" s="144" t="str">
        <x:v>NoCrc</x:v>
      </x:c>
      <x:c r="J79" s="144" t="n">
        <x:v>1</x:v>
      </x:c>
      <x:c r="K79" s="144" t="str">
        <x:v>是</x:v>
      </x:c>
      <x:c r="L79" s="144" t="str">
        <x:v>否</x:v>
      </x:c>
      <x:c r="M79" s="144" t="str">
        <x:v>否</x:v>
      </x:c>
      <x:c r="N79" s="144" t="str">
        <x:v>否</x:v>
      </x:c>
      <x:c r="O79" s="144" t="str">
        <x:v>是</x:v>
      </x:c>
      <x:c r="P79" s="144" t="str">
        <x:v>否</x:v>
      </x:c>
      <x:c r="Q79" s="144" t="str">
        <x:v>否</x:v>
      </x:c>
      <x:c r="R79" s="144" t="str">
        <x:v>Explicit Sync共享镜像</x:v>
      </x:c>
      <x:c r="S79" s="144" t="str">
        <x:v>无ROM默认块</x:v>
      </x:c>
      <x:c r="T79" s="144" t="str">
        <x:v>0x0100</x:v>
      </x:c>
      <x:c r="U79" s="144" t="str">
        <x:v>Fee动态（Bank0/Bank1；块物理地址不固定）</x:v>
      </x:c>
      <x:c r="V79" s="144" t="str">
        <x:v>NvM_Cfg.c:3774（ID 73 descriptor）</x:v>
      </x:c>
      <x:c r="W79" s="144" t="str">
        <x:v>Dem并发/0x19/ClearDTC、共享镜像、满载与断电一致性。</x:v>
      </x:c>
    </x:row>
    <x:row r="80" ht="54" customHeight="1">
      <x:c r="A80" s="144" t="n">
        <x:v>74</x:v>
      </x:c>
      <x:c r="B80" s="144" t="str">
        <x:v>NVM_ID_EVMEM_LOC_30</x:v>
      </x:c>
      <x:c r="C80" s="144" t="str">
        <x:v>诊断/故障事件存储</x:v>
      </x:c>
      <x:c r="D80" s="153" t="n">
        <x:v>48</x:v>
      </x:c>
      <x:c r="E80" s="153" t="n">
        <x:v>42800</x:v>
      </x:c>
      <x:c r="F80" s="144" t="str">
        <x:v>NATIVE</x:v>
      </x:c>
      <x:c r="G80" s="144" t="n">
        <x:v>1</x:v>
      </x:c>
      <x:c r="H80" s="144" t="n">
        <x:v>0</x:v>
      </x:c>
      <x:c r="I80" s="144" t="str">
        <x:v>NoCrc</x:v>
      </x:c>
      <x:c r="J80" s="144" t="n">
        <x:v>1</x:v>
      </x:c>
      <x:c r="K80" s="144" t="str">
        <x:v>是</x:v>
      </x:c>
      <x:c r="L80" s="144" t="str">
        <x:v>否</x:v>
      </x:c>
      <x:c r="M80" s="144" t="str">
        <x:v>否</x:v>
      </x:c>
      <x:c r="N80" s="144" t="str">
        <x:v>否</x:v>
      </x:c>
      <x:c r="O80" s="144" t="str">
        <x:v>是</x:v>
      </x:c>
      <x:c r="P80" s="144" t="str">
        <x:v>否</x:v>
      </x:c>
      <x:c r="Q80" s="144" t="str">
        <x:v>否</x:v>
      </x:c>
      <x:c r="R80" s="144" t="str">
        <x:v>Explicit Sync共享镜像</x:v>
      </x:c>
      <x:c r="S80" s="144" t="str">
        <x:v>无ROM默认块</x:v>
      </x:c>
      <x:c r="T80" s="144" t="str">
        <x:v>0x0100</x:v>
      </x:c>
      <x:c r="U80" s="144" t="str">
        <x:v>Fee动态（Bank0/Bank1；块物理地址不固定）</x:v>
      </x:c>
      <x:c r="V80" s="144" t="str">
        <x:v>NvM_Cfg.c:3808（ID 74 descriptor）</x:v>
      </x:c>
      <x:c r="W80" s="144" t="str">
        <x:v>Dem并发/0x19/ClearDTC、共享镜像、满载与断电一致性。</x:v>
      </x:c>
    </x:row>
    <x:row r="81" ht="54" customHeight="1">
      <x:c r="A81" s="144" t="n">
        <x:v>75</x:v>
      </x:c>
      <x:c r="B81" s="144" t="str">
        <x:v>NVM_ID_EVMEM_LOC_31</x:v>
      </x:c>
      <x:c r="C81" s="144" t="str">
        <x:v>诊断/故障事件存储</x:v>
      </x:c>
      <x:c r="D81" s="153" t="n">
        <x:v>48</x:v>
      </x:c>
      <x:c r="E81" s="153" t="n">
        <x:v>42801</x:v>
      </x:c>
      <x:c r="F81" s="144" t="str">
        <x:v>NATIVE</x:v>
      </x:c>
      <x:c r="G81" s="144" t="n">
        <x:v>1</x:v>
      </x:c>
      <x:c r="H81" s="144" t="n">
        <x:v>0</x:v>
      </x:c>
      <x:c r="I81" s="144" t="str">
        <x:v>NoCrc</x:v>
      </x:c>
      <x:c r="J81" s="144" t="n">
        <x:v>1</x:v>
      </x:c>
      <x:c r="K81" s="144" t="str">
        <x:v>是</x:v>
      </x:c>
      <x:c r="L81" s="144" t="str">
        <x:v>否</x:v>
      </x:c>
      <x:c r="M81" s="144" t="str">
        <x:v>否</x:v>
      </x:c>
      <x:c r="N81" s="144" t="str">
        <x:v>否</x:v>
      </x:c>
      <x:c r="O81" s="144" t="str">
        <x:v>是</x:v>
      </x:c>
      <x:c r="P81" s="144" t="str">
        <x:v>否</x:v>
      </x:c>
      <x:c r="Q81" s="144" t="str">
        <x:v>否</x:v>
      </x:c>
      <x:c r="R81" s="144" t="str">
        <x:v>Explicit Sync共享镜像</x:v>
      </x:c>
      <x:c r="S81" s="144" t="str">
        <x:v>无ROM默认块</x:v>
      </x:c>
      <x:c r="T81" s="144" t="str">
        <x:v>0x0100</x:v>
      </x:c>
      <x:c r="U81" s="144" t="str">
        <x:v>Fee动态（Bank0/Bank1；块物理地址不固定）</x:v>
      </x:c>
      <x:c r="V81" s="144" t="str">
        <x:v>NvM_Cfg.c:3842（ID 75 descriptor）</x:v>
      </x:c>
      <x:c r="W81" s="144" t="str">
        <x:v>Dem并发/0x19/ClearDTC、共享镜像、满载与断电一致性。</x:v>
      </x:c>
    </x:row>
    <x:row r="82" ht="54" customHeight="1">
      <x:c r="A82" s="144" t="n">
        <x:v>76</x:v>
      </x:c>
      <x:c r="B82" s="144" t="str">
        <x:v>NVM_ID_EVMEM_LOC_32</x:v>
      </x:c>
      <x:c r="C82" s="144" t="str">
        <x:v>诊断/故障事件存储</x:v>
      </x:c>
      <x:c r="D82" s="153" t="n">
        <x:v>48</x:v>
      </x:c>
      <x:c r="E82" s="153" t="n">
        <x:v>42802</x:v>
      </x:c>
      <x:c r="F82" s="144" t="str">
        <x:v>NATIVE</x:v>
      </x:c>
      <x:c r="G82" s="144" t="n">
        <x:v>1</x:v>
      </x:c>
      <x:c r="H82" s="144" t="n">
        <x:v>0</x:v>
      </x:c>
      <x:c r="I82" s="144" t="str">
        <x:v>NoCrc</x:v>
      </x:c>
      <x:c r="J82" s="144" t="n">
        <x:v>1</x:v>
      </x:c>
      <x:c r="K82" s="144" t="str">
        <x:v>是</x:v>
      </x:c>
      <x:c r="L82" s="144" t="str">
        <x:v>否</x:v>
      </x:c>
      <x:c r="M82" s="144" t="str">
        <x:v>否</x:v>
      </x:c>
      <x:c r="N82" s="144" t="str">
        <x:v>否</x:v>
      </x:c>
      <x:c r="O82" s="144" t="str">
        <x:v>是</x:v>
      </x:c>
      <x:c r="P82" s="144" t="str">
        <x:v>否</x:v>
      </x:c>
      <x:c r="Q82" s="144" t="str">
        <x:v>否</x:v>
      </x:c>
      <x:c r="R82" s="144" t="str">
        <x:v>Explicit Sync共享镜像</x:v>
      </x:c>
      <x:c r="S82" s="144" t="str">
        <x:v>无ROM默认块</x:v>
      </x:c>
      <x:c r="T82" s="144" t="str">
        <x:v>0x0100</x:v>
      </x:c>
      <x:c r="U82" s="144" t="str">
        <x:v>Fee动态（Bank0/Bank1；块物理地址不固定）</x:v>
      </x:c>
      <x:c r="V82" s="144" t="str">
        <x:v>NvM_Cfg.c:3876（ID 76 descriptor）</x:v>
      </x:c>
      <x:c r="W82" s="144" t="str">
        <x:v>Dem并发/0x19/ClearDTC、共享镜像、满载与断电一致性。</x:v>
      </x:c>
    </x:row>
    <x:row r="83" ht="54" customHeight="1">
      <x:c r="A83" s="144" t="n">
        <x:v>77</x:v>
      </x:c>
      <x:c r="B83" s="144" t="str">
        <x:v>NVM_ID_EVMEM_LOC_33</x:v>
      </x:c>
      <x:c r="C83" s="144" t="str">
        <x:v>诊断/故障事件存储</x:v>
      </x:c>
      <x:c r="D83" s="153" t="n">
        <x:v>48</x:v>
      </x:c>
      <x:c r="E83" s="153" t="n">
        <x:v>42803</x:v>
      </x:c>
      <x:c r="F83" s="144" t="str">
        <x:v>NATIVE</x:v>
      </x:c>
      <x:c r="G83" s="144" t="n">
        <x:v>1</x:v>
      </x:c>
      <x:c r="H83" s="144" t="n">
        <x:v>0</x:v>
      </x:c>
      <x:c r="I83" s="144" t="str">
        <x:v>NoCrc</x:v>
      </x:c>
      <x:c r="J83" s="144" t="n">
        <x:v>1</x:v>
      </x:c>
      <x:c r="K83" s="144" t="str">
        <x:v>是</x:v>
      </x:c>
      <x:c r="L83" s="144" t="str">
        <x:v>否</x:v>
      </x:c>
      <x:c r="M83" s="144" t="str">
        <x:v>否</x:v>
      </x:c>
      <x:c r="N83" s="144" t="str">
        <x:v>否</x:v>
      </x:c>
      <x:c r="O83" s="144" t="str">
        <x:v>是</x:v>
      </x:c>
      <x:c r="P83" s="144" t="str">
        <x:v>否</x:v>
      </x:c>
      <x:c r="Q83" s="144" t="str">
        <x:v>否</x:v>
      </x:c>
      <x:c r="R83" s="144" t="str">
        <x:v>Explicit Sync共享镜像</x:v>
      </x:c>
      <x:c r="S83" s="144" t="str">
        <x:v>无ROM默认块</x:v>
      </x:c>
      <x:c r="T83" s="144" t="str">
        <x:v>0x0100</x:v>
      </x:c>
      <x:c r="U83" s="144" t="str">
        <x:v>Fee动态（Bank0/Bank1；块物理地址不固定）</x:v>
      </x:c>
      <x:c r="V83" s="144" t="str">
        <x:v>NvM_Cfg.c:3910（ID 77 descriptor）</x:v>
      </x:c>
      <x:c r="W83" s="144" t="str">
        <x:v>Dem并发/0x19/ClearDTC、共享镜像、满载与断电一致性。</x:v>
      </x:c>
    </x:row>
    <x:row r="84" ht="54" customHeight="1">
      <x:c r="A84" s="144" t="n">
        <x:v>78</x:v>
      </x:c>
      <x:c r="B84" s="144" t="str">
        <x:v>NVM_ID_EVMEM_LOC_34</x:v>
      </x:c>
      <x:c r="C84" s="144" t="str">
        <x:v>诊断/故障事件存储</x:v>
      </x:c>
      <x:c r="D84" s="153" t="n">
        <x:v>48</x:v>
      </x:c>
      <x:c r="E84" s="153" t="n">
        <x:v>42804</x:v>
      </x:c>
      <x:c r="F84" s="144" t="str">
        <x:v>NATIVE</x:v>
      </x:c>
      <x:c r="G84" s="144" t="n">
        <x:v>1</x:v>
      </x:c>
      <x:c r="H84" s="144" t="n">
        <x:v>0</x:v>
      </x:c>
      <x:c r="I84" s="144" t="str">
        <x:v>NoCrc</x:v>
      </x:c>
      <x:c r="J84" s="144" t="n">
        <x:v>1</x:v>
      </x:c>
      <x:c r="K84" s="144" t="str">
        <x:v>是</x:v>
      </x:c>
      <x:c r="L84" s="144" t="str">
        <x:v>否</x:v>
      </x:c>
      <x:c r="M84" s="144" t="str">
        <x:v>否</x:v>
      </x:c>
      <x:c r="N84" s="144" t="str">
        <x:v>否</x:v>
      </x:c>
      <x:c r="O84" s="144" t="str">
        <x:v>是</x:v>
      </x:c>
      <x:c r="P84" s="144" t="str">
        <x:v>否</x:v>
      </x:c>
      <x:c r="Q84" s="144" t="str">
        <x:v>否</x:v>
      </x:c>
      <x:c r="R84" s="144" t="str">
        <x:v>Explicit Sync共享镜像</x:v>
      </x:c>
      <x:c r="S84" s="144" t="str">
        <x:v>无ROM默认块</x:v>
      </x:c>
      <x:c r="T84" s="144" t="str">
        <x:v>0x0100</x:v>
      </x:c>
      <x:c r="U84" s="144" t="str">
        <x:v>Fee动态（Bank0/Bank1；块物理地址不固定）</x:v>
      </x:c>
      <x:c r="V84" s="144" t="str">
        <x:v>NvM_Cfg.c:3944（ID 78 descriptor）</x:v>
      </x:c>
      <x:c r="W84" s="144" t="str">
        <x:v>Dem并发/0x19/ClearDTC、共享镜像、满载与断电一致性。</x:v>
      </x:c>
    </x:row>
    <x:row r="85" ht="54" customHeight="1">
      <x:c r="A85" s="144" t="n">
        <x:v>79</x:v>
      </x:c>
      <x:c r="B85" s="144" t="str">
        <x:v>NVM_ID_EVMEM_LOC_35</x:v>
      </x:c>
      <x:c r="C85" s="144" t="str">
        <x:v>诊断/故障事件存储</x:v>
      </x:c>
      <x:c r="D85" s="153" t="n">
        <x:v>48</x:v>
      </x:c>
      <x:c r="E85" s="153" t="n">
        <x:v>42805</x:v>
      </x:c>
      <x:c r="F85" s="144" t="str">
        <x:v>NATIVE</x:v>
      </x:c>
      <x:c r="G85" s="144" t="n">
        <x:v>1</x:v>
      </x:c>
      <x:c r="H85" s="144" t="n">
        <x:v>0</x:v>
      </x:c>
      <x:c r="I85" s="144" t="str">
        <x:v>NoCrc</x:v>
      </x:c>
      <x:c r="J85" s="144" t="n">
        <x:v>1</x:v>
      </x:c>
      <x:c r="K85" s="144" t="str">
        <x:v>是</x:v>
      </x:c>
      <x:c r="L85" s="144" t="str">
        <x:v>否</x:v>
      </x:c>
      <x:c r="M85" s="144" t="str">
        <x:v>否</x:v>
      </x:c>
      <x:c r="N85" s="144" t="str">
        <x:v>否</x:v>
      </x:c>
      <x:c r="O85" s="144" t="str">
        <x:v>是</x:v>
      </x:c>
      <x:c r="P85" s="144" t="str">
        <x:v>否</x:v>
      </x:c>
      <x:c r="Q85" s="144" t="str">
        <x:v>否</x:v>
      </x:c>
      <x:c r="R85" s="144" t="str">
        <x:v>Explicit Sync共享镜像</x:v>
      </x:c>
      <x:c r="S85" s="144" t="str">
        <x:v>无ROM默认块</x:v>
      </x:c>
      <x:c r="T85" s="144" t="str">
        <x:v>0x0100</x:v>
      </x:c>
      <x:c r="U85" s="144" t="str">
        <x:v>Fee动态（Bank0/Bank1；块物理地址不固定）</x:v>
      </x:c>
      <x:c r="V85" s="144" t="str">
        <x:v>NvM_Cfg.c:3978（ID 79 descriptor）</x:v>
      </x:c>
      <x:c r="W85" s="144" t="str">
        <x:v>Dem并发/0x19/ClearDTC、共享镜像、满载与断电一致性。</x:v>
      </x:c>
    </x:row>
    <x:row r="86" ht="54" customHeight="1">
      <x:c r="A86" s="144" t="n">
        <x:v>80</x:v>
      </x:c>
      <x:c r="B86" s="144" t="str">
        <x:v>NVM_ID_EVMEM_LOC_36</x:v>
      </x:c>
      <x:c r="C86" s="144" t="str">
        <x:v>诊断/故障事件存储</x:v>
      </x:c>
      <x:c r="D86" s="153" t="n">
        <x:v>48</x:v>
      </x:c>
      <x:c r="E86" s="153" t="n">
        <x:v>42806</x:v>
      </x:c>
      <x:c r="F86" s="144" t="str">
        <x:v>NATIVE</x:v>
      </x:c>
      <x:c r="G86" s="144" t="n">
        <x:v>1</x:v>
      </x:c>
      <x:c r="H86" s="144" t="n">
        <x:v>0</x:v>
      </x:c>
      <x:c r="I86" s="144" t="str">
        <x:v>NoCrc</x:v>
      </x:c>
      <x:c r="J86" s="144" t="n">
        <x:v>1</x:v>
      </x:c>
      <x:c r="K86" s="144" t="str">
        <x:v>是</x:v>
      </x:c>
      <x:c r="L86" s="144" t="str">
        <x:v>否</x:v>
      </x:c>
      <x:c r="M86" s="144" t="str">
        <x:v>否</x:v>
      </x:c>
      <x:c r="N86" s="144" t="str">
        <x:v>否</x:v>
      </x:c>
      <x:c r="O86" s="144" t="str">
        <x:v>是</x:v>
      </x:c>
      <x:c r="P86" s="144" t="str">
        <x:v>否</x:v>
      </x:c>
      <x:c r="Q86" s="144" t="str">
        <x:v>否</x:v>
      </x:c>
      <x:c r="R86" s="144" t="str">
        <x:v>Explicit Sync共享镜像</x:v>
      </x:c>
      <x:c r="S86" s="144" t="str">
        <x:v>无ROM默认块</x:v>
      </x:c>
      <x:c r="T86" s="144" t="str">
        <x:v>0x0100</x:v>
      </x:c>
      <x:c r="U86" s="144" t="str">
        <x:v>Fee动态（Bank0/Bank1；块物理地址不固定）</x:v>
      </x:c>
      <x:c r="V86" s="144" t="str">
        <x:v>NvM_Cfg.c:4012（ID 80 descriptor）</x:v>
      </x:c>
      <x:c r="W86" s="144" t="str">
        <x:v>Dem并发/0x19/ClearDTC、共享镜像、满载与断电一致性。</x:v>
      </x:c>
    </x:row>
    <x:row r="87" ht="54" customHeight="1">
      <x:c r="A87" s="144" t="n">
        <x:v>81</x:v>
      </x:c>
      <x:c r="B87" s="144" t="str">
        <x:v>NVM_ID_EVMEM_LOC_37</x:v>
      </x:c>
      <x:c r="C87" s="144" t="str">
        <x:v>诊断/故障事件存储</x:v>
      </x:c>
      <x:c r="D87" s="153" t="n">
        <x:v>48</x:v>
      </x:c>
      <x:c r="E87" s="153" t="n">
        <x:v>42807</x:v>
      </x:c>
      <x:c r="F87" s="144" t="str">
        <x:v>NATIVE</x:v>
      </x:c>
      <x:c r="G87" s="144" t="n">
        <x:v>1</x:v>
      </x:c>
      <x:c r="H87" s="144" t="n">
        <x:v>0</x:v>
      </x:c>
      <x:c r="I87" s="144" t="str">
        <x:v>NoCrc</x:v>
      </x:c>
      <x:c r="J87" s="144" t="n">
        <x:v>1</x:v>
      </x:c>
      <x:c r="K87" s="144" t="str">
        <x:v>是</x:v>
      </x:c>
      <x:c r="L87" s="144" t="str">
        <x:v>否</x:v>
      </x:c>
      <x:c r="M87" s="144" t="str">
        <x:v>否</x:v>
      </x:c>
      <x:c r="N87" s="144" t="str">
        <x:v>否</x:v>
      </x:c>
      <x:c r="O87" s="144" t="str">
        <x:v>是</x:v>
      </x:c>
      <x:c r="P87" s="144" t="str">
        <x:v>否</x:v>
      </x:c>
      <x:c r="Q87" s="144" t="str">
        <x:v>否</x:v>
      </x:c>
      <x:c r="R87" s="144" t="str">
        <x:v>Explicit Sync共享镜像</x:v>
      </x:c>
      <x:c r="S87" s="144" t="str">
        <x:v>无ROM默认块</x:v>
      </x:c>
      <x:c r="T87" s="144" t="str">
        <x:v>0x0100</x:v>
      </x:c>
      <x:c r="U87" s="144" t="str">
        <x:v>Fee动态（Bank0/Bank1；块物理地址不固定）</x:v>
      </x:c>
      <x:c r="V87" s="144" t="str">
        <x:v>NvM_Cfg.c:4046（ID 81 descriptor）</x:v>
      </x:c>
      <x:c r="W87" s="144" t="str">
        <x:v>Dem并发/0x19/ClearDTC、共享镜像、满载与断电一致性。</x:v>
      </x:c>
    </x:row>
    <x:row r="88" ht="54" customHeight="1">
      <x:c r="A88" s="144" t="n">
        <x:v>82</x:v>
      </x:c>
      <x:c r="B88" s="144" t="str">
        <x:v>NVM_ID_EVMEM_LOC_38</x:v>
      </x:c>
      <x:c r="C88" s="144" t="str">
        <x:v>诊断/故障事件存储</x:v>
      </x:c>
      <x:c r="D88" s="153" t="n">
        <x:v>48</x:v>
      </x:c>
      <x:c r="E88" s="153" t="n">
        <x:v>42808</x:v>
      </x:c>
      <x:c r="F88" s="144" t="str">
        <x:v>NATIVE</x:v>
      </x:c>
      <x:c r="G88" s="144" t="n">
        <x:v>1</x:v>
      </x:c>
      <x:c r="H88" s="144" t="n">
        <x:v>0</x:v>
      </x:c>
      <x:c r="I88" s="144" t="str">
        <x:v>NoCrc</x:v>
      </x:c>
      <x:c r="J88" s="144" t="n">
        <x:v>1</x:v>
      </x:c>
      <x:c r="K88" s="144" t="str">
        <x:v>是</x:v>
      </x:c>
      <x:c r="L88" s="144" t="str">
        <x:v>否</x:v>
      </x:c>
      <x:c r="M88" s="144" t="str">
        <x:v>否</x:v>
      </x:c>
      <x:c r="N88" s="144" t="str">
        <x:v>否</x:v>
      </x:c>
      <x:c r="O88" s="144" t="str">
        <x:v>是</x:v>
      </x:c>
      <x:c r="P88" s="144" t="str">
        <x:v>否</x:v>
      </x:c>
      <x:c r="Q88" s="144" t="str">
        <x:v>否</x:v>
      </x:c>
      <x:c r="R88" s="144" t="str">
        <x:v>Explicit Sync共享镜像</x:v>
      </x:c>
      <x:c r="S88" s="144" t="str">
        <x:v>无ROM默认块</x:v>
      </x:c>
      <x:c r="T88" s="144" t="str">
        <x:v>0x0100</x:v>
      </x:c>
      <x:c r="U88" s="144" t="str">
        <x:v>Fee动态（Bank0/Bank1；块物理地址不固定）</x:v>
      </x:c>
      <x:c r="V88" s="144" t="str">
        <x:v>NvM_Cfg.c:4080（ID 82 descriptor）</x:v>
      </x:c>
      <x:c r="W88" s="144" t="str">
        <x:v>Dem并发/0x19/ClearDTC、共享镜像、满载与断电一致性。</x:v>
      </x:c>
    </x:row>
    <x:row r="89" ht="54" customHeight="1">
      <x:c r="A89" s="144" t="n">
        <x:v>83</x:v>
      </x:c>
      <x:c r="B89" s="144" t="str">
        <x:v>NVM_ID_EVMEM_LOC_39</x:v>
      </x:c>
      <x:c r="C89" s="144" t="str">
        <x:v>诊断/故障事件存储</x:v>
      </x:c>
      <x:c r="D89" s="153" t="n">
        <x:v>48</x:v>
      </x:c>
      <x:c r="E89" s="153" t="n">
        <x:v>42809</x:v>
      </x:c>
      <x:c r="F89" s="144" t="str">
        <x:v>NATIVE</x:v>
      </x:c>
      <x:c r="G89" s="144" t="n">
        <x:v>1</x:v>
      </x:c>
      <x:c r="H89" s="144" t="n">
        <x:v>0</x:v>
      </x:c>
      <x:c r="I89" s="144" t="str">
        <x:v>NoCrc</x:v>
      </x:c>
      <x:c r="J89" s="144" t="n">
        <x:v>1</x:v>
      </x:c>
      <x:c r="K89" s="144" t="str">
        <x:v>是</x:v>
      </x:c>
      <x:c r="L89" s="144" t="str">
        <x:v>否</x:v>
      </x:c>
      <x:c r="M89" s="144" t="str">
        <x:v>否</x:v>
      </x:c>
      <x:c r="N89" s="144" t="str">
        <x:v>否</x:v>
      </x:c>
      <x:c r="O89" s="144" t="str">
        <x:v>是</x:v>
      </x:c>
      <x:c r="P89" s="144" t="str">
        <x:v>否</x:v>
      </x:c>
      <x:c r="Q89" s="144" t="str">
        <x:v>否</x:v>
      </x:c>
      <x:c r="R89" s="144" t="str">
        <x:v>Explicit Sync共享镜像</x:v>
      </x:c>
      <x:c r="S89" s="144" t="str">
        <x:v>无ROM默认块</x:v>
      </x:c>
      <x:c r="T89" s="144" t="str">
        <x:v>0x0100</x:v>
      </x:c>
      <x:c r="U89" s="144" t="str">
        <x:v>Fee动态（Bank0/Bank1；块物理地址不固定）</x:v>
      </x:c>
      <x:c r="V89" s="144" t="str">
        <x:v>NvM_Cfg.c:4114（ID 83 descriptor）</x:v>
      </x:c>
      <x:c r="W89" s="144" t="str">
        <x:v>Dem并发/0x19/ClearDTC、共享镜像、满载与断电一致性。</x:v>
      </x:c>
    </x:row>
    <x:row r="90" ht="54" customHeight="1">
      <x:c r="A90" s="144" t="n">
        <x:v>84</x:v>
      </x:c>
      <x:c r="B90" s="144" t="str">
        <x:v>NVM_ID_EVMEM_LOC_4</x:v>
      </x:c>
      <x:c r="C90" s="144" t="str">
        <x:v>诊断/故障事件存储</x:v>
      </x:c>
      <x:c r="D90" s="153" t="n">
        <x:v>48</x:v>
      </x:c>
      <x:c r="E90" s="153" t="n">
        <x:v>42774</x:v>
      </x:c>
      <x:c r="F90" s="144" t="str">
        <x:v>NATIVE</x:v>
      </x:c>
      <x:c r="G90" s="144" t="n">
        <x:v>1</x:v>
      </x:c>
      <x:c r="H90" s="144" t="n">
        <x:v>0</x:v>
      </x:c>
      <x:c r="I90" s="144" t="str">
        <x:v>NoCrc</x:v>
      </x:c>
      <x:c r="J90" s="144" t="n">
        <x:v>1</x:v>
      </x:c>
      <x:c r="K90" s="144" t="str">
        <x:v>是</x:v>
      </x:c>
      <x:c r="L90" s="144" t="str">
        <x:v>否</x:v>
      </x:c>
      <x:c r="M90" s="144" t="str">
        <x:v>否</x:v>
      </x:c>
      <x:c r="N90" s="144" t="str">
        <x:v>否</x:v>
      </x:c>
      <x:c r="O90" s="144" t="str">
        <x:v>是</x:v>
      </x:c>
      <x:c r="P90" s="144" t="str">
        <x:v>否</x:v>
      </x:c>
      <x:c r="Q90" s="144" t="str">
        <x:v>否</x:v>
      </x:c>
      <x:c r="R90" s="144" t="str">
        <x:v>Explicit Sync共享镜像</x:v>
      </x:c>
      <x:c r="S90" s="144" t="str">
        <x:v>无ROM默认块</x:v>
      </x:c>
      <x:c r="T90" s="144" t="str">
        <x:v>0x0100</x:v>
      </x:c>
      <x:c r="U90" s="144" t="str">
        <x:v>Fee动态（Bank0/Bank1；块物理地址不固定）</x:v>
      </x:c>
      <x:c r="V90" s="144" t="str">
        <x:v>NvM_Cfg.c:4148（ID 84 descriptor）</x:v>
      </x:c>
      <x:c r="W90" s="144" t="str">
        <x:v>Dem并发/0x19/ClearDTC、共享镜像、满载与断电一致性。</x:v>
      </x:c>
    </x:row>
    <x:row r="91" ht="54" customHeight="1">
      <x:c r="A91" s="144" t="n">
        <x:v>85</x:v>
      </x:c>
      <x:c r="B91" s="144" t="str">
        <x:v>NVM_ID_EVMEM_LOC_5</x:v>
      </x:c>
      <x:c r="C91" s="144" t="str">
        <x:v>诊断/故障事件存储</x:v>
      </x:c>
      <x:c r="D91" s="153" t="n">
        <x:v>48</x:v>
      </x:c>
      <x:c r="E91" s="153" t="n">
        <x:v>42775</x:v>
      </x:c>
      <x:c r="F91" s="144" t="str">
        <x:v>NATIVE</x:v>
      </x:c>
      <x:c r="G91" s="144" t="n">
        <x:v>1</x:v>
      </x:c>
      <x:c r="H91" s="144" t="n">
        <x:v>0</x:v>
      </x:c>
      <x:c r="I91" s="144" t="str">
        <x:v>NoCrc</x:v>
      </x:c>
      <x:c r="J91" s="144" t="n">
        <x:v>1</x:v>
      </x:c>
      <x:c r="K91" s="144" t="str">
        <x:v>是</x:v>
      </x:c>
      <x:c r="L91" s="144" t="str">
        <x:v>否</x:v>
      </x:c>
      <x:c r="M91" s="144" t="str">
        <x:v>否</x:v>
      </x:c>
      <x:c r="N91" s="144" t="str">
        <x:v>否</x:v>
      </x:c>
      <x:c r="O91" s="144" t="str">
        <x:v>是</x:v>
      </x:c>
      <x:c r="P91" s="144" t="str">
        <x:v>否</x:v>
      </x:c>
      <x:c r="Q91" s="144" t="str">
        <x:v>否</x:v>
      </x:c>
      <x:c r="R91" s="144" t="str">
        <x:v>Explicit Sync共享镜像</x:v>
      </x:c>
      <x:c r="S91" s="144" t="str">
        <x:v>无ROM默认块</x:v>
      </x:c>
      <x:c r="T91" s="144" t="str">
        <x:v>0x0100</x:v>
      </x:c>
      <x:c r="U91" s="144" t="str">
        <x:v>Fee动态（Bank0/Bank1；块物理地址不固定）</x:v>
      </x:c>
      <x:c r="V91" s="144" t="str">
        <x:v>NvM_Cfg.c:4182（ID 85 descriptor）</x:v>
      </x:c>
      <x:c r="W91" s="144" t="str">
        <x:v>Dem并发/0x19/ClearDTC、共享镜像、满载与断电一致性。</x:v>
      </x:c>
    </x:row>
    <x:row r="92" ht="54" customHeight="1">
      <x:c r="A92" s="144" t="n">
        <x:v>86</x:v>
      </x:c>
      <x:c r="B92" s="144" t="str">
        <x:v>NVM_ID_EVMEM_LOC_6</x:v>
      </x:c>
      <x:c r="C92" s="144" t="str">
        <x:v>诊断/故障事件存储</x:v>
      </x:c>
      <x:c r="D92" s="153" t="n">
        <x:v>48</x:v>
      </x:c>
      <x:c r="E92" s="153" t="n">
        <x:v>42776</x:v>
      </x:c>
      <x:c r="F92" s="144" t="str">
        <x:v>NATIVE</x:v>
      </x:c>
      <x:c r="G92" s="144" t="n">
        <x:v>1</x:v>
      </x:c>
      <x:c r="H92" s="144" t="n">
        <x:v>0</x:v>
      </x:c>
      <x:c r="I92" s="144" t="str">
        <x:v>NoCrc</x:v>
      </x:c>
      <x:c r="J92" s="144" t="n">
        <x:v>1</x:v>
      </x:c>
      <x:c r="K92" s="144" t="str">
        <x:v>是</x:v>
      </x:c>
      <x:c r="L92" s="144" t="str">
        <x:v>否</x:v>
      </x:c>
      <x:c r="M92" s="144" t="str">
        <x:v>否</x:v>
      </x:c>
      <x:c r="N92" s="144" t="str">
        <x:v>否</x:v>
      </x:c>
      <x:c r="O92" s="144" t="str">
        <x:v>是</x:v>
      </x:c>
      <x:c r="P92" s="144" t="str">
        <x:v>否</x:v>
      </x:c>
      <x:c r="Q92" s="144" t="str">
        <x:v>否</x:v>
      </x:c>
      <x:c r="R92" s="144" t="str">
        <x:v>Explicit Sync共享镜像</x:v>
      </x:c>
      <x:c r="S92" s="144" t="str">
        <x:v>无ROM默认块</x:v>
      </x:c>
      <x:c r="T92" s="144" t="str">
        <x:v>0x0100</x:v>
      </x:c>
      <x:c r="U92" s="144" t="str">
        <x:v>Fee动态（Bank0/Bank1；块物理地址不固定）</x:v>
      </x:c>
      <x:c r="V92" s="144" t="str">
        <x:v>NvM_Cfg.c:4216（ID 86 descriptor）</x:v>
      </x:c>
      <x:c r="W92" s="144" t="str">
        <x:v>Dem并发/0x19/ClearDTC、共享镜像、满载与断电一致性。</x:v>
      </x:c>
    </x:row>
    <x:row r="93" ht="54" customHeight="1">
      <x:c r="A93" s="144" t="n">
        <x:v>87</x:v>
      </x:c>
      <x:c r="B93" s="144" t="str">
        <x:v>NVM_ID_EVMEM_LOC_7</x:v>
      </x:c>
      <x:c r="C93" s="144" t="str">
        <x:v>诊断/故障事件存储</x:v>
      </x:c>
      <x:c r="D93" s="153" t="n">
        <x:v>48</x:v>
      </x:c>
      <x:c r="E93" s="153" t="n">
        <x:v>42777</x:v>
      </x:c>
      <x:c r="F93" s="144" t="str">
        <x:v>NATIVE</x:v>
      </x:c>
      <x:c r="G93" s="144" t="n">
        <x:v>1</x:v>
      </x:c>
      <x:c r="H93" s="144" t="n">
        <x:v>0</x:v>
      </x:c>
      <x:c r="I93" s="144" t="str">
        <x:v>NoCrc</x:v>
      </x:c>
      <x:c r="J93" s="144" t="n">
        <x:v>1</x:v>
      </x:c>
      <x:c r="K93" s="144" t="str">
        <x:v>是</x:v>
      </x:c>
      <x:c r="L93" s="144" t="str">
        <x:v>否</x:v>
      </x:c>
      <x:c r="M93" s="144" t="str">
        <x:v>否</x:v>
      </x:c>
      <x:c r="N93" s="144" t="str">
        <x:v>否</x:v>
      </x:c>
      <x:c r="O93" s="144" t="str">
        <x:v>是</x:v>
      </x:c>
      <x:c r="P93" s="144" t="str">
        <x:v>否</x:v>
      </x:c>
      <x:c r="Q93" s="144" t="str">
        <x:v>否</x:v>
      </x:c>
      <x:c r="R93" s="144" t="str">
        <x:v>Explicit Sync共享镜像</x:v>
      </x:c>
      <x:c r="S93" s="144" t="str">
        <x:v>无ROM默认块</x:v>
      </x:c>
      <x:c r="T93" s="144" t="str">
        <x:v>0x0100</x:v>
      </x:c>
      <x:c r="U93" s="144" t="str">
        <x:v>Fee动态（Bank0/Bank1；块物理地址不固定）</x:v>
      </x:c>
      <x:c r="V93" s="144" t="str">
        <x:v>NvM_Cfg.c:4250（ID 87 descriptor）</x:v>
      </x:c>
      <x:c r="W93" s="144" t="str">
        <x:v>Dem并发/0x19/ClearDTC、共享镜像、满载与断电一致性。</x:v>
      </x:c>
    </x:row>
    <x:row r="94" ht="54" customHeight="1">
      <x:c r="A94" s="144" t="n">
        <x:v>88</x:v>
      </x:c>
      <x:c r="B94" s="144" t="str">
        <x:v>NVM_ID_EVMEM_LOC_8</x:v>
      </x:c>
      <x:c r="C94" s="144" t="str">
        <x:v>诊断/故障事件存储</x:v>
      </x:c>
      <x:c r="D94" s="153" t="n">
        <x:v>48</x:v>
      </x:c>
      <x:c r="E94" s="153" t="n">
        <x:v>42778</x:v>
      </x:c>
      <x:c r="F94" s="144" t="str">
        <x:v>NATIVE</x:v>
      </x:c>
      <x:c r="G94" s="144" t="n">
        <x:v>1</x:v>
      </x:c>
      <x:c r="H94" s="144" t="n">
        <x:v>0</x:v>
      </x:c>
      <x:c r="I94" s="144" t="str">
        <x:v>NoCrc</x:v>
      </x:c>
      <x:c r="J94" s="144" t="n">
        <x:v>1</x:v>
      </x:c>
      <x:c r="K94" s="144" t="str">
        <x:v>是</x:v>
      </x:c>
      <x:c r="L94" s="144" t="str">
        <x:v>否</x:v>
      </x:c>
      <x:c r="M94" s="144" t="str">
        <x:v>否</x:v>
      </x:c>
      <x:c r="N94" s="144" t="str">
        <x:v>否</x:v>
      </x:c>
      <x:c r="O94" s="144" t="str">
        <x:v>是</x:v>
      </x:c>
      <x:c r="P94" s="144" t="str">
        <x:v>否</x:v>
      </x:c>
      <x:c r="Q94" s="144" t="str">
        <x:v>否</x:v>
      </x:c>
      <x:c r="R94" s="144" t="str">
        <x:v>Explicit Sync共享镜像</x:v>
      </x:c>
      <x:c r="S94" s="144" t="str">
        <x:v>无ROM默认块</x:v>
      </x:c>
      <x:c r="T94" s="144" t="str">
        <x:v>0x0100</x:v>
      </x:c>
      <x:c r="U94" s="144" t="str">
        <x:v>Fee动态（Bank0/Bank1；块物理地址不固定）</x:v>
      </x:c>
      <x:c r="V94" s="144" t="str">
        <x:v>NvM_Cfg.c:4284（ID 88 descriptor）</x:v>
      </x:c>
      <x:c r="W94" s="144" t="str">
        <x:v>Dem并发/0x19/ClearDTC、共享镜像、满载与断电一致性。</x:v>
      </x:c>
    </x:row>
    <x:row r="95" ht="54" customHeight="1">
      <x:c r="A95" s="144" t="n">
        <x:v>89</x:v>
      </x:c>
      <x:c r="B95" s="144" t="str">
        <x:v>NVM_ID_EVMEM_LOC_9</x:v>
      </x:c>
      <x:c r="C95" s="144" t="str">
        <x:v>诊断/故障事件存储</x:v>
      </x:c>
      <x:c r="D95" s="153" t="n">
        <x:v>48</x:v>
      </x:c>
      <x:c r="E95" s="153" t="n">
        <x:v>42779</x:v>
      </x:c>
      <x:c r="F95" s="144" t="str">
        <x:v>NATIVE</x:v>
      </x:c>
      <x:c r="G95" s="144" t="n">
        <x:v>1</x:v>
      </x:c>
      <x:c r="H95" s="144" t="n">
        <x:v>0</x:v>
      </x:c>
      <x:c r="I95" s="144" t="str">
        <x:v>NoCrc</x:v>
      </x:c>
      <x:c r="J95" s="144" t="n">
        <x:v>1</x:v>
      </x:c>
      <x:c r="K95" s="144" t="str">
        <x:v>是</x:v>
      </x:c>
      <x:c r="L95" s="144" t="str">
        <x:v>否</x:v>
      </x:c>
      <x:c r="M95" s="144" t="str">
        <x:v>否</x:v>
      </x:c>
      <x:c r="N95" s="144" t="str">
        <x:v>否</x:v>
      </x:c>
      <x:c r="O95" s="144" t="str">
        <x:v>是</x:v>
      </x:c>
      <x:c r="P95" s="144" t="str">
        <x:v>否</x:v>
      </x:c>
      <x:c r="Q95" s="144" t="str">
        <x:v>否</x:v>
      </x:c>
      <x:c r="R95" s="144" t="str">
        <x:v>Explicit Sync共享镜像</x:v>
      </x:c>
      <x:c r="S95" s="144" t="str">
        <x:v>无ROM默认块</x:v>
      </x:c>
      <x:c r="T95" s="144" t="str">
        <x:v>0x0100</x:v>
      </x:c>
      <x:c r="U95" s="144" t="str">
        <x:v>Fee动态（Bank0/Bank1；块物理地址不固定）</x:v>
      </x:c>
      <x:c r="V95" s="144" t="str">
        <x:v>NvM_Cfg.c:4318（ID 89 descriptor）</x:v>
      </x:c>
      <x:c r="W95" s="144" t="str">
        <x:v>Dem并发/0x19/ClearDTC、共享镜像、满载与断电一致性。</x:v>
      </x:c>
    </x:row>
    <x:row r="96" ht="54" customHeight="1">
      <x:c r="A96" s="144" t="n">
        <x:v>90</x:v>
      </x:c>
      <x:c r="B96" s="144" t="str">
        <x:v>NVM_ID_EVT_STATUSBYTE</x:v>
      </x:c>
      <x:c r="C96" s="144" t="str">
        <x:v>诊断/故障事件存储</x:v>
      </x:c>
      <x:c r="D96" s="153" t="n">
        <x:v>218</x:v>
      </x:c>
      <x:c r="E96" s="153" t="n">
        <x:v>42769</x:v>
      </x:c>
      <x:c r="F96" s="144" t="str">
        <x:v>NATIVE</x:v>
      </x:c>
      <x:c r="G96" s="144" t="n">
        <x:v>1</x:v>
      </x:c>
      <x:c r="H96" s="144" t="n">
        <x:v>0</x:v>
      </x:c>
      <x:c r="I96" s="144" t="str">
        <x:v>NoCrc</x:v>
      </x:c>
      <x:c r="J96" s="144" t="n">
        <x:v>1</x:v>
      </x:c>
      <x:c r="K96" s="144" t="str">
        <x:v>是</x:v>
      </x:c>
      <x:c r="L96" s="144" t="str">
        <x:v>否</x:v>
      </x:c>
      <x:c r="M96" s="144" t="str">
        <x:v>否</x:v>
      </x:c>
      <x:c r="N96" s="144" t="str">
        <x:v>否</x:v>
      </x:c>
      <x:c r="O96" s="144" t="str">
        <x:v>是</x:v>
      </x:c>
      <x:c r="P96" s="144" t="str">
        <x:v>否</x:v>
      </x:c>
      <x:c r="Q96" s="144" t="str">
        <x:v>否</x:v>
      </x:c>
      <x:c r="R96" s="144" t="str">
        <x:v>Explicit Sync共享镜像</x:v>
      </x:c>
      <x:c r="S96" s="144" t="str">
        <x:v>无ROM默认块</x:v>
      </x:c>
      <x:c r="T96" s="144" t="str">
        <x:v>0x0100</x:v>
      </x:c>
      <x:c r="U96" s="144" t="str">
        <x:v>Fee动态（Bank0/Bank1；块物理地址不固定）</x:v>
      </x:c>
      <x:c r="V96" s="144" t="str">
        <x:v>NvM_Cfg.c:4352（ID 90 descriptor）</x:v>
      </x:c>
      <x:c r="W96" s="144" t="str">
        <x:v>Dem并发/0x19/ClearDTC、共享镜像、满载与断电一致性。</x:v>
      </x:c>
    </x:row>
    <x:row r="97" ht="54" customHeight="1">
      <x:c r="A97" s="144" t="n">
        <x:v>91</x:v>
      </x:c>
      <x:c r="B97" s="144" t="str">
        <x:v>NVM_NM_ForceHibernationLatestSts</x:v>
      </x:c>
      <x:c r="C97" s="144" t="str">
        <x:v>应用/系统持久化数据</x:v>
      </x:c>
      <x:c r="D97" s="153" t="n">
        <x:v>1</x:v>
      </x:c>
      <x:c r="E97" s="153" t="n">
        <x:v>37778</x:v>
      </x:c>
      <x:c r="F97" s="144" t="str">
        <x:v>NATIVE</x:v>
      </x:c>
      <x:c r="G97" s="144" t="n">
        <x:v>1</x:v>
      </x:c>
      <x:c r="H97" s="144" t="n">
        <x:v>1</x:v>
      </x:c>
      <x:c r="I97" s="144" t="str">
        <x:v>NoCrc</x:v>
      </x:c>
      <x:c r="J97" s="144" t="n">
        <x:v>1</x:v>
      </x:c>
      <x:c r="K97" s="144" t="str">
        <x:v>是</x:v>
      </x:c>
      <x:c r="L97" s="144" t="str">
        <x:v>否</x:v>
      </x:c>
      <x:c r="M97" s="144" t="str">
        <x:v>否</x:v>
      </x:c>
      <x:c r="N97" s="144" t="str">
        <x:v>否</x:v>
      </x:c>
      <x:c r="O97" s="144" t="str">
        <x:v>否</x:v>
      </x:c>
      <x:c r="P97" s="144" t="str">
        <x:v>否</x:v>
      </x:c>
      <x:c r="Q97" s="144" t="str">
        <x:v>否</x:v>
      </x:c>
      <x:c r="R97" s="144" t="str">
        <x:v>永久RAM</x:v>
      </x:c>
      <x:c r="S97" s="144" t="str">
        <x:v>00</x:v>
      </x:c>
      <x:c r="T97" s="144" t="str">
        <x:v>0x0100</x:v>
      </x:c>
      <x:c r="U97" s="144" t="str">
        <x:v>Fee动态（Bank0/Bank1；块物理地址不固定）</x:v>
      </x:c>
      <x:c r="V97" s="144" t="str">
        <x:v>NvM_Cfg.c:4386（ID 91 descriptor）</x:v>
      </x:c>
      <x:c r="W97" s="144" t="str">
        <x:v>读/写/状态码、掉电、默认恢复、版本迁移。</x:v>
      </x:c>
    </x:row>
    <x:row r="98" ht="54" customHeight="1">
      <x:c r="A98" s="144" t="n">
        <x:v>92</x:v>
      </x:c>
      <x:c r="B98" s="144" t="str">
        <x:v>NvMBlockDescriptor_Application_Valid_Flag</x:v>
      </x:c>
      <x:c r="C98" s="144" t="str">
        <x:v>启动/刷写状态</x:v>
      </x:c>
      <x:c r="D98" s="153" t="n">
        <x:v>1</x:v>
      </x:c>
      <x:c r="E98" s="153" t="n">
        <x:v>39676</x:v>
      </x:c>
      <x:c r="F98" s="144" t="str">
        <x:v>NATIVE</x:v>
      </x:c>
      <x:c r="G98" s="144" t="n">
        <x:v>1</x:v>
      </x:c>
      <x:c r="H98" s="144" t="n">
        <x:v>1</x:v>
      </x:c>
      <x:c r="I98" s="144" t="str">
        <x:v>NoCrc</x:v>
      </x:c>
      <x:c r="J98" s="144" t="n">
        <x:v>1</x:v>
      </x:c>
      <x:c r="K98" s="144" t="str">
        <x:v>是</x:v>
      </x:c>
      <x:c r="L98" s="144" t="str">
        <x:v>是</x:v>
      </x:c>
      <x:c r="M98" s="144" t="str">
        <x:v>否</x:v>
      </x:c>
      <x:c r="N98" s="144" t="str">
        <x:v>否</x:v>
      </x:c>
      <x:c r="O98" s="144" t="str">
        <x:v>否</x:v>
      </x:c>
      <x:c r="P98" s="144" t="str">
        <x:v>否</x:v>
      </x:c>
      <x:c r="Q98" s="144" t="str">
        <x:v>否</x:v>
      </x:c>
      <x:c r="R98" s="144" t="str">
        <x:v>永久RAM</x:v>
      </x:c>
      <x:c r="S98" s="144" t="str">
        <x:v>00</x:v>
      </x:c>
      <x:c r="T98" s="144" t="str">
        <x:v>0x0100</x:v>
      </x:c>
      <x:c r="U98" s="144" t="str">
        <x:v>Fee动态（Bank0/Bank1；块物理地址不固定）</x:v>
      </x:c>
      <x:c r="V98" s="144" t="str">
        <x:v>NvM_Cfg.c:4419（ID 92 descriptor）</x:v>
      </x:c>
      <x:c r="W98" s="144" t="str">
        <x:v>读/写/状态码、掉电、默认恢复、版本迁移。</x:v>
      </x:c>
    </x:row>
    <x:row r="99" ht="54" customHeight="1">
      <x:c r="A99" s="144" t="n">
        <x:v>93</x:v>
      </x:c>
      <x:c r="B99" s="144" t="str">
        <x:v>NvMBlockDescriptor_Did_for_test_0x6666</x:v>
      </x:c>
      <x:c r="C99" s="144" t="str">
        <x:v>诊断DID/车辆配置数据</x:v>
      </x:c>
      <x:c r="D99" s="153" t="n">
        <x:v>3</x:v>
      </x:c>
      <x:c r="E99" s="153" t="n">
        <x:v>37779</x:v>
      </x:c>
      <x:c r="F99" s="144" t="str">
        <x:v>NATIVE</x:v>
      </x:c>
      <x:c r="G99" s="144" t="n">
        <x:v>1</x:v>
      </x:c>
      <x:c r="H99" s="144" t="n">
        <x:v>1</x:v>
      </x:c>
      <x:c r="I99" s="144" t="str">
        <x:v>NoCrc</x:v>
      </x:c>
      <x:c r="J99" s="144" t="n">
        <x:v>1</x:v>
      </x:c>
      <x:c r="K99" s="144" t="str">
        <x:v>是</x:v>
      </x:c>
      <x:c r="L99" s="144" t="str">
        <x:v>否</x:v>
      </x:c>
      <x:c r="M99" s="144" t="str">
        <x:v>否</x:v>
      </x:c>
      <x:c r="N99" s="144" t="str">
        <x:v>否</x:v>
      </x:c>
      <x:c r="O99" s="144" t="str">
        <x:v>否</x:v>
      </x:c>
      <x:c r="P99" s="144" t="str">
        <x:v>否</x:v>
      </x:c>
      <x:c r="Q99" s="144" t="str">
        <x:v>否</x:v>
      </x:c>
      <x:c r="R99" s="144" t="str">
        <x:v>永久RAM</x:v>
      </x:c>
      <x:c r="S99" s="144" t="str">
        <x:v>FF FF FF</x:v>
      </x:c>
      <x:c r="T99" s="144" t="str">
        <x:v>0x0100</x:v>
      </x:c>
      <x:c r="U99" s="144" t="str">
        <x:v>Fee动态（Bank0/Bank1；块物理地址不固定）</x:v>
      </x:c>
      <x:c r="V99" s="144" t="str">
        <x:v>NvM_Cfg.c:4453（ID 93 descriptor）</x:v>
      </x:c>
      <x:c r="W99" s="144" t="str">
        <x:v>0x22/0x2E长度、端序、默认、权限与复位后持久化。</x:v>
      </x:c>
    </x:row>
    <x:row r="100" ht="54" customHeight="1">
      <x:c r="A100" s="144" t="n">
        <x:v>94</x:v>
      </x:c>
      <x:c r="B100" s="144" t="str">
        <x:v>NvMBlockDescriptor_Fingerprint_Data</x:v>
      </x:c>
      <x:c r="C100" s="144" t="str">
        <x:v>诊断DID/车辆配置数据</x:v>
      </x:c>
      <x:c r="D100" s="153" t="n">
        <x:v>9</x:v>
      </x:c>
      <x:c r="E100" s="153" t="n">
        <x:v>4097</x:v>
      </x:c>
      <x:c r="F100" s="144" t="str">
        <x:v>NATIVE</x:v>
      </x:c>
      <x:c r="G100" s="144" t="n">
        <x:v>1</x:v>
      </x:c>
      <x:c r="H100" s="144" t="n">
        <x:v>1</x:v>
      </x:c>
      <x:c r="I100" s="144" t="str">
        <x:v>NoCrc</x:v>
      </x:c>
      <x:c r="J100" s="144" t="n">
        <x:v>1</x:v>
      </x:c>
      <x:c r="K100" s="144" t="str">
        <x:v>是</x:v>
      </x:c>
      <x:c r="L100" s="144" t="str">
        <x:v>是</x:v>
      </x:c>
      <x:c r="M100" s="144" t="str">
        <x:v>否</x:v>
      </x:c>
      <x:c r="N100" s="144" t="str">
        <x:v>否</x:v>
      </x:c>
      <x:c r="O100" s="144" t="str">
        <x:v>否</x:v>
      </x:c>
      <x:c r="P100" s="144" t="str">
        <x:v>否</x:v>
      </x:c>
      <x:c r="Q100" s="144" t="str">
        <x:v>否</x:v>
      </x:c>
      <x:c r="R100" s="144" t="str">
        <x:v>永久RAM</x:v>
      </x:c>
      <x:c r="S100" s="144" t="str">
        <x:v>00×9</x:v>
      </x:c>
      <x:c r="T100" s="144" t="str">
        <x:v>0x0100</x:v>
      </x:c>
      <x:c r="U100" s="144" t="str">
        <x:v>Fee动态（Bank0/Bank1；块物理地址不固定）</x:v>
      </x:c>
      <x:c r="V100" s="144" t="str">
        <x:v>NvM_Cfg.c:4486（ID 94 descriptor）</x:v>
      </x:c>
      <x:c r="W100" s="144" t="str">
        <x:v>0x22/0x2E长度、端序、默认、权限与复位后持久化。</x:v>
      </x:c>
    </x:row>
    <x:row r="101" ht="54" customHeight="1">
      <x:c r="A101" s="144" t="n">
        <x:v>95</x:v>
      </x:c>
      <x:c r="B101" s="144" t="str">
        <x:v>NvMBlockDescriptor_Reprogramming_Request_Flag</x:v>
      </x:c>
      <x:c r="C101" s="144" t="str">
        <x:v>启动/刷写状态</x:v>
      </x:c>
      <x:c r="D101" s="153" t="n">
        <x:v>4</x:v>
      </x:c>
      <x:c r="E101" s="153" t="n">
        <x:v>6323</x:v>
      </x:c>
      <x:c r="F101" s="144" t="str">
        <x:v>NATIVE</x:v>
      </x:c>
      <x:c r="G101" s="144" t="n">
        <x:v>1</x:v>
      </x:c>
      <x:c r="H101" s="144" t="n">
        <x:v>1</x:v>
      </x:c>
      <x:c r="I101" s="144" t="str">
        <x:v>NoCrc</x:v>
      </x:c>
      <x:c r="J101" s="144" t="n">
        <x:v>1</x:v>
      </x:c>
      <x:c r="K101" s="144" t="str">
        <x:v>是</x:v>
      </x:c>
      <x:c r="L101" s="144" t="str">
        <x:v>是</x:v>
      </x:c>
      <x:c r="M101" s="144" t="str">
        <x:v>否</x:v>
      </x:c>
      <x:c r="N101" s="144" t="str">
        <x:v>否</x:v>
      </x:c>
      <x:c r="O101" s="144" t="str">
        <x:v>否</x:v>
      </x:c>
      <x:c r="P101" s="144" t="str">
        <x:v>否</x:v>
      </x:c>
      <x:c r="Q101" s="144" t="str">
        <x:v>否</x:v>
      </x:c>
      <x:c r="R101" s="144" t="str">
        <x:v>永久RAM</x:v>
      </x:c>
      <x:c r="S101" s="144" t="str">
        <x:v>uint32 0x00000000（端序按目标平台）</x:v>
      </x:c>
      <x:c r="T101" s="144" t="str">
        <x:v>0x0100</x:v>
      </x:c>
      <x:c r="U101" s="144" t="str">
        <x:v>Fee动态（Bank0/Bank1；块物理地址不固定）</x:v>
      </x:c>
      <x:c r="V101" s="144" t="str">
        <x:v>NvM_Cfg.c:4520（ID 95 descriptor）</x:v>
      </x:c>
      <x:c r="W101" s="144" t="str">
        <x:v>读/写/状态码、掉电、默认恢复、版本迁移。</x:v>
      </x:c>
    </x:row>
    <x:row r="102" ht="54" customHeight="1">
      <x:c r="A102" s="144" t="n">
        <x:v>96</x:v>
      </x:c>
      <x:c r="B102" s="144" t="str">
        <x:v>NvMBlockDescriptor_ResetReason_Type</x:v>
      </x:c>
      <x:c r="C102" s="144" t="str">
        <x:v>复位/PMIC/OS错误日志</x:v>
      </x:c>
      <x:c r="D102" s="153" t="n">
        <x:v>1</x:v>
      </x:c>
      <x:c r="E102" s="153" t="n">
        <x:v>4096</x:v>
      </x:c>
      <x:c r="F102" s="144" t="str">
        <x:v>NATIVE</x:v>
      </x:c>
      <x:c r="G102" s="144" t="n">
        <x:v>1</x:v>
      </x:c>
      <x:c r="H102" s="144" t="n">
        <x:v>1</x:v>
      </x:c>
      <x:c r="I102" s="144" t="str">
        <x:v>NoCrc</x:v>
      </x:c>
      <x:c r="J102" s="144" t="n">
        <x:v>1</x:v>
      </x:c>
      <x:c r="K102" s="144" t="str">
        <x:v>是</x:v>
      </x:c>
      <x:c r="L102" s="144" t="str">
        <x:v>是</x:v>
      </x:c>
      <x:c r="M102" s="144" t="str">
        <x:v>否</x:v>
      </x:c>
      <x:c r="N102" s="144" t="str">
        <x:v>否</x:v>
      </x:c>
      <x:c r="O102" s="144" t="str">
        <x:v>否</x:v>
      </x:c>
      <x:c r="P102" s="144" t="str">
        <x:v>否</x:v>
      </x:c>
      <x:c r="Q102" s="144" t="str">
        <x:v>否</x:v>
      </x:c>
      <x:c r="R102" s="144" t="str">
        <x:v>永久RAM</x:v>
      </x:c>
      <x:c r="S102" s="144" t="str">
        <x:v>00</x:v>
      </x:c>
      <x:c r="T102" s="144" t="str">
        <x:v>0x0100</x:v>
      </x:c>
      <x:c r="U102" s="144" t="str">
        <x:v>Fee动态（Bank0/Bank1；块物理地址不固定）</x:v>
      </x:c>
      <x:c r="V102" s="144" t="str">
        <x:v>NvM_Cfg.c:4554（ID 96 descriptor）</x:v>
      </x:c>
      <x:c r="W102" s="144" t="str">
        <x:v>读/写/状态码、掉电、默认恢复、版本迁移。</x:v>
      </x:c>
    </x:row>
    <x:row r="103" ht="54" customHeight="1">
      <x:c r="A103" s="144" t="n">
        <x:v>97</x:v>
      </x:c>
      <x:c r="B103" s="144" t="str">
        <x:v>NvM_BLDDetStatus</x:v>
      </x:c>
      <x:c r="C103" s="144" t="str">
        <x:v>启动/刷写状态</x:v>
      </x:c>
      <x:c r="D103" s="153" t="n">
        <x:v>1</x:v>
      </x:c>
      <x:c r="E103" s="153" t="n">
        <x:v>44015</x:v>
      </x:c>
      <x:c r="F103" s="144" t="str">
        <x:v>NATIVE</x:v>
      </x:c>
      <x:c r="G103" s="144" t="n">
        <x:v>1</x:v>
      </x:c>
      <x:c r="H103" s="144" t="n">
        <x:v>1</x:v>
      </x:c>
      <x:c r="I103" s="144" t="str">
        <x:v>NoCrc</x:v>
      </x:c>
      <x:c r="J103" s="144" t="n">
        <x:v>1</x:v>
      </x:c>
      <x:c r="K103" s="144" t="str">
        <x:v>是</x:v>
      </x:c>
      <x:c r="L103" s="144" t="str">
        <x:v>是</x:v>
      </x:c>
      <x:c r="M103" s="144" t="str">
        <x:v>否</x:v>
      </x:c>
      <x:c r="N103" s="144" t="str">
        <x:v>否</x:v>
      </x:c>
      <x:c r="O103" s="144" t="str">
        <x:v>否</x:v>
      </x:c>
      <x:c r="P103" s="144" t="str">
        <x:v>否</x:v>
      </x:c>
      <x:c r="Q103" s="144" t="str">
        <x:v>否</x:v>
      </x:c>
      <x:c r="R103" s="144" t="str">
        <x:v>永久RAM</x:v>
      </x:c>
      <x:c r="S103" s="144" t="str">
        <x:v>00</x:v>
      </x:c>
      <x:c r="T103" s="144" t="str">
        <x:v>0x0100</x:v>
      </x:c>
      <x:c r="U103" s="144" t="str">
        <x:v>Fee动态（Bank0/Bank1；块物理地址不固定）</x:v>
      </x:c>
      <x:c r="V103" s="144" t="str">
        <x:v>NvM_Cfg.c:4588（ID 97 descriptor）</x:v>
      </x:c>
      <x:c r="W103" s="144" t="str">
        <x:v>读/写/状态码、掉电、默认恢复、版本迁移。</x:v>
      </x:c>
    </x:row>
    <x:row r="104" ht="54" customHeight="1">
      <x:c r="A104" s="144" t="n">
        <x:v>98</x:v>
      </x:c>
      <x:c r="B104" s="144" t="str">
        <x:v>NvM_Calibration_TargetPosition</x:v>
      </x:c>
      <x:c r="C104" s="144" t="str">
        <x:v>标定/雷达安装参数</x:v>
      </x:c>
      <x:c r="D104" s="153" t="n">
        <x:v>4</x:v>
      </x:c>
      <x:c r="E104" s="153" t="n">
        <x:v>44006</x:v>
      </x:c>
      <x:c r="F104" s="144" t="str">
        <x:v>NATIVE</x:v>
      </x:c>
      <x:c r="G104" s="144" t="n">
        <x:v>1</x:v>
      </x:c>
      <x:c r="H104" s="144" t="n">
        <x:v>1</x:v>
      </x:c>
      <x:c r="I104" s="144" t="str">
        <x:v>NoCrc</x:v>
      </x:c>
      <x:c r="J104" s="144" t="n">
        <x:v>1</x:v>
      </x:c>
      <x:c r="K104" s="144" t="str">
        <x:v>是</x:v>
      </x:c>
      <x:c r="L104" s="144" t="str">
        <x:v>否</x:v>
      </x:c>
      <x:c r="M104" s="144" t="str">
        <x:v>否</x:v>
      </x:c>
      <x:c r="N104" s="144" t="str">
        <x:v>是</x:v>
      </x:c>
      <x:c r="O104" s="144" t="str">
        <x:v>否</x:v>
      </x:c>
      <x:c r="P104" s="144" t="str">
        <x:v>否</x:v>
      </x:c>
      <x:c r="Q104" s="144" t="str">
        <x:v>否</x:v>
      </x:c>
      <x:c r="R104" s="144" t="str">
        <x:v>永久RAM</x:v>
      </x:c>
      <x:c r="S104" s="144" t="str">
        <x:v>00 45 00 00</x:v>
      </x:c>
      <x:c r="T104" s="144" t="str">
        <x:v>0x0100</x:v>
      </x:c>
      <x:c r="U104" s="144" t="str">
        <x:v>Fee动态（Bank0/Bank1；块物理地址不固定）</x:v>
      </x:c>
      <x:c r="V104" s="144" t="str">
        <x:v>NvM_Cfg.c:4622（ID 98 descriptor）</x:v>
      </x:c>
      <x:c r="W104" s="144" t="str">
        <x:v>读/写/状态码、掉电、默认恢复、版本迁移。</x:v>
      </x:c>
    </x:row>
    <x:row r="105" ht="54" customHeight="1">
      <x:c r="A105" s="144" t="n">
        <x:v>99</x:v>
      </x:c>
      <x:c r="B105" s="144" t="str">
        <x:v>NvM_EDR_Data1</x:v>
      </x:c>
      <x:c r="C105" s="144" t="str">
        <x:v>EDR数据</x:v>
      </x:c>
      <x:c r="D105" s="153" t="n">
        <x:v>4900</x:v>
      </x:c>
      <x:c r="E105" s="153" t="n">
        <x:v>44013</x:v>
      </x:c>
      <x:c r="F105" s="144" t="str">
        <x:v>NATIVE</x:v>
      </x:c>
      <x:c r="G105" s="144" t="n">
        <x:v>1</x:v>
      </x:c>
      <x:c r="H105" s="144" t="n">
        <x:v>0</x:v>
      </x:c>
      <x:c r="I105" s="144" t="str">
        <x:v>NoCrc</x:v>
      </x:c>
      <x:c r="J105" s="144" t="n">
        <x:v>1</x:v>
      </x:c>
      <x:c r="K105" s="144" t="str">
        <x:v>否</x:v>
      </x:c>
      <x:c r="L105" s="144" t="str">
        <x:v>否</x:v>
      </x:c>
      <x:c r="M105" s="144" t="str">
        <x:v>否</x:v>
      </x:c>
      <x:c r="N105" s="144" t="str">
        <x:v>是</x:v>
      </x:c>
      <x:c r="O105" s="144" t="str">
        <x:v>否</x:v>
      </x:c>
      <x:c r="P105" s="144" t="str">
        <x:v>否</x:v>
      </x:c>
      <x:c r="Q105" s="144" t="str">
        <x:v>否</x:v>
      </x:c>
      <x:c r="R105" s="144" t="str">
        <x:v>无永久RAM（NULL）</x:v>
      </x:c>
      <x:c r="S105" s="144" t="str">
        <x:v>无ROM默认块</x:v>
      </x:c>
      <x:c r="T105" s="144" t="str">
        <x:v>0x0100</x:v>
      </x:c>
      <x:c r="U105" s="144" t="str">
        <x:v>Fee动态（Bank0/Bank1；块物理地址不固定）</x:v>
      </x:c>
      <x:c r="V105" s="144" t="str">
        <x:v>NvM_Cfg.c:4656（ID 99 descriptor）</x:v>
      </x:c>
      <x:c r="W105" s="144" t="str">
        <x:v>4900B边界、写频率/寿命、掉电中断与诊断读取。</x:v>
      </x:c>
    </x:row>
    <x:row r="106" ht="54" customHeight="1">
      <x:c r="A106" s="144" t="n">
        <x:v>100</x:v>
      </x:c>
      <x:c r="B106" s="144" t="str">
        <x:v>NvM_EDR_Data2</x:v>
      </x:c>
      <x:c r="C106" s="144" t="str">
        <x:v>EDR数据</x:v>
      </x:c>
      <x:c r="D106" s="153" t="n">
        <x:v>4900</x:v>
      </x:c>
      <x:c r="E106" s="153" t="n">
        <x:v>44014</x:v>
      </x:c>
      <x:c r="F106" s="144" t="str">
        <x:v>NATIVE</x:v>
      </x:c>
      <x:c r="G106" s="144" t="n">
        <x:v>1</x:v>
      </x:c>
      <x:c r="H106" s="144" t="n">
        <x:v>0</x:v>
      </x:c>
      <x:c r="I106" s="144" t="str">
        <x:v>NoCrc</x:v>
      </x:c>
      <x:c r="J106" s="144" t="n">
        <x:v>1</x:v>
      </x:c>
      <x:c r="K106" s="144" t="str">
        <x:v>否</x:v>
      </x:c>
      <x:c r="L106" s="144" t="str">
        <x:v>否</x:v>
      </x:c>
      <x:c r="M106" s="144" t="str">
        <x:v>否</x:v>
      </x:c>
      <x:c r="N106" s="144" t="str">
        <x:v>是</x:v>
      </x:c>
      <x:c r="O106" s="144" t="str">
        <x:v>否</x:v>
      </x:c>
      <x:c r="P106" s="144" t="str">
        <x:v>否</x:v>
      </x:c>
      <x:c r="Q106" s="144" t="str">
        <x:v>否</x:v>
      </x:c>
      <x:c r="R106" s="144" t="str">
        <x:v>无永久RAM（NULL）</x:v>
      </x:c>
      <x:c r="S106" s="144" t="str">
        <x:v>无ROM默认块</x:v>
      </x:c>
      <x:c r="T106" s="144" t="str">
        <x:v>0x0100</x:v>
      </x:c>
      <x:c r="U106" s="144" t="str">
        <x:v>Fee动态（Bank0/Bank1；块物理地址不固定）</x:v>
      </x:c>
      <x:c r="V106" s="144" t="str">
        <x:v>NvM_Cfg.c:4689（ID 100 descriptor）</x:v>
      </x:c>
      <x:c r="W106" s="144" t="str">
        <x:v>4900B边界、写频率/寿命、掉电中断与诊断读取。</x:v>
      </x:c>
    </x:row>
    <x:row r="107" ht="54" customHeight="1">
      <x:c r="A107" s="144" t="n">
        <x:v>101</x:v>
      </x:c>
      <x:c r="B107" s="144" t="str">
        <x:v>NvM_EDR_WRITE_FLAG</x:v>
      </x:c>
      <x:c r="C107" s="144" t="str">
        <x:v>EDR数据</x:v>
      </x:c>
      <x:c r="D107" s="153" t="n">
        <x:v>2</x:v>
      </x:c>
      <x:c r="E107" s="153" t="n">
        <x:v>44019</x:v>
      </x:c>
      <x:c r="F107" s="144" t="str">
        <x:v>NATIVE</x:v>
      </x:c>
      <x:c r="G107" s="144" t="n">
        <x:v>1</x:v>
      </x:c>
      <x:c r="H107" s="144" t="n">
        <x:v>0</x:v>
      </x:c>
      <x:c r="I107" s="144" t="str">
        <x:v>NoCrc</x:v>
      </x:c>
      <x:c r="J107" s="144" t="n">
        <x:v>1</x:v>
      </x:c>
      <x:c r="K107" s="144" t="str">
        <x:v>是</x:v>
      </x:c>
      <x:c r="L107" s="144" t="str">
        <x:v>否</x:v>
      </x:c>
      <x:c r="M107" s="144" t="str">
        <x:v>否</x:v>
      </x:c>
      <x:c r="N107" s="144" t="str">
        <x:v>否</x:v>
      </x:c>
      <x:c r="O107" s="144" t="str">
        <x:v>否</x:v>
      </x:c>
      <x:c r="P107" s="144" t="str">
        <x:v>否</x:v>
      </x:c>
      <x:c r="Q107" s="144" t="str">
        <x:v>否</x:v>
      </x:c>
      <x:c r="R107" s="144" t="str">
        <x:v>永久RAM</x:v>
      </x:c>
      <x:c r="S107" s="144" t="str">
        <x:v>无ROM默认块</x:v>
      </x:c>
      <x:c r="T107" s="144" t="str">
        <x:v>0x0100</x:v>
      </x:c>
      <x:c r="U107" s="144" t="str">
        <x:v>Fee动态（Bank0/Bank1；块物理地址不固定）</x:v>
      </x:c>
      <x:c r="V107" s="144" t="str">
        <x:v>NvM_Cfg.c:4722（ID 101 descriptor）</x:v>
      </x:c>
      <x:c r="W107" s="144" t="str">
        <x:v>4900B边界、写频率/寿命、掉电中断与诊断读取。</x:v>
      </x:c>
    </x:row>
    <x:row r="108" ht="54" customHeight="1">
      <x:c r="A108" s="144" t="n">
        <x:v>102</x:v>
      </x:c>
      <x:c r="B108" s="144" t="str">
        <x:v>NvM_FaultMask_Info</x:v>
      </x:c>
      <x:c r="C108" s="144" t="str">
        <x:v>诊断/故障事件存储</x:v>
      </x:c>
      <x:c r="D108" s="153" t="n">
        <x:v>32</x:v>
      </x:c>
      <x:c r="E108" s="153" t="n">
        <x:v>44016</x:v>
      </x:c>
      <x:c r="F108" s="144" t="str">
        <x:v>NATIVE</x:v>
      </x:c>
      <x:c r="G108" s="144" t="n">
        <x:v>1</x:v>
      </x:c>
      <x:c r="H108" s="144" t="n">
        <x:v>0</x:v>
      </x:c>
      <x:c r="I108" s="144" t="str">
        <x:v>NoCrc</x:v>
      </x:c>
      <x:c r="J108" s="144" t="n">
        <x:v>1</x:v>
      </x:c>
      <x:c r="K108" s="144" t="str">
        <x:v>是</x:v>
      </x:c>
      <x:c r="L108" s="144" t="str">
        <x:v>否</x:v>
      </x:c>
      <x:c r="M108" s="144" t="str">
        <x:v>否</x:v>
      </x:c>
      <x:c r="N108" s="144" t="str">
        <x:v>否</x:v>
      </x:c>
      <x:c r="O108" s="144" t="str">
        <x:v>是</x:v>
      </x:c>
      <x:c r="P108" s="144" t="str">
        <x:v>否</x:v>
      </x:c>
      <x:c r="Q108" s="144" t="str">
        <x:v>否</x:v>
      </x:c>
      <x:c r="R108" s="144" t="str">
        <x:v>Explicit Sync共享镜像</x:v>
      </x:c>
      <x:c r="S108" s="144" t="str">
        <x:v>无ROM默认块</x:v>
      </x:c>
      <x:c r="T108" s="144" t="str">
        <x:v>0x0100</x:v>
      </x:c>
      <x:c r="U108" s="144" t="str">
        <x:v>Fee动态（Bank0/Bank1；块物理地址不固定）</x:v>
      </x:c>
      <x:c r="V108" s="144" t="str">
        <x:v>NvM_Cfg.c:4755（ID 102 descriptor）</x:v>
      </x:c>
      <x:c r="W108" s="144" t="str">
        <x:v>Dem并发/0x19/ClearDTC、共享镜像、满载与断电一致性。</x:v>
      </x:c>
    </x:row>
    <x:row r="109" ht="54" customHeight="1">
      <x:c r="A109" s="144" t="n">
        <x:v>103</x:v>
      </x:c>
      <x:c r="B109" s="144" t="str">
        <x:v>NvM_PFDem_ErrorInfo</x:v>
      </x:c>
      <x:c r="C109" s="144" t="str">
        <x:v>诊断/故障事件存储</x:v>
      </x:c>
      <x:c r="D109" s="153" t="n">
        <x:v>512</x:v>
      </x:c>
      <x:c r="E109" s="153" t="n">
        <x:v>44009</x:v>
      </x:c>
      <x:c r="F109" s="144" t="str">
        <x:v>NATIVE</x:v>
      </x:c>
      <x:c r="G109" s="144" t="n">
        <x:v>1</x:v>
      </x:c>
      <x:c r="H109" s="144" t="n">
        <x:v>0</x:v>
      </x:c>
      <x:c r="I109" s="144" t="str">
        <x:v>NoCrc</x:v>
      </x:c>
      <x:c r="J109" s="144" t="n">
        <x:v>1</x:v>
      </x:c>
      <x:c r="K109" s="144" t="str">
        <x:v>是</x:v>
      </x:c>
      <x:c r="L109" s="144" t="str">
        <x:v>否</x:v>
      </x:c>
      <x:c r="M109" s="144" t="str">
        <x:v>否</x:v>
      </x:c>
      <x:c r="N109" s="144" t="str">
        <x:v>是</x:v>
      </x:c>
      <x:c r="O109" s="144" t="str">
        <x:v>否</x:v>
      </x:c>
      <x:c r="P109" s="144" t="str">
        <x:v>否</x:v>
      </x:c>
      <x:c r="Q109" s="144" t="str">
        <x:v>否</x:v>
      </x:c>
      <x:c r="R109" s="144" t="str">
        <x:v>永久RAM</x:v>
      </x:c>
      <x:c r="S109" s="144" t="str">
        <x:v>无ROM默认块</x:v>
      </x:c>
      <x:c r="T109" s="144" t="str">
        <x:v>0x0100</x:v>
      </x:c>
      <x:c r="U109" s="144" t="str">
        <x:v>Fee动态（Bank0/Bank1；块物理地址不固定）</x:v>
      </x:c>
      <x:c r="V109" s="144" t="str">
        <x:v>NvM_Cfg.c:4789（ID 103 descriptor）</x:v>
      </x:c>
      <x:c r="W109" s="144" t="str">
        <x:v>Dem并发/0x19/ClearDTC、共享镜像、满载与断电一致性。</x:v>
      </x:c>
    </x:row>
    <x:row r="110" ht="54" customHeight="1">
      <x:c r="A110" s="144" t="n">
        <x:v>104</x:v>
      </x:c>
      <x:c r="B110" s="144" t="str">
        <x:v>NvM_Security_Key</x:v>
      </x:c>
      <x:c r="C110" s="144" t="str">
        <x:v>诊断安全访问/安全数据</x:v>
      </x:c>
      <x:c r="D110" s="153" t="n">
        <x:v>32</x:v>
      </x:c>
      <x:c r="E110" s="153" t="n">
        <x:v>44018</x:v>
      </x:c>
      <x:c r="F110" s="144" t="str">
        <x:v>NATIVE</x:v>
      </x:c>
      <x:c r="G110" s="144" t="n">
        <x:v>1</x:v>
      </x:c>
      <x:c r="H110" s="144" t="n">
        <x:v>0</x:v>
      </x:c>
      <x:c r="I110" s="144" t="str">
        <x:v>NoCrc</x:v>
      </x:c>
      <x:c r="J110" s="144" t="n">
        <x:v>1</x:v>
      </x:c>
      <x:c r="K110" s="144" t="str">
        <x:v>是</x:v>
      </x:c>
      <x:c r="L110" s="144" t="str">
        <x:v>否</x:v>
      </x:c>
      <x:c r="M110" s="144" t="str">
        <x:v>否</x:v>
      </x:c>
      <x:c r="N110" s="144" t="str">
        <x:v>否</x:v>
      </x:c>
      <x:c r="O110" s="144" t="str">
        <x:v>否</x:v>
      </x:c>
      <x:c r="P110" s="144" t="str">
        <x:v>否</x:v>
      </x:c>
      <x:c r="Q110" s="144" t="str">
        <x:v>否</x:v>
      </x:c>
      <x:c r="R110" s="144" t="str">
        <x:v>永久RAM</x:v>
      </x:c>
      <x:c r="S110" s="144" t="str">
        <x:v>无ROM默认块</x:v>
      </x:c>
      <x:c r="T110" s="144" t="str">
        <x:v>0x0100</x:v>
      </x:c>
      <x:c r="U110" s="144" t="str">
        <x:v>Fee动态（Bank0/Bank1；块物理地址不固定）</x:v>
      </x:c>
      <x:c r="V110" s="144" t="str">
        <x:v>NvM_Cfg.c:4823（ID 104 descriptor）</x:v>
      </x:c>
      <x:c r="W110" s="144" t="str">
        <x:v>失败计数/密钥数据权限、持久化、掉电与信息隔离。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7fbe20aaff8c440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32" hidden="0" customWidth="1"/>
    <x:col min="8" max="8" width="46" hidden="0" customWidth="1"/>
    <x:col min="9" max="9" width="42" hidden="0" customWidth="1"/>
    <x:col min="10" max="10" width="42" hidden="0" customWidth="1"/>
    <x:col min="11" max="11" width="38" hidden="0" customWidth="1"/>
  </x:cols>
  <x:sheetData>
    <x:row r="1" ht="30" customHeight="1">
      <x:c r="A1" s="133" t="str">
        <x:v>Dcm / CanTp / Dem 配置基线</x:v>
      </x:c>
      <x:c r="B1" s="133" t="str">
        <x:v>Dcm / CanTp / Dem 配置基线</x:v>
      </x:c>
      <x:c r="C1" s="133" t="str">
        <x:v>Dcm / CanTp / Dem 配置基线</x:v>
      </x:c>
      <x:c r="D1" s="133" t="str">
        <x:v>Dcm / CanTp / Dem 配置基线</x:v>
      </x:c>
      <x:c r="E1" s="133" t="str">
        <x:v>Dcm / CanTp / Dem 配置基线</x:v>
      </x:c>
      <x:c r="F1" s="133" t="str">
        <x:v>Dcm / CanTp / Dem 配置基线</x:v>
      </x:c>
      <x:c r="G1" s="133" t="str">
        <x:v>Dcm / CanTp / Dem 配置基线</x:v>
      </x:c>
      <x:c r="H1" s="133" t="str">
        <x:v>Dcm / CanTp / Dem 配置基线</x:v>
      </x:c>
      <x:c r="I1" s="133" t="str">
        <x:v>Dcm / CanTp / Dem 配置基线</x:v>
      </x:c>
      <x:c r="J1" s="133" t="str">
        <x:v>Dcm / CanTp / Dem 配置基线</x:v>
      </x:c>
      <x:c r="K1" s="133" t="str">
        <x:v>Dcm / CanTp / Dem 配置基线</x:v>
      </x:c>
    </x:row>
    <x:row r="2" ht="36" customHeight="1">
      <x:c r="A2" s="136" t="str">
        <x:v>本页只把生成配置的显式值转为需求输入；DID/Routine的业务语义、权限、回调和NRC仍需OEM/数据Owner签署，禁止凭ID猜测。</x:v>
      </x:c>
      <x:c r="B2" s="136" t="str">
        <x:v>本页只把生成配置的显式值转为需求输入；DID/Routine的业务语义、权限、回调和NRC仍需OEM/数据Owner签署，禁止凭ID猜测。</x:v>
      </x:c>
      <x:c r="C2" s="136" t="str">
        <x:v>本页只把生成配置的显式值转为需求输入；DID/Routine的业务语义、权限、回调和NRC仍需OEM/数据Owner签署，禁止凭ID猜测。</x:v>
      </x:c>
      <x:c r="D2" s="136" t="str">
        <x:v>本页只把生成配置的显式值转为需求输入；DID/Routine的业务语义、权限、回调和NRC仍需OEM/数据Owner签署，禁止凭ID猜测。</x:v>
      </x:c>
      <x:c r="E2" s="136" t="str">
        <x:v>本页只把生成配置的显式值转为需求输入；DID/Routine的业务语义、权限、回调和NRC仍需OEM/数据Owner签署，禁止凭ID猜测。</x:v>
      </x:c>
      <x:c r="F2" s="136" t="str">
        <x:v>本页只把生成配置的显式值转为需求输入；DID/Routine的业务语义、权限、回调和NRC仍需OEM/数据Owner签署，禁止凭ID猜测。</x:v>
      </x:c>
      <x:c r="G2" s="136" t="str">
        <x:v>本页只把生成配置的显式值转为需求输入；DID/Routine的业务语义、权限、回调和NRC仍需OEM/数据Owner签署，禁止凭ID猜测。</x:v>
      </x:c>
      <x:c r="H2" s="136" t="str">
        <x:v>本页只把生成配置的显式值转为需求输入；DID/Routine的业务语义、权限、回调和NRC仍需OEM/数据Owner签署，禁止凭ID猜测。</x:v>
      </x:c>
      <x:c r="I2" s="136" t="str">
        <x:v>本页只把生成配置的显式值转为需求输入；DID/Routine的业务语义、权限、回调和NRC仍需OEM/数据Owner签署，禁止凭ID猜测。</x:v>
      </x:c>
      <x:c r="J2" s="136" t="str">
        <x:v>本页只把生成配置的显式值转为需求输入；DID/Routine的业务语义、权限、回调和NRC仍需OEM/数据Owner签署，禁止凭ID猜测。</x:v>
      </x:c>
      <x:c r="K2" s="136" t="str">
        <x:v>本页只把生成配置的显式值转为需求输入；DID/Routine的业务语义、权限、回调和NRC仍需OEM/数据Owner签署，禁止凭ID猜测。</x:v>
      </x:c>
    </x:row>
    <x:row r="5" ht="34" customHeight="1">
      <x:c r="A5" s="150" t="str">
        <x:v>类型</x:v>
      </x:c>
      <x:c r="B5" s="151" t="str">
        <x:v>标识</x:v>
      </x:c>
      <x:c r="C5" s="151" t="str">
        <x:v>名称/用途</x:v>
      </x:c>
      <x:c r="D5" s="151" t="str">
        <x:v>长度/时序</x:v>
      </x:c>
      <x:c r="E5" s="151" t="str">
        <x:v>会话/权限</x:v>
      </x:c>
      <x:c r="F5" s="151" t="str">
        <x:v>安全级</x:v>
      </x:c>
      <x:c r="G5" s="151" t="str">
        <x:v>工程显式配置</x:v>
      </x:c>
      <x:c r="H5" s="151" t="str">
        <x:v>需求化结论/待确认</x:v>
      </x:c>
      <x:c r="I5" s="151" t="str">
        <x:v>东软交付要求</x:v>
      </x:c>
      <x:c r="J5" s="151" t="str">
        <x:v>验收重点</x:v>
      </x:c>
      <x:c r="K5" s="152" t="str">
        <x:v>证据</x:v>
      </x:c>
    </x:row>
    <x:row r="6" ht="68" customHeight="1">
      <x:c r="A6" s="144" t="str">
        <x:v>总体</x:v>
      </x:c>
      <x:c r="B6" s="144" t="str">
        <x:v>Dcm</x:v>
      </x:c>
      <x:c r="C6" s="144" t="str">
        <x:v>DSL/DSD</x:v>
      </x:c>
      <x:c r="D6" s="144" t="str">
        <x:v>Main 10ms；S3 5s；共享buffer 4098B；最大响应4095B</x:v>
      </x:c>
      <x:c r="E6" s="144" t="str">
        <x:v>1 connection；物理+功能2 Rx；1 Tx</x:v>
      </x:c>
      <x:c r="F6" s="144" t="str">
        <x:v>-</x:v>
      </x:c>
      <x:c r="G6" s="144" t="str">
        <x:v>生成配置显式值</x:v>
      </x:c>
      <x:c r="H6" s="144" t="str">
        <x:v>保持为参考基线，最终以OEM规范签署。</x:v>
      </x:c>
      <x:c r="I6" s="144" t="str">
        <x:v>交配置规格、buffer/connection/PDU映射。</x:v>
      </x:c>
      <x:c r="J6" s="144" t="str">
        <x:v>P2/P2*/S3、4095边界、并发/超时。</x:v>
      </x:c>
      <x:c r="K6" s="144" t="str">
        <x:v>Dcm_Cfg_DslDsd.h:29-31,85,133,141；Dcm_Lcfg_Dsl.c:35,54-67</x:v>
      </x:c>
    </x:row>
    <x:row r="7" ht="68" customHeight="1">
      <x:c r="A7" s="144" t="str">
        <x:v>Service</x:v>
      </x:c>
      <x:c r="B7" s="144" t="str">
        <x:v>0x10</x:v>
      </x:c>
      <x:c r="C7" s="144" t="str">
        <x:v>DiagnosticSessionControl</x:v>
      </x:c>
      <x:c r="D7" s="144" t="str">
        <x:v>-</x:v>
      </x:c>
      <x:c r="E7" s="144" t="str">
        <x:v>生成表启用；逐session子功能需导出</x:v>
      </x:c>
      <x:c r="F7" s="144" t="str">
        <x:v>按session切换</x:v>
      </x:c>
      <x:c r="G7" s="144" t="str">
        <x:v>启用</x:v>
      </x:c>
      <x:c r="H7" s="144" t="str">
        <x:v>编程/扩展/厂家session的进入条件与Boot联动需冻结。</x:v>
      </x:c>
      <x:c r="I7" s="144" t="str">
        <x:v>服务/子功能/NRC/Boot切换矩阵。</x:v>
      </x:c>
      <x:c r="J7" s="144" t="str">
        <x:v>支持/不支持子功能、P2/P2*切换、S3回默认。</x:v>
      </x:c>
      <x:c r="K7" s="144" t="str">
        <x:v>Dcm_Lcfg_Dsd.c:367-556</x:v>
      </x:c>
    </x:row>
    <x:row r="8" ht="68" customHeight="1">
      <x:c r="A8" s="144" t="str">
        <x:v>Service</x:v>
      </x:c>
      <x:c r="B8" s="144" t="str">
        <x:v>0x11</x:v>
      </x:c>
      <x:c r="C8" s="144" t="str">
        <x:v>ECUReset</x:v>
      </x:c>
      <x:c r="D8" s="144" t="str">
        <x:v>-</x:v>
      </x:c>
      <x:c r="E8" s="144" t="str">
        <x:v>session mask 0x06</x:v>
      </x:c>
      <x:c r="F8" s="144" t="str">
        <x:v>security mask 0x02</x:v>
      </x:c>
      <x:c r="G8" s="144" t="str">
        <x:v>启用</x:v>
      </x:c>
      <x:c r="H8" s="144" t="str">
        <x:v>reset type、NvM/DEM收尾、warm response需闭环。</x:v>
      </x:c>
      <x:c r="I8" s="144" t="str">
        <x:v>reset矩阵与EcuM/BswM callout。</x:v>
      </x:c>
      <x:c r="J8" s="144" t="str">
        <x:v>每种reset、忙/条件不满足/掉电。</x:v>
      </x:c>
      <x:c r="K8" s="144" t="str">
        <x:v>Dcm_Lcfg_Dsd.c:367-556</x:v>
      </x:c>
    </x:row>
    <x:row r="9" ht="68" customHeight="1">
      <x:c r="A9" s="144" t="str">
        <x:v>Service</x:v>
      </x:c>
      <x:c r="B9" s="144" t="str">
        <x:v>0x14</x:v>
      </x:c>
      <x:c r="C9" s="144" t="str">
        <x:v>ClearDiagnosticInformation</x:v>
      </x:c>
      <x:c r="D9" s="144" t="str">
        <x:v>-</x:v>
      </x:c>
      <x:c r="E9" s="144" t="str">
        <x:v>session mask 0x05</x:v>
      </x:c>
      <x:c r="F9" s="144" t="str">
        <x:v>全部安全级</x:v>
      </x:c>
      <x:c r="G9" s="144" t="str">
        <x:v>启用</x:v>
      </x:c>
      <x:c r="H9" s="144" t="str">
        <x:v>Clear完成时机为nonvolatile-finish。</x:v>
      </x:c>
      <x:c r="I9" s="144" t="str">
        <x:v>清除范围/条件/回调矩阵。</x:v>
      </x:c>
      <x:c r="J9" s="144" t="str">
        <x:v>存储忙/NvM失败/掉电/完成响应。</x:v>
      </x:c>
      <x:c r="K9" s="144" t="str">
        <x:v>Dcm_Lcfg_Dsd.c；Dem_Cfg_Clear.h:27-55</x:v>
      </x:c>
    </x:row>
    <x:row r="10" ht="68" customHeight="1">
      <x:c r="A10" s="144" t="str">
        <x:v>Service</x:v>
      </x:c>
      <x:c r="B10" s="144" t="str">
        <x:v>0x19</x:v>
      </x:c>
      <x:c r="C10" s="144" t="str">
        <x:v>ReadDTCInformation</x:v>
      </x:c>
      <x:c r="D10" s="144" t="str">
        <x:v>sub 01/02/04/06/0A</x:v>
      </x:c>
      <x:c r="E10" s="144" t="str">
        <x:v>session mask 0x05</x:v>
      </x:c>
      <x:c r="F10" s="144" t="str">
        <x:v>全部安全级</x:v>
      </x:c>
      <x:c r="G10" s="144" t="str">
        <x:v>启用</x:v>
      </x:c>
      <x:c r="H10" s="144" t="str">
        <x:v>需与217 Event/59 DTC/FF/ExtData一致。</x:v>
      </x:c>
      <x:c r="I10" s="144" t="str">
        <x:v>0x19子功能与status mask矩阵。</x:v>
      </x:c>
      <x:c r="J10" s="144" t="str">
        <x:v>每子功能、空/满存储、边界记录。</x:v>
      </x:c>
      <x:c r="K10" s="144" t="str">
        <x:v>Dcm_Cfg_DspUds.h:86-110</x:v>
      </x:c>
    </x:row>
    <x:row r="11" ht="68" customHeight="1">
      <x:c r="A11" s="144" t="str">
        <x:v>Service</x:v>
      </x:c>
      <x:c r="B11" s="144" t="str">
        <x:v>0x22</x:v>
      </x:c>
      <x:c r="C11" s="144" t="str">
        <x:v>ReadDataByIdentifier</x:v>
      </x:c>
      <x:c r="D11" s="144" t="str">
        <x:v>48 DID</x:v>
      </x:c>
      <x:c r="E11" s="144" t="str">
        <x:v>全部会话</x:v>
      </x:c>
      <x:c r="F11" s="144" t="str">
        <x:v>全部安全级</x:v>
      </x:c>
      <x:c r="G11" s="144" t="str">
        <x:v>启用</x:v>
      </x:c>
      <x:c r="H11" s="144" t="str">
        <x:v>每DID回调/端序/长度/条件需逐项冻结。</x:v>
      </x:c>
      <x:c r="I11" s="144" t="str">
        <x:v>48 DID矩阵和自动测试。</x:v>
      </x:c>
      <x:c r="J11" s="144" t="str">
        <x:v>全DID、错长度、条件/NRC、超时。</x:v>
      </x:c>
      <x:c r="K11" s="144" t="str">
        <x:v>Dcm_Lcfg_DspUds.c:2921-3005</x:v>
      </x:c>
    </x:row>
    <x:row r="12" ht="68" customHeight="1">
      <x:c r="A12" s="144" t="str">
        <x:v>Service</x:v>
      </x:c>
      <x:c r="B12" s="144" t="str">
        <x:v>0x27</x:v>
      </x:c>
      <x:c r="C12" s="144" t="str">
        <x:v>SecurityAccess</x:v>
      </x:c>
      <x:c r="D12" s="144" t="str">
        <x:v>L1 4/4；L31 250/2000；L32同</x:v>
      </x:c>
      <x:c r="E12" s="144" t="str">
        <x:v>session mask 0x14</x:v>
      </x:c>
      <x:c r="F12" s="144" t="str">
        <x:v>各level配置</x:v>
      </x:c>
      <x:c r="G12" s="144" t="str">
        <x:v>启用</x:v>
      </x:c>
      <x:c r="H12" s="144" t="str">
        <x:v>算法/延时/计数/生命周期由安全方输入，不复制样例实现。</x:v>
      </x:c>
      <x:c r="I12" s="144" t="str">
        <x:v>安全访问ICD与HSM适配。</x:v>
      </x:c>
      <x:c r="J12" s="144" t="str">
        <x:v>正确/错误/重放/暴力/掉电/超时。</x:v>
      </x:c>
      <x:c r="K12" s="144" t="str">
        <x:v>Dcm_Lcfg_DspUds.c:102-181</x:v>
      </x:c>
    </x:row>
    <x:row r="13" ht="68" customHeight="1">
      <x:c r="A13" s="144" t="str">
        <x:v>Service</x:v>
      </x:c>
      <x:c r="B13" s="144" t="str">
        <x:v>0x28</x:v>
      </x:c>
      <x:c r="C13" s="144" t="str">
        <x:v>CommunicationControl</x:v>
      </x:c>
      <x:c r="D13" s="144" t="str">
        <x:v>-</x:v>
      </x:c>
      <x:c r="E13" s="144" t="str">
        <x:v>session mask 0x04</x:v>
      </x:c>
      <x:c r="F13" s="144" t="str">
        <x:v>全部安全级</x:v>
      </x:c>
      <x:c r="G13" s="144" t="str">
        <x:v>启用</x:v>
      </x:c>
      <x:c r="H13" s="144" t="str">
        <x:v>禁止通信CAN ID/PDU group范围必须由OEM明确。</x:v>
      </x:c>
      <x:c r="I13" s="144" t="str">
        <x:v>控制范围和模式矩阵。</x:v>
      </x:c>
      <x:c r="J13" s="144" t="str">
        <x:v>Rx/Tx/both、NM保持、恢复、诊断响应。</x:v>
      </x:c>
      <x:c r="K13" s="144" t="str">
        <x:v>Dcm_Lcfg_Dsd.c:367-556；附件QA31</x:v>
      </x:c>
    </x:row>
    <x:row r="14" ht="68" customHeight="1">
      <x:c r="A14" s="144" t="str">
        <x:v>Service</x:v>
      </x:c>
      <x:c r="B14" s="144" t="str">
        <x:v>0x2E</x:v>
      </x:c>
      <x:c r="C14" s="144" t="str">
        <x:v>WriteDataByIdentifier</x:v>
      </x:c>
      <x:c r="D14" s="144" t="str">
        <x:v>写DID子集</x:v>
      </x:c>
      <x:c r="E14" s="144" t="str">
        <x:v>session mask 0x14</x:v>
      </x:c>
      <x:c r="F14" s="144" t="str">
        <x:v>security mask 0x06</x:v>
      </x:c>
      <x:c r="G14" s="144" t="str">
        <x:v>启用</x:v>
      </x:c>
      <x:c r="H14" s="144" t="str">
        <x:v>写DID与NvM块、默认/写频率/掉电需逐项关联。</x:v>
      </x:c>
      <x:c r="I14" s="144" t="str">
        <x:v>DID写矩阵、NvM mapping。</x:v>
      </x:c>
      <x:c r="J14" s="144" t="str">
        <x:v>权限、长度、持久化、写失败。</x:v>
      </x:c>
      <x:c r="K14" s="144" t="str">
        <x:v>Dcm_Lcfg_Dsd.c:367-556</x:v>
      </x:c>
    </x:row>
    <x:row r="15" ht="68" customHeight="1">
      <x:c r="A15" s="144" t="str">
        <x:v>Service</x:v>
      </x:c>
      <x:c r="B15" s="144" t="str">
        <x:v>0x31</x:v>
      </x:c>
      <x:c r="C15" s="144" t="str">
        <x:v>RoutineControl</x:v>
      </x:c>
      <x:c r="D15" s="144" t="str">
        <x:v>5 Routine</x:v>
      </x:c>
      <x:c r="E15" s="144" t="str">
        <x:v>session mask 0x14</x:v>
      </x:c>
      <x:c r="F15" s="144" t="str">
        <x:v>按Routine不同</x:v>
      </x:c>
      <x:c r="G15" s="144" t="str">
        <x:v>启用</x:v>
      </x:c>
      <x:c r="H15" s="144" t="str">
        <x:v>每Routine异步/取消/NRC/安全影响需冻结。</x:v>
      </x:c>
      <x:c r="I15" s="144" t="str">
        <x:v>Routine矩阵。</x:v>
      </x:c>
      <x:c r="J15" s="144" t="str">
        <x:v>start/stop/result、busy、超时、掉电。</x:v>
      </x:c>
      <x:c r="K15" s="144" t="str">
        <x:v>Dcm_Lcfg_DspUds.c:359-404,823-951</x:v>
      </x:c>
    </x:row>
    <x:row r="16" ht="68" customHeight="1">
      <x:c r="A16" s="144" t="str">
        <x:v>Service</x:v>
      </x:c>
      <x:c r="B16" s="144" t="str">
        <x:v>0x3E</x:v>
      </x:c>
      <x:c r="C16" s="144" t="str">
        <x:v>TesterPresent</x:v>
      </x:c>
      <x:c r="D16" s="144" t="str">
        <x:v>-</x:v>
      </x:c>
      <x:c r="E16" s="144" t="str">
        <x:v>全部会话</x:v>
      </x:c>
      <x:c r="F16" s="144" t="str">
        <x:v>全部安全级</x:v>
      </x:c>
      <x:c r="G16" s="144" t="str">
        <x:v>启用</x:v>
      </x:c>
      <x:c r="H16" s="144" t="str">
        <x:v>功能寻址和suppress positive response需按规范。</x:v>
      </x:c>
      <x:c r="I16" s="144" t="str">
        <x:v>子功能/寻址矩阵。</x:v>
      </x:c>
      <x:c r="J16" s="144" t="str">
        <x:v>S3保持、功能寻址、错误subfunction。</x:v>
      </x:c>
      <x:c r="K16" s="144" t="str">
        <x:v>Dcm_Lcfg_Dsd.c:367-556</x:v>
      </x:c>
    </x:row>
    <x:row r="17" ht="68" customHeight="1">
      <x:c r="A17" s="144" t="str">
        <x:v>Service</x:v>
      </x:c>
      <x:c r="B17" s="144" t="str">
        <x:v>0x85</x:v>
      </x:c>
      <x:c r="C17" s="144" t="str">
        <x:v>ControlDTCSetting</x:v>
      </x:c>
      <x:c r="D17" s="144" t="str">
        <x:v>-</x:v>
      </x:c>
      <x:c r="E17" s="144" t="str">
        <x:v>session mask 0x04</x:v>
      </x:c>
      <x:c r="F17" s="144" t="str">
        <x:v>全部安全级</x:v>
      </x:c>
      <x:c r="G17" s="144" t="str">
        <x:v>启用</x:v>
      </x:c>
      <x:c r="H17" s="144" t="str">
        <x:v>关闭期间事件更新/存储行为需明确。</x:v>
      </x:c>
      <x:c r="I17" s="144" t="str">
        <x:v>DTC setting状态机。</x:v>
      </x:c>
      <x:c r="J17" s="144" t="str">
        <x:v>on/off、复位、0x19一致性。</x:v>
      </x:c>
      <x:c r="K17" s="144" t="str">
        <x:v>Dcm_Lcfg_Dsd.c:367-556</x:v>
      </x:c>
    </x:row>
    <x:row r="18" ht="68" customHeight="1">
      <x:c r="A18" s="144" t="str">
        <x:v>Disabled</x:v>
      </x:c>
      <x:c r="B18" s="144" t="str">
        <x:v>0x23/0x24/0x2A/0x2C/0x2F/0x34-0x38/0x3D/0x86</x:v>
      </x:c>
      <x:c r="C18" s="144" t="str">
        <x:v>RMBA/动态DID/周期DID/IOCBI/下载上传/WriteMemory/ROE等</x:v>
      </x:c>
      <x:c r="D18" s="144" t="str">
        <x:v>-</x:v>
      </x:c>
      <x:c r="E18" s="144" t="str">
        <x:v>-</x:v>
      </x:c>
      <x:c r="F18" s="144" t="str">
        <x:v>-</x:v>
      </x:c>
      <x:c r="G18" s="144" t="str">
        <x:v>生成配置关闭</x:v>
      </x:c>
      <x:c r="H18" s="144" t="str">
        <x:v>是否启用必须由正式诊断/Boot需求决定；不能因“所有UDS服务”一句话全部开启。</x:v>
      </x:c>
      <x:c r="I18" s="144" t="str">
        <x:v>显式支持/不支持清单。</x:v>
      </x:c>
      <x:c r="J18" s="144" t="str">
        <x:v>未支持服务返回正确NRC/无副作用。</x:v>
      </x:c>
      <x:c r="K18" s="144" t="str">
        <x:v>Dcm_Lcfg_Dsd.c:367-556</x:v>
      </x:c>
    </x:row>
    <x:row r="19" ht="68" customHeight="1">
      <x:c r="A19" s="144" t="str">
        <x:v>Session</x:v>
      </x:c>
      <x:c r="B19" s="144" t="str">
        <x:v>0x01</x:v>
      </x:c>
      <x:c r="C19" s="144" t="str">
        <x:v>Default</x:v>
      </x:c>
      <x:c r="D19" s="144" t="str">
        <x:v>P2 50ms；P2* 5s</x:v>
      </x:c>
      <x:c r="E19" s="144" t="str">
        <x:v>默认</x:v>
      </x:c>
      <x:c r="F19" s="144" t="str">
        <x:v>-</x:v>
      </x:c>
      <x:c r="G19" s="144" t="str">
        <x:v>启用</x:v>
      </x:c>
      <x:c r="H19" s="144" t="str">
        <x:v>显式值。</x:v>
      </x:c>
      <x:c r="I19" s="144" t="str">
        <x:v>session配置与时序测试。</x:v>
      </x:c>
      <x:c r="J19" s="144" t="str">
        <x:v>P2/P2*/S3边界。</x:v>
      </x:c>
      <x:c r="K19" s="144" t="str">
        <x:v>Dcm_Lcfg_DspUds.c:44-91</x:v>
      </x:c>
    </x:row>
    <x:row r="20" ht="68" customHeight="1">
      <x:c r="A20" s="144" t="str">
        <x:v>Session</x:v>
      </x:c>
      <x:c r="B20" s="144" t="str">
        <x:v>0x02</x:v>
      </x:c>
      <x:c r="C20" s="144" t="str">
        <x:v>Programming</x:v>
      </x:c>
      <x:c r="D20" s="144" t="str">
        <x:v>P2 50ms；P2* 5s</x:v>
      </x:c>
      <x:c r="E20" s="144" t="str">
        <x:v>OEM Boot</x:v>
      </x:c>
      <x:c r="F20" s="144" t="str">
        <x:v>-</x:v>
      </x:c>
      <x:c r="G20" s="144" t="str">
        <x:v>启用</x:v>
      </x:c>
      <x:c r="H20" s="144" t="str">
        <x:v>与Boot、NvM flag、reset链联动。</x:v>
      </x:c>
      <x:c r="I20" s="144" t="str">
        <x:v>App/Boot ICD。</x:v>
      </x:c>
      <x:c r="J20" s="144" t="str">
        <x:v>warm response与失败恢复。</x:v>
      </x:c>
      <x:c r="K20" s="144" t="str">
        <x:v>Dcm_Lcfg_DspUds.c:44-91</x:v>
      </x:c>
    </x:row>
    <x:row r="21" ht="68" customHeight="1">
      <x:c r="A21" s="144" t="str">
        <x:v>Session</x:v>
      </x:c>
      <x:c r="B21" s="144" t="str">
        <x:v>0x03</x:v>
      </x:c>
      <x:c r="C21" s="144" t="str">
        <x:v>Extended</x:v>
      </x:c>
      <x:c r="D21" s="144" t="str">
        <x:v>P2 50ms；P2* 5s</x:v>
      </x:c>
      <x:c r="E21" s="144" t="str">
        <x:v>扩展</x:v>
      </x:c>
      <x:c r="F21" s="144" t="str">
        <x:v>-</x:v>
      </x:c>
      <x:c r="G21" s="144" t="str">
        <x:v>启用</x:v>
      </x:c>
      <x:c r="H21" s="144" t="str">
        <x:v>OEM权限需确认。</x:v>
      </x:c>
      <x:c r="I21" s="144" t="str">
        <x:v>session/service矩阵。</x:v>
      </x:c>
      <x:c r="J21" s="144" t="str">
        <x:v>S3回默认、权限切换。</x:v>
      </x:c>
      <x:c r="K21" s="144" t="str">
        <x:v>Dcm_Lcfg_DspUds.c:44-91</x:v>
      </x:c>
    </x:row>
    <x:row r="22" ht="68" customHeight="1">
      <x:c r="A22" s="144" t="str">
        <x:v>Session</x:v>
      </x:c>
      <x:c r="B22" s="144" t="str">
        <x:v>0x06</x:v>
      </x:c>
      <x:c r="C22" s="144" t="str">
        <x:v>WEIFU</x:v>
      </x:c>
      <x:c r="D22" s="144" t="str">
        <x:v>P2 60ms；P2* 6s</x:v>
      </x:c>
      <x:c r="E22" s="144" t="str">
        <x:v>OEM Boot</x:v>
      </x:c>
      <x:c r="F22" s="144" t="str">
        <x:v>-</x:v>
      </x:c>
      <x:c r="G22" s="144" t="str">
        <x:v>启用</x:v>
      </x:c>
      <x:c r="H22" s="144" t="str">
        <x:v>厂家会话是否量产开放需安全审批。</x:v>
      </x:c>
      <x:c r="I22" s="144" t="str">
        <x:v>生命周期/权限说明。</x:v>
      </x:c>
      <x:c r="J22" s="144" t="str">
        <x:v>未授权生命周期拒绝。</x:v>
      </x:c>
      <x:c r="K22" s="144" t="str">
        <x:v>Dcm_Lcfg_DspUds.c:44-91</x:v>
      </x:c>
    </x:row>
    <x:row r="23" ht="68" customHeight="1">
      <x:c r="A23" s="144" t="str">
        <x:v>Session</x:v>
      </x:c>
      <x:c r="B23" s="144" t="str">
        <x:v>0x60</x:v>
      </x:c>
      <x:c r="C23" s="144" t="str">
        <x:v>BOSCH</x:v>
      </x:c>
      <x:c r="D23" s="144" t="str">
        <x:v>P2 60ms；P2* 6s</x:v>
      </x:c>
      <x:c r="E23" s="144" t="str">
        <x:v>厂家</x:v>
      </x:c>
      <x:c r="F23" s="144" t="str">
        <x:v>-</x:v>
      </x:c>
      <x:c r="G23" s="144" t="str">
        <x:v>启用</x:v>
      </x:c>
      <x:c r="H23" s="144" t="str">
        <x:v>第三方/安全生命周期职责需冻结。</x:v>
      </x:c>
      <x:c r="I23" s="144" t="str">
        <x:v>权限与证书流程。</x:v>
      </x:c>
      <x:c r="J23" s="144" t="str">
        <x:v>认证/超时/生命周期。</x:v>
      </x:c>
      <x:c r="K23" s="144" t="str">
        <x:v>Dcm_Lcfg_DspUds.c:44-91</x:v>
      </x:c>
    </x:row>
    <x:row r="24" ht="68" customHeight="1">
      <x:c r="A24" s="144" t="str">
        <x:v>Security</x:v>
      </x:c>
      <x:c r="B24" s="144" t="str">
        <x:v>L1</x:v>
      </x:c>
      <x:c r="C24" s="144" t="str">
        <x:v>Customer access</x:v>
      </x:c>
      <x:c r="D24" s="144" t="str">
        <x:v>seed 4B/key 4B；power-on/failed delay各1000 tick；3次失败</x:v>
      </x:c>
      <x:c r="E24" s="144" t="str">
        <x:v>相关session</x:v>
      </x:c>
      <x:c r="F24" s="144" t="str">
        <x:v>Level1</x:v>
      </x:c>
      <x:c r="G24" s="144" t="str">
        <x:v>启用</x:v>
      </x:c>
      <x:c r="H24" s="144" t="str">
        <x:v>按10ms Main估算1000 tick≈10s，仅为计算值，须台架实测。</x:v>
      </x:c>
      <x:c r="I24" s="144" t="str">
        <x:v>算法接口、计数NvM、测试向量。</x:v>
      </x:c>
      <x:c r="J24" s="144" t="str">
        <x:v>延迟边界/计数持久化/重放。</x:v>
      </x:c>
      <x:c r="K24" s="144" t="str">
        <x:v>Dcm_Lcfg_DspUds.c:102-181</x:v>
      </x:c>
    </x:row>
    <x:row r="25" ht="68" customHeight="1">
      <x:c r="A25" s="144" t="str">
        <x:v>Security</x:v>
      </x:c>
      <x:c r="B25" s="144" t="str">
        <x:v>L31</x:v>
      </x:c>
      <x:c r="C25" s="144" t="str">
        <x:v>Bosch authentication</x:v>
      </x:c>
      <x:c r="D25" s="144" t="str">
        <x:v>seed 250B/key 2000B；failed delay1000；3次失败</x:v>
      </x:c>
      <x:c r="E25" s="144" t="str">
        <x:v>相关session</x:v>
      </x:c>
      <x:c r="F25" s="144" t="str">
        <x:v>Level31</x:v>
      </x:c>
      <x:c r="G25" s="144" t="str">
        <x:v>异步</x:v>
      </x:c>
      <x:c r="H25" s="144" t="str">
        <x:v>HSM challenge/response，不向外包方提供秘密。</x:v>
      </x:c>
      <x:c r="I25" s="144" t="str">
        <x:v>HSM异步适配与状态机。</x:v>
      </x:c>
      <x:c r="J25" s="144" t="str">
        <x:v>busy/timeout/restart/错误证书。</x:v>
      </x:c>
      <x:c r="K25" s="144" t="str">
        <x:v>Dcm_Lcfg_DspUds.c:102-181</x:v>
      </x:c>
    </x:row>
    <x:row r="26" ht="68" customHeight="1">
      <x:c r="A26" s="144" t="str">
        <x:v>Security</x:v>
      </x:c>
      <x:c r="B26" s="144" t="str">
        <x:v>L32</x:v>
      </x:c>
      <x:c r="C26" s="144" t="str">
        <x:v>Lifecycle transition</x:v>
      </x:c>
      <x:c r="D26" s="144" t="str">
        <x:v>seed 250B/key 2000B；failed delay1000；3次失败</x:v>
      </x:c>
      <x:c r="E26" s="144" t="str">
        <x:v>相关session</x:v>
      </x:c>
      <x:c r="F26" s="144" t="str">
        <x:v>Level32</x:v>
      </x:c>
      <x:c r="G26" s="144" t="str">
        <x:v>异步</x:v>
      </x:c>
      <x:c r="H26" s="144" t="str">
        <x:v>生命周期切换属安全关键操作。</x:v>
      </x:c>
      <x:c r="I26" s="144" t="str">
        <x:v>批准的生命周期ICD。</x:v>
      </x:c>
      <x:c r="J26" s="144" t="str">
        <x:v>每生命周期、断电、回滚/拒绝。</x:v>
      </x:c>
      <x:c r="K26" s="144" t="str">
        <x:v>Dcm_Lcfg_DspUds.c:102-181</x:v>
      </x:c>
    </x:row>
    <x:row r="27" ht="68" customHeight="1">
      <x:c r="A27" s="144" t="str">
        <x:v>Routine</x:v>
      </x:c>
      <x:c r="B27" s="144" t="str">
        <x:v>0x0203</x:v>
      </x:c>
      <x:c r="C27" s="144" t="str">
        <x:v>Routine 0203</x:v>
      </x:c>
      <x:c r="D27" s="144" t="str">
        <x:v>输入输出需导出</x:v>
      </x:c>
      <x:c r="E27" s="144" t="str">
        <x:v>session mask 0x04</x:v>
      </x:c>
      <x:c r="F27" s="144" t="str">
        <x:v>全部安全级</x:v>
      </x:c>
      <x:c r="G27" s="144" t="str">
        <x:v>启用</x:v>
      </x:c>
      <x:c r="H27" s="144" t="str">
        <x:v>具体语义不能仅由ID猜测。</x:v>
      </x:c>
      <x:c r="I27" s="144" t="str">
        <x:v>Routine数据合同。</x:v>
      </x:c>
      <x:c r="J27" s="144" t="str">
        <x:v>全部subfunction和参数边界。</x:v>
      </x:c>
      <x:c r="K27" s="144" t="str">
        <x:v>Dcm_Lcfg_DspUds.c:359-404,823-951</x:v>
      </x:c>
    </x:row>
    <x:row r="28" ht="68" customHeight="1">
      <x:c r="A28" s="144" t="str">
        <x:v>Routine</x:v>
      </x:c>
      <x:c r="B28" s="144" t="str">
        <x:v>0x0302</x:v>
      </x:c>
      <x:c r="C28" s="144" t="str">
        <x:v>Routine 0302</x:v>
      </x:c>
      <x:c r="D28" s="144" t="str">
        <x:v>输入输出需导出</x:v>
      </x:c>
      <x:c r="E28" s="144" t="str">
        <x:v>session mask 0x04</x:v>
      </x:c>
      <x:c r="F28" s="144" t="str">
        <x:v>security mask 0x02</x:v>
      </x:c>
      <x:c r="G28" s="144" t="str">
        <x:v>启用</x:v>
      </x:c>
      <x:c r="H28" s="144" t="str">
        <x:v>同上。</x:v>
      </x:c>
      <x:c r="I28" s="144" t="str">
        <x:v>Routine数据合同。</x:v>
      </x:c>
      <x:c r="J28" s="144" t="str">
        <x:v>权限/异步/超时。</x:v>
      </x:c>
      <x:c r="K28" s="144" t="str">
        <x:v>Dcm_Lcfg_DspUds.c:359-404,823-951</x:v>
      </x:c>
    </x:row>
    <x:row r="29" ht="68" customHeight="1">
      <x:c r="A29" s="144" t="str">
        <x:v>Routine</x:v>
      </x:c>
      <x:c r="B29" s="144" t="str">
        <x:v>0x54DF</x:v>
      </x:c>
      <x:c r="C29" s="144" t="str">
        <x:v>Routine 54DF</x:v>
      </x:c>
      <x:c r="D29" s="144" t="str">
        <x:v>输入输出需导出</x:v>
      </x:c>
      <x:c r="E29" s="144" t="str">
        <x:v>session mask 0x04</x:v>
      </x:c>
      <x:c r="F29" s="144" t="str">
        <x:v>security mask 0x02</x:v>
      </x:c>
      <x:c r="G29" s="144" t="str">
        <x:v>启用</x:v>
      </x:c>
      <x:c r="H29" s="144" t="str">
        <x:v>同上。</x:v>
      </x:c>
      <x:c r="I29" s="144" t="str">
        <x:v>Routine数据合同。</x:v>
      </x:c>
      <x:c r="J29" s="144" t="str">
        <x:v>权限/异步/超时。</x:v>
      </x:c>
      <x:c r="K29" s="144" t="str">
        <x:v>Dcm_Lcfg_DspUds.c:359-404,823-951</x:v>
      </x:c>
    </x:row>
    <x:row r="30" ht="68" customHeight="1">
      <x:c r="A30" s="144" t="str">
        <x:v>Routine</x:v>
      </x:c>
      <x:c r="B30" s="144" t="str">
        <x:v>0xFD00</x:v>
      </x:c>
      <x:c r="C30" s="144" t="str">
        <x:v>安全相关Routine</x:v>
      </x:c>
      <x:c r="D30" s="144" t="str">
        <x:v>输入输出需导出</x:v>
      </x:c>
      <x:c r="E30" s="144" t="str">
        <x:v>session mask 0x10</x:v>
      </x:c>
      <x:c r="F30" s="144" t="str">
        <x:v>security mask 0x04</x:v>
      </x:c>
      <x:c r="G30" s="144" t="str">
        <x:v>启用</x:v>
      </x:c>
      <x:c r="H30" s="144" t="str">
        <x:v>现工程与安全Flash操作关联，必须安全审批。</x:v>
      </x:c>
      <x:c r="I30" s="144" t="str">
        <x:v>安全Routine ICD。</x:v>
      </x:c>
      <x:c r="J30" s="144" t="str">
        <x:v>权限/HSM失败/掉电。</x:v>
      </x:c>
      <x:c r="K30" s="144" t="str">
        <x:v>Dcm_Lcfg_DspUds.c:359-404,823-951</x:v>
      </x:c>
    </x:row>
    <x:row r="31" ht="68" customHeight="1">
      <x:c r="A31" s="144" t="str">
        <x:v>Routine</x:v>
      </x:c>
      <x:c r="B31" s="144" t="str">
        <x:v>0xFD01</x:v>
      </x:c>
      <x:c r="C31" s="144" t="str">
        <x:v>安全相关Routine</x:v>
      </x:c>
      <x:c r="D31" s="144" t="str">
        <x:v>输入输出需导出</x:v>
      </x:c>
      <x:c r="E31" s="144" t="str">
        <x:v>session mask 0x10</x:v>
      </x:c>
      <x:c r="F31" s="144" t="str">
        <x:v>security mask 0x04</x:v>
      </x:c>
      <x:c r="G31" s="144" t="str">
        <x:v>启用</x:v>
      </x:c>
      <x:c r="H31" s="144" t="str">
        <x:v>同上。</x:v>
      </x:c>
      <x:c r="I31" s="144" t="str">
        <x:v>安全Routine ICD。</x:v>
      </x:c>
      <x:c r="J31" s="144" t="str">
        <x:v>权限/HSM失败/掉电。</x:v>
      </x:c>
      <x:c r="K31" s="144" t="str">
        <x:v>Dcm_Lcfg_DspUds.c:359-404,823-951</x:v>
      </x:c>
    </x:row>
    <x:row r="32" ht="68" customHeight="1">
      <x:c r="A32" s="144" t="str">
        <x:v>DID</x:v>
      </x:c>
      <x:c r="B32" s="144" t="str">
        <x:v>0x0103</x:v>
      </x:c>
      <x:c r="C32" s="144" t="str">
        <x:v>DID 0x0103</x:v>
      </x:c>
      <x:c r="D32" s="144" t="str">
        <x:v>1 Byte</x:v>
      </x:c>
      <x:c r="E32" s="144" t="str">
        <x:v>需从正式需求与生成policy逐DID确认</x:v>
      </x:c>
      <x:c r="F32" s="144" t="str">
        <x:v>需逐DID确认</x:v>
      </x:c>
      <x:c r="G32" s="144" t="str">
        <x:v>ID/长度为生成配置显式值</x:v>
      </x:c>
      <x:c r="H32" s="144" t="str">
        <x:v>不得从邻近DID推断语义；需补数据元素、端序、回调、NRC、NvM关联。</x:v>
      </x:c>
      <x:c r="I32" s="144" t="str">
        <x:v>DID矩阵：语义/长度/读写/session/security/端序/回调/默认/更新/持久化。</x:v>
      </x:c>
      <x:c r="J32" s="144" t="str">
        <x:v>正确/错误长度、条件、权限、掉电/复位后数据。</x:v>
      </x:c>
      <x:c r="K32" s="144" t="str">
        <x:v>Dcm_Lcfg_DspUds.c:2921-3005</x:v>
      </x:c>
    </x:row>
    <x:row r="33" ht="68" customHeight="1">
      <x:c r="A33" s="144" t="str">
        <x:v>DID</x:v>
      </x:c>
      <x:c r="B33" s="144" t="str">
        <x:v>0x0285</x:v>
      </x:c>
      <x:c r="C33" s="144" t="str">
        <x:v>DID 0x0285</x:v>
      </x:c>
      <x:c r="D33" s="144" t="str">
        <x:v>1 Byte</x:v>
      </x:c>
      <x:c r="E33" s="144" t="str">
        <x:v>需从正式需求与生成policy逐DID确认</x:v>
      </x:c>
      <x:c r="F33" s="144" t="str">
        <x:v>需逐DID确认</x:v>
      </x:c>
      <x:c r="G33" s="144" t="str">
        <x:v>ID/长度为生成配置显式值</x:v>
      </x:c>
      <x:c r="H33" s="144" t="str">
        <x:v>不得从邻近DID推断语义；需补数据元素、端序、回调、NRC、NvM关联。</x:v>
      </x:c>
      <x:c r="I33" s="144" t="str">
        <x:v>DID矩阵：语义/长度/读写/session/security/端序/回调/默认/更新/持久化。</x:v>
      </x:c>
      <x:c r="J33" s="144" t="str">
        <x:v>正确/错误长度、条件、权限、掉电/复位后数据。</x:v>
      </x:c>
      <x:c r="K33" s="144" t="str">
        <x:v>Dcm_Lcfg_DspUds.c:2921-3005</x:v>
      </x:c>
    </x:row>
    <x:row r="34" ht="68" customHeight="1">
      <x:c r="A34" s="144" t="str">
        <x:v>DID</x:v>
      </x:c>
      <x:c r="B34" s="144" t="str">
        <x:v>0x028D</x:v>
      </x:c>
      <x:c r="C34" s="144" t="str">
        <x:v>DID 0x028D</x:v>
      </x:c>
      <x:c r="D34" s="144" t="str">
        <x:v>1 Byte</x:v>
      </x:c>
      <x:c r="E34" s="144" t="str">
        <x:v>需从正式需求与生成policy逐DID确认</x:v>
      </x:c>
      <x:c r="F34" s="144" t="str">
        <x:v>需逐DID确认</x:v>
      </x:c>
      <x:c r="G34" s="144" t="str">
        <x:v>ID/长度为生成配置显式值</x:v>
      </x:c>
      <x:c r="H34" s="144" t="str">
        <x:v>不得从邻近DID推断语义；需补数据元素、端序、回调、NRC、NvM关联。</x:v>
      </x:c>
      <x:c r="I34" s="144" t="str">
        <x:v>DID矩阵：语义/长度/读写/session/security/端序/回调/默认/更新/持久化。</x:v>
      </x:c>
      <x:c r="J34" s="144" t="str">
        <x:v>正确/错误长度、条件、权限、掉电/复位后数据。</x:v>
      </x:c>
      <x:c r="K34" s="144" t="str">
        <x:v>Dcm_Lcfg_DspUds.c:2921-3005</x:v>
      </x:c>
    </x:row>
    <x:row r="35" ht="68" customHeight="1">
      <x:c r="A35" s="144" t="str">
        <x:v>DID</x:v>
      </x:c>
      <x:c r="B35" s="144" t="str">
        <x:v>0x1011</x:v>
      </x:c>
      <x:c r="C35" s="144" t="str">
        <x:v>DID 0x1011</x:v>
      </x:c>
      <x:c r="D35" s="144" t="str">
        <x:v>2 Byte</x:v>
      </x:c>
      <x:c r="E35" s="144" t="str">
        <x:v>需从正式需求与生成policy逐DID确认</x:v>
      </x:c>
      <x:c r="F35" s="144" t="str">
        <x:v>需逐DID确认</x:v>
      </x:c>
      <x:c r="G35" s="144" t="str">
        <x:v>ID/长度为生成配置显式值</x:v>
      </x:c>
      <x:c r="H35" s="144" t="str">
        <x:v>不得从邻近DID推断语义；需补数据元素、端序、回调、NRC、NvM关联。</x:v>
      </x:c>
      <x:c r="I35" s="144" t="str">
        <x:v>DID矩阵：语义/长度/读写/session/security/端序/回调/默认/更新/持久化。</x:v>
      </x:c>
      <x:c r="J35" s="144" t="str">
        <x:v>正确/错误长度、条件、权限、掉电/复位后数据。</x:v>
      </x:c>
      <x:c r="K35" s="144" t="str">
        <x:v>Dcm_Lcfg_DspUds.c:2921-3005</x:v>
      </x:c>
    </x:row>
    <x:row r="36" ht="68" customHeight="1">
      <x:c r="A36" s="144" t="str">
        <x:v>DID</x:v>
      </x:c>
      <x:c r="B36" s="144" t="str">
        <x:v>0x2100</x:v>
      </x:c>
      <x:c r="C36" s="144" t="str">
        <x:v>DID 0x2100</x:v>
      </x:c>
      <x:c r="D36" s="144" t="str">
        <x:v>8 Byte</x:v>
      </x:c>
      <x:c r="E36" s="144" t="str">
        <x:v>需从正式需求与生成policy逐DID确认</x:v>
      </x:c>
      <x:c r="F36" s="144" t="str">
        <x:v>需逐DID确认</x:v>
      </x:c>
      <x:c r="G36" s="144" t="str">
        <x:v>ID/长度为生成配置显式值</x:v>
      </x:c>
      <x:c r="H36" s="144" t="str">
        <x:v>不得从邻近DID推断语义；需补数据元素、端序、回调、NRC、NvM关联。</x:v>
      </x:c>
      <x:c r="I36" s="144" t="str">
        <x:v>DID矩阵：语义/长度/读写/session/security/端序/回调/默认/更新/持久化。</x:v>
      </x:c>
      <x:c r="J36" s="144" t="str">
        <x:v>正确/错误长度、条件、权限、掉电/复位后数据。</x:v>
      </x:c>
      <x:c r="K36" s="144" t="str">
        <x:v>Dcm_Lcfg_DspUds.c:2921-3005</x:v>
      </x:c>
    </x:row>
    <x:row r="37" ht="68" customHeight="1">
      <x:c r="A37" s="144" t="str">
        <x:v>DID</x:v>
      </x:c>
      <x:c r="B37" s="144" t="str">
        <x:v>0x3403</x:v>
      </x:c>
      <x:c r="C37" s="144" t="str">
        <x:v>DID 0x3403</x:v>
      </x:c>
      <x:c r="D37" s="144" t="str">
        <x:v>4 Byte</x:v>
      </x:c>
      <x:c r="E37" s="144" t="str">
        <x:v>需从正式需求与生成policy逐DID确认</x:v>
      </x:c>
      <x:c r="F37" s="144" t="str">
        <x:v>需逐DID确认</x:v>
      </x:c>
      <x:c r="G37" s="144" t="str">
        <x:v>ID/长度为生成配置显式值</x:v>
      </x:c>
      <x:c r="H37" s="144" t="str">
        <x:v>不得从邻近DID推断语义；需补数据元素、端序、回调、NRC、NvM关联。</x:v>
      </x:c>
      <x:c r="I37" s="144" t="str">
        <x:v>DID矩阵：语义/长度/读写/session/security/端序/回调/默认/更新/持久化。</x:v>
      </x:c>
      <x:c r="J37" s="144" t="str">
        <x:v>正确/错误长度、条件、权限、掉电/复位后数据。</x:v>
      </x:c>
      <x:c r="K37" s="144" t="str">
        <x:v>Dcm_Lcfg_DspUds.c:2921-3005</x:v>
      </x:c>
    </x:row>
    <x:row r="38" ht="68" customHeight="1">
      <x:c r="A38" s="144" t="str">
        <x:v>DID</x:v>
      </x:c>
      <x:c r="B38" s="144" t="str">
        <x:v>0x3404</x:v>
      </x:c>
      <x:c r="C38" s="144" t="str">
        <x:v>DID 0x3404</x:v>
      </x:c>
      <x:c r="D38" s="144" t="str">
        <x:v>4 Byte</x:v>
      </x:c>
      <x:c r="E38" s="144" t="str">
        <x:v>需从正式需求与生成policy逐DID确认</x:v>
      </x:c>
      <x:c r="F38" s="144" t="str">
        <x:v>需逐DID确认</x:v>
      </x:c>
      <x:c r="G38" s="144" t="str">
        <x:v>ID/长度为生成配置显式值</x:v>
      </x:c>
      <x:c r="H38" s="144" t="str">
        <x:v>不得从邻近DID推断语义；需补数据元素、端序、回调、NRC、NvM关联。</x:v>
      </x:c>
      <x:c r="I38" s="144" t="str">
        <x:v>DID矩阵：语义/长度/读写/session/security/端序/回调/默认/更新/持久化。</x:v>
      </x:c>
      <x:c r="J38" s="144" t="str">
        <x:v>正确/错误长度、条件、权限、掉电/复位后数据。</x:v>
      </x:c>
      <x:c r="K38" s="144" t="str">
        <x:v>Dcm_Lcfg_DspUds.c:2921-3005</x:v>
      </x:c>
    </x:row>
    <x:row r="39" ht="68" customHeight="1">
      <x:c r="A39" s="144" t="str">
        <x:v>DID</x:v>
      </x:c>
      <x:c r="B39" s="144" t="str">
        <x:v>0x3441</x:v>
      </x:c>
      <x:c r="C39" s="144" t="str">
        <x:v>DID 0x3441</x:v>
      </x:c>
      <x:c r="D39" s="144" t="str">
        <x:v>4 Byte</x:v>
      </x:c>
      <x:c r="E39" s="144" t="str">
        <x:v>需从正式需求与生成policy逐DID确认</x:v>
      </x:c>
      <x:c r="F39" s="144" t="str">
        <x:v>需逐DID确认</x:v>
      </x:c>
      <x:c r="G39" s="144" t="str">
        <x:v>ID/长度为生成配置显式值</x:v>
      </x:c>
      <x:c r="H39" s="144" t="str">
        <x:v>不得从邻近DID推断语义；需补数据元素、端序、回调、NRC、NvM关联。</x:v>
      </x:c>
      <x:c r="I39" s="144" t="str">
        <x:v>DID矩阵：语义/长度/读写/session/security/端序/回调/默认/更新/持久化。</x:v>
      </x:c>
      <x:c r="J39" s="144" t="str">
        <x:v>正确/错误长度、条件、权限、掉电/复位后数据。</x:v>
      </x:c>
      <x:c r="K39" s="144" t="str">
        <x:v>Dcm_Lcfg_DspUds.c:2921-3005</x:v>
      </x:c>
    </x:row>
    <x:row r="40" ht="68" customHeight="1">
      <x:c r="A40" s="144" t="str">
        <x:v>DID</x:v>
      </x:c>
      <x:c r="B40" s="144" t="str">
        <x:v>0x3442</x:v>
      </x:c>
      <x:c r="C40" s="144" t="str">
        <x:v>DID 0x3442</x:v>
      </x:c>
      <x:c r="D40" s="144" t="str">
        <x:v>4 Byte</x:v>
      </x:c>
      <x:c r="E40" s="144" t="str">
        <x:v>需从正式需求与生成policy逐DID确认</x:v>
      </x:c>
      <x:c r="F40" s="144" t="str">
        <x:v>需逐DID确认</x:v>
      </x:c>
      <x:c r="G40" s="144" t="str">
        <x:v>ID/长度为生成配置显式值</x:v>
      </x:c>
      <x:c r="H40" s="144" t="str">
        <x:v>不得从邻近DID推断语义；需补数据元素、端序、回调、NRC、NvM关联。</x:v>
      </x:c>
      <x:c r="I40" s="144" t="str">
        <x:v>DID矩阵：语义/长度/读写/session/security/端序/回调/默认/更新/持久化。</x:v>
      </x:c>
      <x:c r="J40" s="144" t="str">
        <x:v>正确/错误长度、条件、权限、掉电/复位后数据。</x:v>
      </x:c>
      <x:c r="K40" s="144" t="str">
        <x:v>Dcm_Lcfg_DspUds.c:2921-3005</x:v>
      </x:c>
    </x:row>
    <x:row r="41" ht="68" customHeight="1">
      <x:c r="A41" s="144" t="str">
        <x:v>DID</x:v>
      </x:c>
      <x:c r="B41" s="144" t="str">
        <x:v>0x3443</x:v>
      </x:c>
      <x:c r="C41" s="144" t="str">
        <x:v>DID 0x3443</x:v>
      </x:c>
      <x:c r="D41" s="144" t="str">
        <x:v>1 Byte</x:v>
      </x:c>
      <x:c r="E41" s="144" t="str">
        <x:v>需从正式需求与生成policy逐DID确认</x:v>
      </x:c>
      <x:c r="F41" s="144" t="str">
        <x:v>需逐DID确认</x:v>
      </x:c>
      <x:c r="G41" s="144" t="str">
        <x:v>ID/长度为生成配置显式值</x:v>
      </x:c>
      <x:c r="H41" s="144" t="str">
        <x:v>不得从邻近DID推断语义；需补数据元素、端序、回调、NRC、NvM关联。</x:v>
      </x:c>
      <x:c r="I41" s="144" t="str">
        <x:v>DID矩阵：语义/长度/读写/session/security/端序/回调/默认/更新/持久化。</x:v>
      </x:c>
      <x:c r="J41" s="144" t="str">
        <x:v>正确/错误长度、条件、权限、掉电/复位后数据。</x:v>
      </x:c>
      <x:c r="K41" s="144" t="str">
        <x:v>Dcm_Lcfg_DspUds.c:2921-3005</x:v>
      </x:c>
    </x:row>
    <x:row r="42" ht="68" customHeight="1">
      <x:c r="A42" s="144" t="str">
        <x:v>DID</x:v>
      </x:c>
      <x:c r="B42" s="144" t="str">
        <x:v>0x3444</x:v>
      </x:c>
      <x:c r="C42" s="144" t="str">
        <x:v>DID 0x3444</x:v>
      </x:c>
      <x:c r="D42" s="144" t="str">
        <x:v>1 Byte</x:v>
      </x:c>
      <x:c r="E42" s="144" t="str">
        <x:v>需从正式需求与生成policy逐DID确认</x:v>
      </x:c>
      <x:c r="F42" s="144" t="str">
        <x:v>需逐DID确认</x:v>
      </x:c>
      <x:c r="G42" s="144" t="str">
        <x:v>ID/长度为生成配置显式值</x:v>
      </x:c>
      <x:c r="H42" s="144" t="str">
        <x:v>不得从邻近DID推断语义；需补数据元素、端序、回调、NRC、NvM关联。</x:v>
      </x:c>
      <x:c r="I42" s="144" t="str">
        <x:v>DID矩阵：语义/长度/读写/session/security/端序/回调/默认/更新/持久化。</x:v>
      </x:c>
      <x:c r="J42" s="144" t="str">
        <x:v>正确/错误长度、条件、权限、掉电/复位后数据。</x:v>
      </x:c>
      <x:c r="K42" s="144" t="str">
        <x:v>Dcm_Lcfg_DspUds.c:2921-3005</x:v>
      </x:c>
    </x:row>
    <x:row r="43" ht="68" customHeight="1">
      <x:c r="A43" s="144" t="str">
        <x:v>DID</x:v>
      </x:c>
      <x:c r="B43" s="144" t="str">
        <x:v>0x3449</x:v>
      </x:c>
      <x:c r="C43" s="144" t="str">
        <x:v>DID 0x3449</x:v>
      </x:c>
      <x:c r="D43" s="144" t="str">
        <x:v>1 Byte</x:v>
      </x:c>
      <x:c r="E43" s="144" t="str">
        <x:v>需从正式需求与生成policy逐DID确认</x:v>
      </x:c>
      <x:c r="F43" s="144" t="str">
        <x:v>需逐DID确认</x:v>
      </x:c>
      <x:c r="G43" s="144" t="str">
        <x:v>ID/长度为生成配置显式值</x:v>
      </x:c>
      <x:c r="H43" s="144" t="str">
        <x:v>不得从邻近DID推断语义；需补数据元素、端序、回调、NRC、NvM关联。</x:v>
      </x:c>
      <x:c r="I43" s="144" t="str">
        <x:v>DID矩阵：语义/长度/读写/session/security/端序/回调/默认/更新/持久化。</x:v>
      </x:c>
      <x:c r="J43" s="144" t="str">
        <x:v>正确/错误长度、条件、权限、掉电/复位后数据。</x:v>
      </x:c>
      <x:c r="K43" s="144" t="str">
        <x:v>Dcm_Lcfg_DspUds.c:2921-3005</x:v>
      </x:c>
    </x:row>
    <x:row r="44" ht="68" customHeight="1">
      <x:c r="A44" s="144" t="str">
        <x:v>DID</x:v>
      </x:c>
      <x:c r="B44" s="144" t="str">
        <x:v>0x344A</x:v>
      </x:c>
      <x:c r="C44" s="144" t="str">
        <x:v>DID 0x344A</x:v>
      </x:c>
      <x:c r="D44" s="144" t="str">
        <x:v>1 Byte</x:v>
      </x:c>
      <x:c r="E44" s="144" t="str">
        <x:v>需从正式需求与生成policy逐DID确认</x:v>
      </x:c>
      <x:c r="F44" s="144" t="str">
        <x:v>需逐DID确认</x:v>
      </x:c>
      <x:c r="G44" s="144" t="str">
        <x:v>ID/长度为生成配置显式值</x:v>
      </x:c>
      <x:c r="H44" s="144" t="str">
        <x:v>不得从邻近DID推断语义；需补数据元素、端序、回调、NRC、NvM关联。</x:v>
      </x:c>
      <x:c r="I44" s="144" t="str">
        <x:v>DID矩阵：语义/长度/读写/session/security/端序/回调/默认/更新/持久化。</x:v>
      </x:c>
      <x:c r="J44" s="144" t="str">
        <x:v>正确/错误长度、条件、权限、掉电/复位后数据。</x:v>
      </x:c>
      <x:c r="K44" s="144" t="str">
        <x:v>Dcm_Lcfg_DspUds.c:2921-3005</x:v>
      </x:c>
    </x:row>
    <x:row r="45" ht="68" customHeight="1">
      <x:c r="A45" s="144" t="str">
        <x:v>DID</x:v>
      </x:c>
      <x:c r="B45" s="144" t="str">
        <x:v>0x6666</x:v>
      </x:c>
      <x:c r="C45" s="144" t="str">
        <x:v>DID 0x6666</x:v>
      </x:c>
      <x:c r="D45" s="144" t="str">
        <x:v>3 Byte</x:v>
      </x:c>
      <x:c r="E45" s="144" t="str">
        <x:v>需从正式需求与生成policy逐DID确认</x:v>
      </x:c>
      <x:c r="F45" s="144" t="str">
        <x:v>需逐DID确认</x:v>
      </x:c>
      <x:c r="G45" s="144" t="str">
        <x:v>ID/长度为生成配置显式值</x:v>
      </x:c>
      <x:c r="H45" s="144" t="str">
        <x:v>不得从邻近DID推断语义；需补数据元素、端序、回调、NRC、NvM关联。</x:v>
      </x:c>
      <x:c r="I45" s="144" t="str">
        <x:v>DID矩阵：语义/长度/读写/session/security/端序/回调/默认/更新/持久化。</x:v>
      </x:c>
      <x:c r="J45" s="144" t="str">
        <x:v>正确/错误长度、条件、权限、掉电/复位后数据。</x:v>
      </x:c>
      <x:c r="K45" s="144" t="str">
        <x:v>Dcm_Lcfg_DspUds.c:2921-3005</x:v>
      </x:c>
    </x:row>
    <x:row r="46" ht="68" customHeight="1">
      <x:c r="A46" s="144" t="str">
        <x:v>DID</x:v>
      </x:c>
      <x:c r="B46" s="144" t="str">
        <x:v>0xF180</x:v>
      </x:c>
      <x:c r="C46" s="144" t="str">
        <x:v>DID 0xF180</x:v>
      </x:c>
      <x:c r="D46" s="144" t="str">
        <x:v>9 Byte</x:v>
      </x:c>
      <x:c r="E46" s="144" t="str">
        <x:v>需从正式需求与生成policy逐DID确认</x:v>
      </x:c>
      <x:c r="F46" s="144" t="str">
        <x:v>需逐DID确认</x:v>
      </x:c>
      <x:c r="G46" s="144" t="str">
        <x:v>ID/长度为生成配置显式值</x:v>
      </x:c>
      <x:c r="H46" s="144" t="str">
        <x:v>不得从邻近DID推断语义；需补数据元素、端序、回调、NRC、NvM关联。</x:v>
      </x:c>
      <x:c r="I46" s="144" t="str">
        <x:v>DID矩阵：语义/长度/读写/session/security/端序/回调/默认/更新/持久化。</x:v>
      </x:c>
      <x:c r="J46" s="144" t="str">
        <x:v>正确/错误长度、条件、权限、掉电/复位后数据。</x:v>
      </x:c>
      <x:c r="K46" s="144" t="str">
        <x:v>Dcm_Lcfg_DspUds.c:2921-3005</x:v>
      </x:c>
    </x:row>
    <x:row r="47" ht="68" customHeight="1">
      <x:c r="A47" s="144" t="str">
        <x:v>DID</x:v>
      </x:c>
      <x:c r="B47" s="144" t="str">
        <x:v>0xF186</x:v>
      </x:c>
      <x:c r="C47" s="144" t="str">
        <x:v>DID 0xF186</x:v>
      </x:c>
      <x:c r="D47" s="144" t="str">
        <x:v>1 Byte</x:v>
      </x:c>
      <x:c r="E47" s="144" t="str">
        <x:v>需从正式需求与生成policy逐DID确认</x:v>
      </x:c>
      <x:c r="F47" s="144" t="str">
        <x:v>需逐DID确认</x:v>
      </x:c>
      <x:c r="G47" s="144" t="str">
        <x:v>ID/长度为生成配置显式值</x:v>
      </x:c>
      <x:c r="H47" s="144" t="str">
        <x:v>不得从邻近DID推断语义；需补数据元素、端序、回调、NRC、NvM关联。</x:v>
      </x:c>
      <x:c r="I47" s="144" t="str">
        <x:v>DID矩阵：语义/长度/读写/session/security/端序/回调/默认/更新/持久化。</x:v>
      </x:c>
      <x:c r="J47" s="144" t="str">
        <x:v>正确/错误长度、条件、权限、掉电/复位后数据。</x:v>
      </x:c>
      <x:c r="K47" s="144" t="str">
        <x:v>Dcm_Lcfg_DspUds.c:2921-3005</x:v>
      </x:c>
    </x:row>
    <x:row r="48" ht="68" customHeight="1">
      <x:c r="A48" s="144" t="str">
        <x:v>DID</x:v>
      </x:c>
      <x:c r="B48" s="144" t="str">
        <x:v>0xF18C</x:v>
      </x:c>
      <x:c r="C48" s="144" t="str">
        <x:v>DID 0xF18C</x:v>
      </x:c>
      <x:c r="D48" s="144" t="str">
        <x:v>30 Byte</x:v>
      </x:c>
      <x:c r="E48" s="144" t="str">
        <x:v>需从正式需求与生成policy逐DID确认</x:v>
      </x:c>
      <x:c r="F48" s="144" t="str">
        <x:v>需逐DID确认</x:v>
      </x:c>
      <x:c r="G48" s="144" t="str">
        <x:v>ID/长度为生成配置显式值</x:v>
      </x:c>
      <x:c r="H48" s="144" t="str">
        <x:v>不得从邻近DID推断语义；需补数据元素、端序、回调、NRC、NvM关联。</x:v>
      </x:c>
      <x:c r="I48" s="144" t="str">
        <x:v>DID矩阵：语义/长度/读写/session/security/端序/回调/默认/更新/持久化。</x:v>
      </x:c>
      <x:c r="J48" s="144" t="str">
        <x:v>正确/错误长度、条件、权限、掉电/复位后数据。</x:v>
      </x:c>
      <x:c r="K48" s="144" t="str">
        <x:v>Dcm_Lcfg_DspUds.c:2921-3005</x:v>
      </x:c>
    </x:row>
    <x:row r="49" ht="68" customHeight="1">
      <x:c r="A49" s="144" t="str">
        <x:v>DID</x:v>
      </x:c>
      <x:c r="B49" s="144" t="str">
        <x:v>0xF190</x:v>
      </x:c>
      <x:c r="C49" s="144" t="str">
        <x:v>DID 0xF190</x:v>
      </x:c>
      <x:c r="D49" s="144" t="str">
        <x:v>17 Byte</x:v>
      </x:c>
      <x:c r="E49" s="144" t="str">
        <x:v>需从正式需求与生成policy逐DID确认</x:v>
      </x:c>
      <x:c r="F49" s="144" t="str">
        <x:v>需逐DID确认</x:v>
      </x:c>
      <x:c r="G49" s="144" t="str">
        <x:v>ID/长度为生成配置显式值</x:v>
      </x:c>
      <x:c r="H49" s="144" t="str">
        <x:v>不得从邻近DID推断语义；需补数据元素、端序、回调、NRC、NvM关联。</x:v>
      </x:c>
      <x:c r="I49" s="144" t="str">
        <x:v>DID矩阵：语义/长度/读写/session/security/端序/回调/默认/更新/持久化。</x:v>
      </x:c>
      <x:c r="J49" s="144" t="str">
        <x:v>正确/错误长度、条件、权限、掉电/复位后数据。</x:v>
      </x:c>
      <x:c r="K49" s="144" t="str">
        <x:v>Dcm_Lcfg_DspUds.c:2921-3005</x:v>
      </x:c>
    </x:row>
    <x:row r="50" ht="68" customHeight="1">
      <x:c r="A50" s="144" t="str">
        <x:v>DID</x:v>
      </x:c>
      <x:c r="B50" s="144" t="str">
        <x:v>0xF193</x:v>
      </x:c>
      <x:c r="C50" s="144" t="str">
        <x:v>DID 0xF193</x:v>
      </x:c>
      <x:c r="D50" s="144" t="str">
        <x:v>5 Byte</x:v>
      </x:c>
      <x:c r="E50" s="144" t="str">
        <x:v>需从正式需求与生成policy逐DID确认</x:v>
      </x:c>
      <x:c r="F50" s="144" t="str">
        <x:v>需逐DID确认</x:v>
      </x:c>
      <x:c r="G50" s="144" t="str">
        <x:v>ID/长度为生成配置显式值</x:v>
      </x:c>
      <x:c r="H50" s="144" t="str">
        <x:v>不得从邻近DID推断语义；需补数据元素、端序、回调、NRC、NvM关联。</x:v>
      </x:c>
      <x:c r="I50" s="144" t="str">
        <x:v>DID矩阵：语义/长度/读写/session/security/端序/回调/默认/更新/持久化。</x:v>
      </x:c>
      <x:c r="J50" s="144" t="str">
        <x:v>正确/错误长度、条件、权限、掉电/复位后数据。</x:v>
      </x:c>
      <x:c r="K50" s="144" t="str">
        <x:v>Dcm_Lcfg_DspUds.c:2921-3005</x:v>
      </x:c>
    </x:row>
    <x:row r="51" ht="68" customHeight="1">
      <x:c r="A51" s="144" t="str">
        <x:v>DID</x:v>
      </x:c>
      <x:c r="B51" s="144" t="str">
        <x:v>0xF194</x:v>
      </x:c>
      <x:c r="C51" s="144" t="str">
        <x:v>DID 0xF194</x:v>
      </x:c>
      <x:c r="D51" s="144" t="str">
        <x:v>9 Byte</x:v>
      </x:c>
      <x:c r="E51" s="144" t="str">
        <x:v>需从正式需求与生成policy逐DID确认</x:v>
      </x:c>
      <x:c r="F51" s="144" t="str">
        <x:v>需逐DID确认</x:v>
      </x:c>
      <x:c r="G51" s="144" t="str">
        <x:v>ID/长度为生成配置显式值</x:v>
      </x:c>
      <x:c r="H51" s="144" t="str">
        <x:v>不得从邻近DID推断语义；需补数据元素、端序、回调、NRC、NvM关联。</x:v>
      </x:c>
      <x:c r="I51" s="144" t="str">
        <x:v>DID矩阵：语义/长度/读写/session/security/端序/回调/默认/更新/持久化。</x:v>
      </x:c>
      <x:c r="J51" s="144" t="str">
        <x:v>正确/错误长度、条件、权限、掉电/复位后数据。</x:v>
      </x:c>
      <x:c r="K51" s="144" t="str">
        <x:v>Dcm_Lcfg_DspUds.c:2921-3005</x:v>
      </x:c>
    </x:row>
    <x:row r="52" ht="68" customHeight="1">
      <x:c r="A52" s="144" t="str">
        <x:v>DID</x:v>
      </x:c>
      <x:c r="B52" s="144" t="str">
        <x:v>0xF195</x:v>
      </x:c>
      <x:c r="C52" s="144" t="str">
        <x:v>DID 0xF195</x:v>
      </x:c>
      <x:c r="D52" s="144" t="str">
        <x:v>6 Byte</x:v>
      </x:c>
      <x:c r="E52" s="144" t="str">
        <x:v>需从正式需求与生成policy逐DID确认</x:v>
      </x:c>
      <x:c r="F52" s="144" t="str">
        <x:v>需逐DID确认</x:v>
      </x:c>
      <x:c r="G52" s="144" t="str">
        <x:v>ID/长度为生成配置显式值</x:v>
      </x:c>
      <x:c r="H52" s="144" t="str">
        <x:v>不得从邻近DID推断语义；需补数据元素、端序、回调、NRC、NvM关联。</x:v>
      </x:c>
      <x:c r="I52" s="144" t="str">
        <x:v>DID矩阵：语义/长度/读写/session/security/端序/回调/默认/更新/持久化。</x:v>
      </x:c>
      <x:c r="J52" s="144" t="str">
        <x:v>正确/错误长度、条件、权限、掉电/复位后数据。</x:v>
      </x:c>
      <x:c r="K52" s="144" t="str">
        <x:v>Dcm_Lcfg_DspUds.c:2921-3005</x:v>
      </x:c>
    </x:row>
    <x:row r="53" ht="68" customHeight="1">
      <x:c r="A53" s="144" t="str">
        <x:v>DID</x:v>
      </x:c>
      <x:c r="B53" s="144" t="str">
        <x:v>0xF199</x:v>
      </x:c>
      <x:c r="C53" s="144" t="str">
        <x:v>DID 0xF199</x:v>
      </x:c>
      <x:c r="D53" s="144" t="str">
        <x:v>4 Byte</x:v>
      </x:c>
      <x:c r="E53" s="144" t="str">
        <x:v>需从正式需求与生成policy逐DID确认</x:v>
      </x:c>
      <x:c r="F53" s="144" t="str">
        <x:v>需逐DID确认</x:v>
      </x:c>
      <x:c r="G53" s="144" t="str">
        <x:v>ID/长度为生成配置显式值</x:v>
      </x:c>
      <x:c r="H53" s="144" t="str">
        <x:v>不得从邻近DID推断语义；需补数据元素、端序、回调、NRC、NvM关联。</x:v>
      </x:c>
      <x:c r="I53" s="144" t="str">
        <x:v>DID矩阵：语义/长度/读写/session/security/端序/回调/默认/更新/持久化。</x:v>
      </x:c>
      <x:c r="J53" s="144" t="str">
        <x:v>正确/错误长度、条件、权限、掉电/复位后数据。</x:v>
      </x:c>
      <x:c r="K53" s="144" t="str">
        <x:v>Dcm_Lcfg_DspUds.c:2921-3005</x:v>
      </x:c>
    </x:row>
    <x:row r="54" ht="68" customHeight="1">
      <x:c r="A54" s="144" t="str">
        <x:v>DID</x:v>
      </x:c>
      <x:c r="B54" s="144" t="str">
        <x:v>0xF1A1</x:v>
      </x:c>
      <x:c r="C54" s="144" t="str">
        <x:v>DID 0xF1A1</x:v>
      </x:c>
      <x:c r="D54" s="144" t="str">
        <x:v>8 Byte</x:v>
      </x:c>
      <x:c r="E54" s="144" t="str">
        <x:v>需从正式需求与生成policy逐DID确认</x:v>
      </x:c>
      <x:c r="F54" s="144" t="str">
        <x:v>需逐DID确认</x:v>
      </x:c>
      <x:c r="G54" s="144" t="str">
        <x:v>ID/长度为生成配置显式值</x:v>
      </x:c>
      <x:c r="H54" s="144" t="str">
        <x:v>不得从邻近DID推断语义；需补数据元素、端序、回调、NRC、NvM关联。</x:v>
      </x:c>
      <x:c r="I54" s="144" t="str">
        <x:v>DID矩阵：语义/长度/读写/session/security/端序/回调/默认/更新/持久化。</x:v>
      </x:c>
      <x:c r="J54" s="144" t="str">
        <x:v>正确/错误长度、条件、权限、掉电/复位后数据。</x:v>
      </x:c>
      <x:c r="K54" s="144" t="str">
        <x:v>Dcm_Lcfg_DspUds.c:2921-3005</x:v>
      </x:c>
    </x:row>
    <x:row r="55" ht="68" customHeight="1">
      <x:c r="A55" s="144" t="str">
        <x:v>DID</x:v>
      </x:c>
      <x:c r="B55" s="144" t="str">
        <x:v>0xF1C2</x:v>
      </x:c>
      <x:c r="C55" s="144" t="str">
        <x:v>DID 0xF1C2</x:v>
      </x:c>
      <x:c r="D55" s="144" t="str">
        <x:v>1 Byte</x:v>
      </x:c>
      <x:c r="E55" s="144" t="str">
        <x:v>需从正式需求与生成policy逐DID确认</x:v>
      </x:c>
      <x:c r="F55" s="144" t="str">
        <x:v>需逐DID确认</x:v>
      </x:c>
      <x:c r="G55" s="144" t="str">
        <x:v>ID/长度为生成配置显式值</x:v>
      </x:c>
      <x:c r="H55" s="144" t="str">
        <x:v>不得从邻近DID推断语义；需补数据元素、端序、回调、NRC、NvM关联。</x:v>
      </x:c>
      <x:c r="I55" s="144" t="str">
        <x:v>DID矩阵：语义/长度/读写/session/security/端序/回调/默认/更新/持久化。</x:v>
      </x:c>
      <x:c r="J55" s="144" t="str">
        <x:v>正确/错误长度、条件、权限、掉电/复位后数据。</x:v>
      </x:c>
      <x:c r="K55" s="144" t="str">
        <x:v>Dcm_Lcfg_DspUds.c:2921-3005</x:v>
      </x:c>
    </x:row>
    <x:row r="56" ht="68" customHeight="1">
      <x:c r="A56" s="144" t="str">
        <x:v>DID</x:v>
      </x:c>
      <x:c r="B56" s="144" t="str">
        <x:v>0xFA13</x:v>
      </x:c>
      <x:c r="C56" s="144" t="str">
        <x:v>DID 0xFA13</x:v>
      </x:c>
      <x:c r="D56" s="144" t="str">
        <x:v>65 Byte</x:v>
      </x:c>
      <x:c r="E56" s="144" t="str">
        <x:v>需从正式需求与生成policy逐DID确认</x:v>
      </x:c>
      <x:c r="F56" s="144" t="str">
        <x:v>需逐DID确认</x:v>
      </x:c>
      <x:c r="G56" s="144" t="str">
        <x:v>ID/长度为生成配置显式值</x:v>
      </x:c>
      <x:c r="H56" s="144" t="str">
        <x:v>不得从邻近DID推断语义；需补数据元素、端序、回调、NRC、NvM关联。</x:v>
      </x:c>
      <x:c r="I56" s="144" t="str">
        <x:v>DID矩阵：语义/长度/读写/session/security/端序/回调/默认/更新/持久化。</x:v>
      </x:c>
      <x:c r="J56" s="144" t="str">
        <x:v>正确/错误长度、条件、权限、掉电/复位后数据。</x:v>
      </x:c>
      <x:c r="K56" s="144" t="str">
        <x:v>Dcm_Lcfg_DspUds.c:2921-3005</x:v>
      </x:c>
    </x:row>
    <x:row r="57" ht="68" customHeight="1">
      <x:c r="A57" s="144" t="str">
        <x:v>DID</x:v>
      </x:c>
      <x:c r="B57" s="144" t="str">
        <x:v>0xFA14</x:v>
      </x:c>
      <x:c r="C57" s="144" t="str">
        <x:v>DID 0xFA14</x:v>
      </x:c>
      <x:c r="D57" s="144" t="str">
        <x:v>65 Byte</x:v>
      </x:c>
      <x:c r="E57" s="144" t="str">
        <x:v>需从正式需求与生成policy逐DID确认</x:v>
      </x:c>
      <x:c r="F57" s="144" t="str">
        <x:v>需逐DID确认</x:v>
      </x:c>
      <x:c r="G57" s="144" t="str">
        <x:v>ID/长度为生成配置显式值</x:v>
      </x:c>
      <x:c r="H57" s="144" t="str">
        <x:v>不得从邻近DID推断语义；需补数据元素、端序、回调、NRC、NvM关联。</x:v>
      </x:c>
      <x:c r="I57" s="144" t="str">
        <x:v>DID矩阵：语义/长度/读写/session/security/端序/回调/默认/更新/持久化。</x:v>
      </x:c>
      <x:c r="J57" s="144" t="str">
        <x:v>正确/错误长度、条件、权限、掉电/复位后数据。</x:v>
      </x:c>
      <x:c r="K57" s="144" t="str">
        <x:v>Dcm_Lcfg_DspUds.c:2921-3005</x:v>
      </x:c>
    </x:row>
    <x:row r="58" ht="68" customHeight="1">
      <x:c r="A58" s="144" t="str">
        <x:v>DID</x:v>
      </x:c>
      <x:c r="B58" s="144" t="str">
        <x:v>0xFD12</x:v>
      </x:c>
      <x:c r="C58" s="144" t="str">
        <x:v>DID 0xFD12</x:v>
      </x:c>
      <x:c r="D58" s="144" t="str">
        <x:v>100 Byte</x:v>
      </x:c>
      <x:c r="E58" s="144" t="str">
        <x:v>需从正式需求与生成policy逐DID确认</x:v>
      </x:c>
      <x:c r="F58" s="144" t="str">
        <x:v>需逐DID确认</x:v>
      </x:c>
      <x:c r="G58" s="144" t="str">
        <x:v>ID/长度为生成配置显式值</x:v>
      </x:c>
      <x:c r="H58" s="144" t="str">
        <x:v>不得从邻近DID推断语义；需补数据元素、端序、回调、NRC、NvM关联。</x:v>
      </x:c>
      <x:c r="I58" s="144" t="str">
        <x:v>DID矩阵：语义/长度/读写/session/security/端序/回调/默认/更新/持久化。</x:v>
      </x:c>
      <x:c r="J58" s="144" t="str">
        <x:v>正确/错误长度、条件、权限、掉电/复位后数据。</x:v>
      </x:c>
      <x:c r="K58" s="144" t="str">
        <x:v>Dcm_Lcfg_DspUds.c:2921-3005</x:v>
      </x:c>
    </x:row>
    <x:row r="59" ht="68" customHeight="1">
      <x:c r="A59" s="144" t="str">
        <x:v>DID</x:v>
      </x:c>
      <x:c r="B59" s="144" t="str">
        <x:v>0xFD13</x:v>
      </x:c>
      <x:c r="C59" s="144" t="str">
        <x:v>DID 0xFD13</x:v>
      </x:c>
      <x:c r="D59" s="144" t="str">
        <x:v>150 Byte</x:v>
      </x:c>
      <x:c r="E59" s="144" t="str">
        <x:v>需从正式需求与生成policy逐DID确认</x:v>
      </x:c>
      <x:c r="F59" s="144" t="str">
        <x:v>需逐DID确认</x:v>
      </x:c>
      <x:c r="G59" s="144" t="str">
        <x:v>ID/长度为生成配置显式值</x:v>
      </x:c>
      <x:c r="H59" s="144" t="str">
        <x:v>不得从邻近DID推断语义；需补数据元素、端序、回调、NRC、NvM关联。</x:v>
      </x:c>
      <x:c r="I59" s="144" t="str">
        <x:v>DID矩阵：语义/长度/读写/session/security/端序/回调/默认/更新/持久化。</x:v>
      </x:c>
      <x:c r="J59" s="144" t="str">
        <x:v>正确/错误长度、条件、权限、掉电/复位后数据。</x:v>
      </x:c>
      <x:c r="K59" s="144" t="str">
        <x:v>Dcm_Lcfg_DspUds.c:2921-3005</x:v>
      </x:c>
    </x:row>
    <x:row r="60" ht="68" customHeight="1">
      <x:c r="A60" s="144" t="str">
        <x:v>DID</x:v>
      </x:c>
      <x:c r="B60" s="144" t="str">
        <x:v>0xFD14</x:v>
      </x:c>
      <x:c r="C60" s="144" t="str">
        <x:v>DID 0xFD14</x:v>
      </x:c>
      <x:c r="D60" s="144" t="str">
        <x:v>32 Byte</x:v>
      </x:c>
      <x:c r="E60" s="144" t="str">
        <x:v>需从正式需求与生成policy逐DID确认</x:v>
      </x:c>
      <x:c r="F60" s="144" t="str">
        <x:v>需逐DID确认</x:v>
      </x:c>
      <x:c r="G60" s="144" t="str">
        <x:v>ID/长度为生成配置显式值</x:v>
      </x:c>
      <x:c r="H60" s="144" t="str">
        <x:v>不得从邻近DID推断语义；需补数据元素、端序、回调、NRC、NvM关联。</x:v>
      </x:c>
      <x:c r="I60" s="144" t="str">
        <x:v>DID矩阵：语义/长度/读写/session/security/端序/回调/默认/更新/持久化。</x:v>
      </x:c>
      <x:c r="J60" s="144" t="str">
        <x:v>正确/错误长度、条件、权限、掉电/复位后数据。</x:v>
      </x:c>
      <x:c r="K60" s="144" t="str">
        <x:v>Dcm_Lcfg_DspUds.c:2921-3005</x:v>
      </x:c>
    </x:row>
    <x:row r="61" ht="68" customHeight="1">
      <x:c r="A61" s="144" t="str">
        <x:v>DID</x:v>
      </x:c>
      <x:c r="B61" s="144" t="str">
        <x:v>0xFD15</x:v>
      </x:c>
      <x:c r="C61" s="144" t="str">
        <x:v>DID 0xFD15</x:v>
      </x:c>
      <x:c r="D61" s="144" t="str">
        <x:v>2 Byte</x:v>
      </x:c>
      <x:c r="E61" s="144" t="str">
        <x:v>需从正式需求与生成policy逐DID确认</x:v>
      </x:c>
      <x:c r="F61" s="144" t="str">
        <x:v>需逐DID确认</x:v>
      </x:c>
      <x:c r="G61" s="144" t="str">
        <x:v>ID/长度为生成配置显式值</x:v>
      </x:c>
      <x:c r="H61" s="144" t="str">
        <x:v>不得从邻近DID推断语义；需补数据元素、端序、回调、NRC、NvM关联。</x:v>
      </x:c>
      <x:c r="I61" s="144" t="str">
        <x:v>DID矩阵：语义/长度/读写/session/security/端序/回调/默认/更新/持久化。</x:v>
      </x:c>
      <x:c r="J61" s="144" t="str">
        <x:v>正确/错误长度、条件、权限、掉电/复位后数据。</x:v>
      </x:c>
      <x:c r="K61" s="144" t="str">
        <x:v>Dcm_Lcfg_DspUds.c:2921-3005</x:v>
      </x:c>
    </x:row>
    <x:row r="62" ht="68" customHeight="1">
      <x:c r="A62" s="144" t="str">
        <x:v>DID</x:v>
      </x:c>
      <x:c r="B62" s="144" t="str">
        <x:v>0xFD16</x:v>
      </x:c>
      <x:c r="C62" s="144" t="str">
        <x:v>DID 0xFD16</x:v>
      </x:c>
      <x:c r="D62" s="144" t="str">
        <x:v>1536 Byte</x:v>
      </x:c>
      <x:c r="E62" s="144" t="str">
        <x:v>需从正式需求与生成policy逐DID确认</x:v>
      </x:c>
      <x:c r="F62" s="144" t="str">
        <x:v>需逐DID确认</x:v>
      </x:c>
      <x:c r="G62" s="144" t="str">
        <x:v>ID/长度为生成配置显式值</x:v>
      </x:c>
      <x:c r="H62" s="144" t="str">
        <x:v>不得从邻近DID推断语义；需补数据元素、端序、回调、NRC、NvM关联。</x:v>
      </x:c>
      <x:c r="I62" s="144" t="str">
        <x:v>DID矩阵：语义/长度/读写/session/security/端序/回调/默认/更新/持久化。</x:v>
      </x:c>
      <x:c r="J62" s="144" t="str">
        <x:v>正确/错误长度、条件、权限、掉电/复位后数据。</x:v>
      </x:c>
      <x:c r="K62" s="144" t="str">
        <x:v>Dcm_Lcfg_DspUds.c:2921-3005</x:v>
      </x:c>
    </x:row>
    <x:row r="63" ht="68" customHeight="1">
      <x:c r="A63" s="144" t="str">
        <x:v>DID</x:v>
      </x:c>
      <x:c r="B63" s="144" t="str">
        <x:v>0xFD17</x:v>
      </x:c>
      <x:c r="C63" s="144" t="str">
        <x:v>DID 0xFD17</x:v>
      </x:c>
      <x:c r="D63" s="144" t="str">
        <x:v>1 Byte</x:v>
      </x:c>
      <x:c r="E63" s="144" t="str">
        <x:v>需从正式需求与生成policy逐DID确认</x:v>
      </x:c>
      <x:c r="F63" s="144" t="str">
        <x:v>需逐DID确认</x:v>
      </x:c>
      <x:c r="G63" s="144" t="str">
        <x:v>ID/长度为生成配置显式值</x:v>
      </x:c>
      <x:c r="H63" s="144" t="str">
        <x:v>不得从邻近DID推断语义；需补数据元素、端序、回调、NRC、NvM关联。</x:v>
      </x:c>
      <x:c r="I63" s="144" t="str">
        <x:v>DID矩阵：语义/长度/读写/session/security/端序/回调/默认/更新/持久化。</x:v>
      </x:c>
      <x:c r="J63" s="144" t="str">
        <x:v>正确/错误长度、条件、权限、掉电/复位后数据。</x:v>
      </x:c>
      <x:c r="K63" s="144" t="str">
        <x:v>Dcm_Lcfg_DspUds.c:2921-3005</x:v>
      </x:c>
    </x:row>
    <x:row r="64" ht="68" customHeight="1">
      <x:c r="A64" s="144" t="str">
        <x:v>DID</x:v>
      </x:c>
      <x:c r="B64" s="144" t="str">
        <x:v>0xFD18</x:v>
      </x:c>
      <x:c r="C64" s="144" t="str">
        <x:v>DID 0xFD18</x:v>
      </x:c>
      <x:c r="D64" s="144" t="str">
        <x:v>36 Byte</x:v>
      </x:c>
      <x:c r="E64" s="144" t="str">
        <x:v>需从正式需求与生成policy逐DID确认</x:v>
      </x:c>
      <x:c r="F64" s="144" t="str">
        <x:v>需逐DID确认</x:v>
      </x:c>
      <x:c r="G64" s="144" t="str">
        <x:v>ID/长度为生成配置显式值</x:v>
      </x:c>
      <x:c r="H64" s="144" t="str">
        <x:v>不得从邻近DID推断语义；需补数据元素、端序、回调、NRC、NvM关联。</x:v>
      </x:c>
      <x:c r="I64" s="144" t="str">
        <x:v>DID矩阵：语义/长度/读写/session/security/端序/回调/默认/更新/持久化。</x:v>
      </x:c>
      <x:c r="J64" s="144" t="str">
        <x:v>正确/错误长度、条件、权限、掉电/复位后数据。</x:v>
      </x:c>
      <x:c r="K64" s="144" t="str">
        <x:v>Dcm_Lcfg_DspUds.c:2921-3005</x:v>
      </x:c>
    </x:row>
    <x:row r="65" ht="68" customHeight="1">
      <x:c r="A65" s="144" t="str">
        <x:v>DID</x:v>
      </x:c>
      <x:c r="B65" s="144" t="str">
        <x:v>0xFD19</x:v>
      </x:c>
      <x:c r="C65" s="144" t="str">
        <x:v>DID 0xFD19</x:v>
      </x:c>
      <x:c r="D65" s="144" t="str">
        <x:v>544 Byte</x:v>
      </x:c>
      <x:c r="E65" s="144" t="str">
        <x:v>需从正式需求与生成policy逐DID确认</x:v>
      </x:c>
      <x:c r="F65" s="144" t="str">
        <x:v>需逐DID确认</x:v>
      </x:c>
      <x:c r="G65" s="144" t="str">
        <x:v>ID/长度为生成配置显式值</x:v>
      </x:c>
      <x:c r="H65" s="144" t="str">
        <x:v>不得从邻近DID推断语义；需补数据元素、端序、回调、NRC、NvM关联。</x:v>
      </x:c>
      <x:c r="I65" s="144" t="str">
        <x:v>DID矩阵：语义/长度/读写/session/security/端序/回调/默认/更新/持久化。</x:v>
      </x:c>
      <x:c r="J65" s="144" t="str">
        <x:v>正确/错误长度、条件、权限、掉电/复位后数据。</x:v>
      </x:c>
      <x:c r="K65" s="144" t="str">
        <x:v>Dcm_Lcfg_DspUds.c:2921-3005</x:v>
      </x:c>
    </x:row>
    <x:row r="66" ht="68" customHeight="1">
      <x:c r="A66" s="144" t="str">
        <x:v>DID</x:v>
      </x:c>
      <x:c r="B66" s="144" t="str">
        <x:v>0xFD20</x:v>
      </x:c>
      <x:c r="C66" s="144" t="str">
        <x:v>DID 0xFD20</x:v>
      </x:c>
      <x:c r="D66" s="144" t="str">
        <x:v>64 Byte</x:v>
      </x:c>
      <x:c r="E66" s="144" t="str">
        <x:v>需从正式需求与生成policy逐DID确认</x:v>
      </x:c>
      <x:c r="F66" s="144" t="str">
        <x:v>需逐DID确认</x:v>
      </x:c>
      <x:c r="G66" s="144" t="str">
        <x:v>ID/长度为生成配置显式值</x:v>
      </x:c>
      <x:c r="H66" s="144" t="str">
        <x:v>不得从邻近DID推断语义；需补数据元素、端序、回调、NRC、NvM关联。</x:v>
      </x:c>
      <x:c r="I66" s="144" t="str">
        <x:v>DID矩阵：语义/长度/读写/session/security/端序/回调/默认/更新/持久化。</x:v>
      </x:c>
      <x:c r="J66" s="144" t="str">
        <x:v>正确/错误长度、条件、权限、掉电/复位后数据。</x:v>
      </x:c>
      <x:c r="K66" s="144" t="str">
        <x:v>Dcm_Lcfg_DspUds.c:2921-3005</x:v>
      </x:c>
    </x:row>
    <x:row r="67" ht="68" customHeight="1">
      <x:c r="A67" s="144" t="str">
        <x:v>DID</x:v>
      </x:c>
      <x:c r="B67" s="144" t="str">
        <x:v>0xFD21</x:v>
      </x:c>
      <x:c r="C67" s="144" t="str">
        <x:v>DID 0xFD21</x:v>
      </x:c>
      <x:c r="D67" s="144" t="str">
        <x:v>41 Byte</x:v>
      </x:c>
      <x:c r="E67" s="144" t="str">
        <x:v>需从正式需求与生成policy逐DID确认</x:v>
      </x:c>
      <x:c r="F67" s="144" t="str">
        <x:v>需逐DID确认</x:v>
      </x:c>
      <x:c r="G67" s="144" t="str">
        <x:v>ID/长度为生成配置显式值</x:v>
      </x:c>
      <x:c r="H67" s="144" t="str">
        <x:v>不得从邻近DID推断语义；需补数据元素、端序、回调、NRC、NvM关联。</x:v>
      </x:c>
      <x:c r="I67" s="144" t="str">
        <x:v>DID矩阵：语义/长度/读写/session/security/端序/回调/默认/更新/持久化。</x:v>
      </x:c>
      <x:c r="J67" s="144" t="str">
        <x:v>正确/错误长度、条件、权限、掉电/复位后数据。</x:v>
      </x:c>
      <x:c r="K67" s="144" t="str">
        <x:v>Dcm_Lcfg_DspUds.c:2921-3005</x:v>
      </x:c>
    </x:row>
    <x:row r="68" ht="68" customHeight="1">
      <x:c r="A68" s="144" t="str">
        <x:v>DID</x:v>
      </x:c>
      <x:c r="B68" s="144" t="str">
        <x:v>0xFD22</x:v>
      </x:c>
      <x:c r="C68" s="144" t="str">
        <x:v>DID 0xFD22</x:v>
      </x:c>
      <x:c r="D68" s="144" t="str">
        <x:v>16 Byte</x:v>
      </x:c>
      <x:c r="E68" s="144" t="str">
        <x:v>需从正式需求与生成policy逐DID确认</x:v>
      </x:c>
      <x:c r="F68" s="144" t="str">
        <x:v>需逐DID确认</x:v>
      </x:c>
      <x:c r="G68" s="144" t="str">
        <x:v>ID/长度为生成配置显式值</x:v>
      </x:c>
      <x:c r="H68" s="144" t="str">
        <x:v>不得从邻近DID推断语义；需补数据元素、端序、回调、NRC、NvM关联。</x:v>
      </x:c>
      <x:c r="I68" s="144" t="str">
        <x:v>DID矩阵：语义/长度/读写/session/security/端序/回调/默认/更新/持久化。</x:v>
      </x:c>
      <x:c r="J68" s="144" t="str">
        <x:v>正确/错误长度、条件、权限、掉电/复位后数据。</x:v>
      </x:c>
      <x:c r="K68" s="144" t="str">
        <x:v>Dcm_Lcfg_DspUds.c:2921-3005</x:v>
      </x:c>
    </x:row>
    <x:row r="69" ht="68" customHeight="1">
      <x:c r="A69" s="144" t="str">
        <x:v>DID</x:v>
      </x:c>
      <x:c r="B69" s="144" t="str">
        <x:v>0xFD23</x:v>
      </x:c>
      <x:c r="C69" s="144" t="str">
        <x:v>DID 0xFD23</x:v>
      </x:c>
      <x:c r="D69" s="144" t="str">
        <x:v>66 Byte</x:v>
      </x:c>
      <x:c r="E69" s="144" t="str">
        <x:v>需从正式需求与生成policy逐DID确认</x:v>
      </x:c>
      <x:c r="F69" s="144" t="str">
        <x:v>需逐DID确认</x:v>
      </x:c>
      <x:c r="G69" s="144" t="str">
        <x:v>ID/长度为生成配置显式值</x:v>
      </x:c>
      <x:c r="H69" s="144" t="str">
        <x:v>不得从邻近DID推断语义；需补数据元素、端序、回调、NRC、NvM关联。</x:v>
      </x:c>
      <x:c r="I69" s="144" t="str">
        <x:v>DID矩阵：语义/长度/读写/session/security/端序/回调/默认/更新/持久化。</x:v>
      </x:c>
      <x:c r="J69" s="144" t="str">
        <x:v>正确/错误长度、条件、权限、掉电/复位后数据。</x:v>
      </x:c>
      <x:c r="K69" s="144" t="str">
        <x:v>Dcm_Lcfg_DspUds.c:2921-3005</x:v>
      </x:c>
    </x:row>
    <x:row r="70" ht="68" customHeight="1">
      <x:c r="A70" s="144" t="str">
        <x:v>DID</x:v>
      </x:c>
      <x:c r="B70" s="144" t="str">
        <x:v>0xFD24</x:v>
      </x:c>
      <x:c r="C70" s="144" t="str">
        <x:v>DID 0xFD24</x:v>
      </x:c>
      <x:c r="D70" s="144" t="str">
        <x:v>66 Byte</x:v>
      </x:c>
      <x:c r="E70" s="144" t="str">
        <x:v>需从正式需求与生成policy逐DID确认</x:v>
      </x:c>
      <x:c r="F70" s="144" t="str">
        <x:v>需逐DID确认</x:v>
      </x:c>
      <x:c r="G70" s="144" t="str">
        <x:v>ID/长度为生成配置显式值</x:v>
      </x:c>
      <x:c r="H70" s="144" t="str">
        <x:v>不得从邻近DID推断语义；需补数据元素、端序、回调、NRC、NvM关联。</x:v>
      </x:c>
      <x:c r="I70" s="144" t="str">
        <x:v>DID矩阵：语义/长度/读写/session/security/端序/回调/默认/更新/持久化。</x:v>
      </x:c>
      <x:c r="J70" s="144" t="str">
        <x:v>正确/错误长度、条件、权限、掉电/复位后数据。</x:v>
      </x:c>
      <x:c r="K70" s="144" t="str">
        <x:v>Dcm_Lcfg_DspUds.c:2921-3005</x:v>
      </x:c>
    </x:row>
    <x:row r="71" ht="68" customHeight="1">
      <x:c r="A71" s="144" t="str">
        <x:v>DID</x:v>
      </x:c>
      <x:c r="B71" s="144" t="str">
        <x:v>0xFD25</x:v>
      </x:c>
      <x:c r="C71" s="144" t="str">
        <x:v>DID 0xFD25</x:v>
      </x:c>
      <x:c r="D71" s="144" t="str">
        <x:v>66 Byte</x:v>
      </x:c>
      <x:c r="E71" s="144" t="str">
        <x:v>需从正式需求与生成policy逐DID确认</x:v>
      </x:c>
      <x:c r="F71" s="144" t="str">
        <x:v>需逐DID确认</x:v>
      </x:c>
      <x:c r="G71" s="144" t="str">
        <x:v>ID/长度为生成配置显式值</x:v>
      </x:c>
      <x:c r="H71" s="144" t="str">
        <x:v>不得从邻近DID推断语义；需补数据元素、端序、回调、NRC、NvM关联。</x:v>
      </x:c>
      <x:c r="I71" s="144" t="str">
        <x:v>DID矩阵：语义/长度/读写/session/security/端序/回调/默认/更新/持久化。</x:v>
      </x:c>
      <x:c r="J71" s="144" t="str">
        <x:v>正确/错误长度、条件、权限、掉电/复位后数据。</x:v>
      </x:c>
      <x:c r="K71" s="144" t="str">
        <x:v>Dcm_Lcfg_DspUds.c:2921-3005</x:v>
      </x:c>
    </x:row>
    <x:row r="72" ht="68" customHeight="1">
      <x:c r="A72" s="144" t="str">
        <x:v>DID</x:v>
      </x:c>
      <x:c r="B72" s="144" t="str">
        <x:v>0xFD26</x:v>
      </x:c>
      <x:c r="C72" s="144" t="str">
        <x:v>DID 0xFD26</x:v>
      </x:c>
      <x:c r="D72" s="144" t="str">
        <x:v>66 Byte</x:v>
      </x:c>
      <x:c r="E72" s="144" t="str">
        <x:v>需从正式需求与生成policy逐DID确认</x:v>
      </x:c>
      <x:c r="F72" s="144" t="str">
        <x:v>需逐DID确认</x:v>
      </x:c>
      <x:c r="G72" s="144" t="str">
        <x:v>ID/长度为生成配置显式值</x:v>
      </x:c>
      <x:c r="H72" s="144" t="str">
        <x:v>不得从邻近DID推断语义；需补数据元素、端序、回调、NRC、NvM关联。</x:v>
      </x:c>
      <x:c r="I72" s="144" t="str">
        <x:v>DID矩阵：语义/长度/读写/session/security/端序/回调/默认/更新/持久化。</x:v>
      </x:c>
      <x:c r="J72" s="144" t="str">
        <x:v>正确/错误长度、条件、权限、掉电/复位后数据。</x:v>
      </x:c>
      <x:c r="K72" s="144" t="str">
        <x:v>Dcm_Lcfg_DspUds.c:2921-3005</x:v>
      </x:c>
    </x:row>
    <x:row r="73" ht="68" customHeight="1">
      <x:c r="A73" s="144" t="str">
        <x:v>DID</x:v>
      </x:c>
      <x:c r="B73" s="144" t="str">
        <x:v>0xFD27</x:v>
      </x:c>
      <x:c r="C73" s="144" t="str">
        <x:v>DID 0xFD27</x:v>
      </x:c>
      <x:c r="D73" s="144" t="str">
        <x:v>66 Byte</x:v>
      </x:c>
      <x:c r="E73" s="144" t="str">
        <x:v>需从正式需求与生成policy逐DID确认</x:v>
      </x:c>
      <x:c r="F73" s="144" t="str">
        <x:v>需逐DID确认</x:v>
      </x:c>
      <x:c r="G73" s="144" t="str">
        <x:v>ID/长度为生成配置显式值</x:v>
      </x:c>
      <x:c r="H73" s="144" t="str">
        <x:v>不得从邻近DID推断语义；需补数据元素、端序、回调、NRC、NvM关联。</x:v>
      </x:c>
      <x:c r="I73" s="144" t="str">
        <x:v>DID矩阵：语义/长度/读写/session/security/端序/回调/默认/更新/持久化。</x:v>
      </x:c>
      <x:c r="J73" s="144" t="str">
        <x:v>正确/错误长度、条件、权限、掉电/复位后数据。</x:v>
      </x:c>
      <x:c r="K73" s="144" t="str">
        <x:v>Dcm_Lcfg_DspUds.c:2921-3005</x:v>
      </x:c>
    </x:row>
    <x:row r="74" ht="68" customHeight="1">
      <x:c r="A74" s="144" t="str">
        <x:v>DID</x:v>
      </x:c>
      <x:c r="B74" s="144" t="str">
        <x:v>0xFD28</x:v>
      </x:c>
      <x:c r="C74" s="144" t="str">
        <x:v>DID 0xFD28</x:v>
      </x:c>
      <x:c r="D74" s="144" t="str">
        <x:v>66 Byte</x:v>
      </x:c>
      <x:c r="E74" s="144" t="str">
        <x:v>需从正式需求与生成policy逐DID确认</x:v>
      </x:c>
      <x:c r="F74" s="144" t="str">
        <x:v>需逐DID确认</x:v>
      </x:c>
      <x:c r="G74" s="144" t="str">
        <x:v>ID/长度为生成配置显式值</x:v>
      </x:c>
      <x:c r="H74" s="144" t="str">
        <x:v>不得从邻近DID推断语义；需补数据元素、端序、回调、NRC、NvM关联。</x:v>
      </x:c>
      <x:c r="I74" s="144" t="str">
        <x:v>DID矩阵：语义/长度/读写/session/security/端序/回调/默认/更新/持久化。</x:v>
      </x:c>
      <x:c r="J74" s="144" t="str">
        <x:v>正确/错误长度、条件、权限、掉电/复位后数据。</x:v>
      </x:c>
      <x:c r="K74" s="144" t="str">
        <x:v>Dcm_Lcfg_DspUds.c:2921-3005</x:v>
      </x:c>
    </x:row>
    <x:row r="75" ht="68" customHeight="1">
      <x:c r="A75" s="144" t="str">
        <x:v>DID</x:v>
      </x:c>
      <x:c r="B75" s="144" t="str">
        <x:v>0xFD30</x:v>
      </x:c>
      <x:c r="C75" s="144" t="str">
        <x:v>DID 0xFD30</x:v>
      </x:c>
      <x:c r="D75" s="144" t="str">
        <x:v>4 Byte</x:v>
      </x:c>
      <x:c r="E75" s="144" t="str">
        <x:v>需从正式需求与生成policy逐DID确认</x:v>
      </x:c>
      <x:c r="F75" s="144" t="str">
        <x:v>需逐DID确认</x:v>
      </x:c>
      <x:c r="G75" s="144" t="str">
        <x:v>ID/长度为生成配置显式值</x:v>
      </x:c>
      <x:c r="H75" s="144" t="str">
        <x:v>不得从邻近DID推断语义；需补数据元素、端序、回调、NRC、NvM关联。</x:v>
      </x:c>
      <x:c r="I75" s="144" t="str">
        <x:v>DID矩阵：语义/长度/读写/session/security/端序/回调/默认/更新/持久化。</x:v>
      </x:c>
      <x:c r="J75" s="144" t="str">
        <x:v>正确/错误长度、条件、权限、掉电/复位后数据。</x:v>
      </x:c>
      <x:c r="K75" s="144" t="str">
        <x:v>Dcm_Lcfg_DspUds.c:2921-3005</x:v>
      </x:c>
    </x:row>
    <x:row r="76" ht="68" customHeight="1">
      <x:c r="A76" s="144" t="str">
        <x:v>DID</x:v>
      </x:c>
      <x:c r="B76" s="144" t="str">
        <x:v>0xFD31</x:v>
      </x:c>
      <x:c r="C76" s="144" t="str">
        <x:v>DID 0xFD31</x:v>
      </x:c>
      <x:c r="D76" s="144" t="str">
        <x:v>90 Byte</x:v>
      </x:c>
      <x:c r="E76" s="144" t="str">
        <x:v>需从正式需求与生成policy逐DID确认</x:v>
      </x:c>
      <x:c r="F76" s="144" t="str">
        <x:v>需逐DID确认</x:v>
      </x:c>
      <x:c r="G76" s="144" t="str">
        <x:v>ID/长度为生成配置显式值</x:v>
      </x:c>
      <x:c r="H76" s="144" t="str">
        <x:v>不得从邻近DID推断语义；需补数据元素、端序、回调、NRC、NvM关联。</x:v>
      </x:c>
      <x:c r="I76" s="144" t="str">
        <x:v>DID矩阵：语义/长度/读写/session/security/端序/回调/默认/更新/持久化。</x:v>
      </x:c>
      <x:c r="J76" s="144" t="str">
        <x:v>正确/错误长度、条件、权限、掉电/复位后数据。</x:v>
      </x:c>
      <x:c r="K76" s="144" t="str">
        <x:v>Dcm_Lcfg_DspUds.c:2921-3005</x:v>
      </x:c>
    </x:row>
    <x:row r="77" ht="68" customHeight="1">
      <x:c r="A77" s="144" t="str">
        <x:v>DID</x:v>
      </x:c>
      <x:c r="B77" s="144" t="str">
        <x:v>0xFDAA</x:v>
      </x:c>
      <x:c r="C77" s="144" t="str">
        <x:v>DID 0xFDAA</x:v>
      </x:c>
      <x:c r="D77" s="144" t="str">
        <x:v>640 Byte</x:v>
      </x:c>
      <x:c r="E77" s="144" t="str">
        <x:v>需从正式需求与生成policy逐DID确认</x:v>
      </x:c>
      <x:c r="F77" s="144" t="str">
        <x:v>需逐DID确认</x:v>
      </x:c>
      <x:c r="G77" s="144" t="str">
        <x:v>ID/长度为生成配置显式值</x:v>
      </x:c>
      <x:c r="H77" s="144" t="str">
        <x:v>不得从邻近DID推断语义；需补数据元素、端序、回调、NRC、NvM关联。</x:v>
      </x:c>
      <x:c r="I77" s="144" t="str">
        <x:v>DID矩阵：语义/长度/读写/session/security/端序/回调/默认/更新/持久化。</x:v>
      </x:c>
      <x:c r="J77" s="144" t="str">
        <x:v>正确/错误长度、条件、权限、掉电/复位后数据。</x:v>
      </x:c>
      <x:c r="K77" s="144" t="str">
        <x:v>Dcm_Lcfg_DspUds.c:2921-3005</x:v>
      </x:c>
    </x:row>
    <x:row r="78" ht="68" customHeight="1">
      <x:c r="A78" s="144" t="str">
        <x:v>DID</x:v>
      </x:c>
      <x:c r="B78" s="144" t="str">
        <x:v>0xFF94</x:v>
      </x:c>
      <x:c r="C78" s="144" t="str">
        <x:v>DID 0xFF94</x:v>
      </x:c>
      <x:c r="D78" s="144" t="str">
        <x:v>9 Byte</x:v>
      </x:c>
      <x:c r="E78" s="144" t="str">
        <x:v>需从正式需求与生成policy逐DID确认</x:v>
      </x:c>
      <x:c r="F78" s="144" t="str">
        <x:v>需逐DID确认</x:v>
      </x:c>
      <x:c r="G78" s="144" t="str">
        <x:v>ID/长度为生成配置显式值</x:v>
      </x:c>
      <x:c r="H78" s="144" t="str">
        <x:v>不得从邻近DID推断语义；需补数据元素、端序、回调、NRC、NvM关联。</x:v>
      </x:c>
      <x:c r="I78" s="144" t="str">
        <x:v>DID矩阵：语义/长度/读写/session/security/端序/回调/默认/更新/持久化。</x:v>
      </x:c>
      <x:c r="J78" s="144" t="str">
        <x:v>正确/错误长度、条件、权限、掉电/复位后数据。</x:v>
      </x:c>
      <x:c r="K78" s="144" t="str">
        <x:v>Dcm_Lcfg_DspUds.c:2921-3005</x:v>
      </x:c>
    </x:row>
    <x:row r="79" ht="68" customHeight="1">
      <x:c r="A79" s="144" t="str">
        <x:v>DID</x:v>
      </x:c>
      <x:c r="B79" s="144" t="str">
        <x:v>0xFF95</x:v>
      </x:c>
      <x:c r="C79" s="144" t="str">
        <x:v>DID 0xFF95</x:v>
      </x:c>
      <x:c r="D79" s="144" t="str">
        <x:v>6 Byte</x:v>
      </x:c>
      <x:c r="E79" s="144" t="str">
        <x:v>需从正式需求与生成policy逐DID确认</x:v>
      </x:c>
      <x:c r="F79" s="144" t="str">
        <x:v>需逐DID确认</x:v>
      </x:c>
      <x:c r="G79" s="144" t="str">
        <x:v>ID/长度为生成配置显式值</x:v>
      </x:c>
      <x:c r="H79" s="144" t="str">
        <x:v>不得从邻近DID推断语义；需补数据元素、端序、回调、NRC、NvM关联。</x:v>
      </x:c>
      <x:c r="I79" s="144" t="str">
        <x:v>DID矩阵：语义/长度/读写/session/security/端序/回调/默认/更新/持久化。</x:v>
      </x:c>
      <x:c r="J79" s="144" t="str">
        <x:v>正确/错误长度、条件、权限、掉电/复位后数据。</x:v>
      </x:c>
      <x:c r="K79" s="144" t="str">
        <x:v>Dcm_Lcfg_DspUds.c:2921-3005</x:v>
      </x:c>
    </x:row>
    <x:row r="80" ht="68" customHeight="1">
      <x:c r="A80" s="144" t="str">
        <x:v>CanTp</x:v>
      </x:c>
      <x:c r="B80" s="144" t="str">
        <x:v>物理Rx</x:v>
      </x:c>
      <x:c r="C80" s="144" t="str">
        <x:v>Diagnostic Physical</x:v>
      </x:c>
      <x:c r="D80" s="144" t="str">
        <x:v>STmin20ms；BS8；WFTmax0；Ncr180ms；Nar/Nbr70ms</x:v>
      </x:c>
      <x:c r="E80" s="144" t="str">
        <x:v>Standard addressing</x:v>
      </x:c>
      <x:c r="F80" s="144" t="str">
        <x:v>-</x:v>
      </x:c>
      <x:c r="G80" s="144" t="str">
        <x:v>padding开启；DLC 8；padding 0xAA</x:v>
      </x:c>
      <x:c r="H80" s="144" t="str">
        <x:v>与CAN-FD能力口径需明确。</x:v>
      </x:c>
      <x:c r="I80" s="144" t="str">
        <x:v>CanTp/PduR路由表与参数矩阵。</x:v>
      </x:c>
      <x:c r="J80" s="144" t="str">
        <x:v>SF/FF/CF/FC、超时、padding、Bus-Off。</x:v>
      </x:c>
      <x:c r="K80" s="144" t="str">
        <x:v>MCU_Project_Diag_CanTp_EcucValues.arxml:20-182</x:v>
      </x:c>
    </x:row>
    <x:row r="81" ht="68" customHeight="1">
      <x:c r="A81" s="144" t="str">
        <x:v>CanTp</x:v>
      </x:c>
      <x:c r="B81" s="144" t="str">
        <x:v>功能Rx</x:v>
      </x:c>
      <x:c r="C81" s="144" t="str">
        <x:v>Diagnostic Functional</x:v>
      </x:c>
      <x:c r="D81" s="144" t="str">
        <x:v>同物理Rx</x:v>
      </x:c>
      <x:c r="E81" s="144" t="str">
        <x:v>Standard addressing</x:v>
      </x:c>
      <x:c r="F81" s="144" t="str">
        <x:v>-</x:v>
      </x:c>
      <x:c r="G81" s="144" t="str">
        <x:v>2 Rx/1 Tx</x:v>
      </x:c>
      <x:c r="H81" s="144" t="str">
        <x:v>功能寻址禁止响应NRC列表需冻结。</x:v>
      </x:c>
      <x:c r="I81" s="144" t="str">
        <x:v>功能寻址响应策略。</x:v>
      </x:c>
      <x:c r="J81" s="144" t="str">
        <x:v>功能寻址服务/NRC/suppress response。</x:v>
      </x:c>
      <x:c r="K81" s="144" t="str">
        <x:v>CanTp_Cfg.c:169-216</x:v>
      </x:c>
    </x:row>
    <x:row r="82" ht="68" customHeight="1">
      <x:c r="A82" s="144" t="str">
        <x:v>CanTp</x:v>
      </x:c>
      <x:c r="B82" s="144" t="str">
        <x:v>Tx</x:v>
      </x:c>
      <x:c r="C82" s="144" t="str">
        <x:v>Diagnostic Response</x:v>
      </x:c>
      <x:c r="D82" s="144" t="str">
        <x:v>Nas70/Nbs180/Ncs70ms</x:v>
      </x:c>
      <x:c r="E82" s="144" t="str">
        <x:v>-</x:v>
      </x:c>
      <x:c r="F82" s="144" t="str">
        <x:v>-</x:v>
      </x:c>
      <x:c r="G82" s="144" t="str">
        <x:v>padding开启；CanTpTc=true</x:v>
      </x:c>
      <x:c r="H82" s="144" t="str">
        <x:v>显式值。</x:v>
      </x:c>
      <x:c r="I82" s="144" t="str">
        <x:v>Tx参数和PduR路由。</x:v>
      </x:c>
      <x:c r="J82" s="144" t="str">
        <x:v>多帧4095边界、FC与timeout。</x:v>
      </x:c>
      <x:c r="K82" s="144" t="str">
        <x:v>CanTp配置ARXML；CanTp_Cfg.h</x:v>
      </x:c>
    </x:row>
    <x:row r="83" ht="68" customHeight="1">
      <x:c r="A83" s="144" t="str">
        <x:v>Dem</x:v>
      </x:c>
      <x:c r="B83" s="144" t="str">
        <x:v>217 Events</x:v>
      </x:c>
      <x:c r="C83" s="144" t="str">
        <x:v>事件总量</x:v>
      </x:c>
      <x:c r="D83" s="144" t="str">
        <x:v>Main 10ms</x:v>
      </x:c>
      <x:c r="E83" s="144" t="str">
        <x:v>POWER operation cycle</x:v>
      </x:c>
      <x:c r="F83" s="144" t="str">
        <x:v>-</x:v>
      </x:c>
      <x:c r="G83" s="144" t="str">
        <x:v>217 events</x:v>
      </x:c>
      <x:c r="H83" s="144" t="str">
        <x:v>必须交Event级矩阵，不能只交59 DTC。</x:v>
      </x:c>
      <x:c r="I83" s="144" t="str">
        <x:v>Event↔DTC/debounce/priority/aging/conditions/FF/Ext/NvM。</x:v>
      </x:c>
      <x:c r="J83" s="144" t="str">
        <x:v>逐事件或批准等价类故障注入。</x:v>
      </x:c>
      <x:c r="K83" s="144" t="str">
        <x:v>Dem_Cfg_EventId.h:24-25</x:v>
      </x:c>
    </x:row>
    <x:row r="84" ht="68" customHeight="1">
      <x:c r="A84" s="144" t="str">
        <x:v>Dem</x:v>
      </x:c>
      <x:c r="B84" s="144" t="str">
        <x:v>59 DTC</x:v>
      </x:c>
      <x:c r="C84" s="144" t="str">
        <x:v>UDS DTC</x:v>
      </x:c>
      <x:c r="D84" s="144" t="str">
        <x:v>59 codes</x:v>
      </x:c>
      <x:c r="E84" s="144" t="str">
        <x:v>-</x:v>
      </x:c>
      <x:c r="F84" s="144" t="str">
        <x:v>-</x:v>
      </x:c>
      <x:c r="G84" s="144" t="str">
        <x:v>storage event combination开启；severity均NO_SEVERITY</x:v>
      </x:c>
      <x:c r="H84" s="144" t="str">
        <x:v>severity/priority是否符合OEM需确认。</x:v>
      </x:c>
      <x:c r="I84" s="144" t="str">
        <x:v>DTC矩阵与0x19映射。</x:v>
      </x:c>
      <x:c r="J84" s="144" t="str">
        <x:v>status mask、优先级、组合、清除。</x:v>
      </x:c>
      <x:c r="K84" s="144" t="str">
        <x:v>Dem_Cfg_DtcId.h:31,36；Dem_Cfg_DTC_DataStructures.c:24-149</x:v>
      </x:c>
    </x:row>
    <x:row r="85" ht="68" customHeight="1">
      <x:c r="A85" s="144" t="str">
        <x:v>Dem</x:v>
      </x:c>
      <x:c r="B85" s="144" t="str">
        <x:v>Primary Memory</x:v>
      </x:c>
      <x:c r="C85" s="144" t="str">
        <x:v>事件存储</x:v>
      </x:c>
      <x:c r="D85" s="144" t="str">
        <x:v>40 entries</x:v>
      </x:c>
      <x:c r="E85" s="144" t="str">
        <x:v>POWER cycle</x:v>
      </x:c>
      <x:c r="F85" s="144" t="str">
        <x:v>-</x:v>
      </x:c>
      <x:c r="G85" s="144" t="str">
        <x:v>无displacement；aging/occurrence支持</x:v>
      </x:c>
      <x:c r="H85" s="144" t="str">
        <x:v>满载策略必须写清。</x:v>
      </x:c>
      <x:c r="I85" s="144" t="str">
        <x:v>存储/淘汰/断电规则。</x:v>
      </x:c>
      <x:c r="J85" s="144" t="str">
        <x:v>41st事件、掉电、恢复、ClearDTC。</x:v>
      </x:c>
      <x:c r="K85" s="144" t="str">
        <x:v>Dem_Cfg_EvMem.h:39-143</x:v>
      </x:c>
    </x:row>
    <x:row r="86" ht="68" customHeight="1">
      <x:c r="A86" s="144" t="str">
        <x:v>Dem</x:v>
      </x:c>
      <x:c r="B86" s="144" t="str">
        <x:v>Env Data</x:v>
      </x:c>
      <x:c r="C86" s="144" t="str">
        <x:v>FF/Extended</x:v>
      </x:c>
      <x:c r="D86" s="144" t="str">
        <x:v>8 element；5 DID；2 Ext record；2 FF record</x:v>
      </x:c>
      <x:c r="E86" s="144" t="str">
        <x:v>-</x:v>
      </x:c>
      <x:c r="F86" s="144" t="str">
        <x:v>-</x:v>
      </x:c>
      <x:c r="G86" s="144" t="str">
        <x:v>时间/里程/电压/外温/车速等回调</x:v>
      </x:c>
      <x:c r="H86" s="144" t="str">
        <x:v>回调owner/单位/采样时点需冻结。</x:v>
      </x:c>
      <x:c r="I86" s="144" t="str">
        <x:v>环境数据矩阵和接口。</x:v>
      </x:c>
      <x:c r="J86" s="144" t="str">
        <x:v>故障瞬间值、边界、回调失败。</x:v>
      </x:c>
      <x:c r="K86" s="144" t="str">
        <x:v>Dem_Cfg_EnvDataElement.h:34-84</x:v>
      </x:c>
    </x:row>
    <x:row r="87" ht="68" customHeight="1">
      <x:c r="A87" s="144" t="str">
        <x:v>Dem</x:v>
      </x:c>
      <x:c r="B87" s="144" t="str">
        <x:v>NvM</x:v>
      </x:c>
      <x:c r="C87" s="144" t="str">
        <x:v>故障持久化</x:v>
      </x:c>
      <x:c r="D87" s="144" t="str">
        <x:v>42 blocks；41 extended/sync</x:v>
      </x:c>
      <x:c r="E87" s="144" t="str">
        <x:v>-</x:v>
      </x:c>
      <x:c r="F87" s="144" t="str">
        <x:v>-</x:v>
      </x:c>
      <x:c r="G87" s="144" t="str">
        <x:v>generic+40 entries+status</x:v>
      </x:c>
      <x:c r="H87" s="144" t="str">
        <x:v>与05页ID29..90/102映射逐项核对。</x:v>
      </x:c>
      <x:c r="I87" s="144" t="str">
        <x:v>Dem↔NvM mapping。</x:v>
      </x:c>
      <x:c r="J87" s="144" t="str">
        <x:v>并发/断电/0x19一致性。</x:v>
      </x:c>
      <x:c r="K87" s="144" t="str">
        <x:v>Dem_Cfg_Nvm.h:23-68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347076bf65d4ed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52" hidden="0" customWidth="1"/>
    <x:col min="4" max="4" width="48" hidden="0" customWidth="1"/>
    <x:col min="5" max="5" width="16" hidden="0" customWidth="1"/>
    <x:col min="6" max="6" width="38" hidden="0" customWidth="1"/>
    <x:col min="7" max="7" width="38" hidden="0" customWidth="1"/>
    <x:col min="8" max="8" width="42" hidden="0" customWidth="1"/>
  </x:cols>
  <x:sheetData>
    <x:row r="1" ht="30" customHeight="1">
      <x:c r="A1" s="133" t="str">
        <x:v>平台、通信、调度与雷达链路配置基线</x:v>
      </x:c>
      <x:c r="B1" s="133" t="str">
        <x:v>平台、通信、调度与雷达链路配置基线</x:v>
      </x:c>
      <x:c r="C1" s="133" t="str">
        <x:v>平台、通信、调度与雷达链路配置基线</x:v>
      </x:c>
      <x:c r="D1" s="133" t="str">
        <x:v>平台、通信、调度与雷达链路配置基线</x:v>
      </x:c>
      <x:c r="E1" s="133" t="str">
        <x:v>平台、通信、调度与雷达链路配置基线</x:v>
      </x:c>
      <x:c r="F1" s="133" t="str">
        <x:v>平台、通信、调度与雷达链路配置基线</x:v>
      </x:c>
      <x:c r="G1" s="133" t="str">
        <x:v>平台、通信、调度与雷达链路配置基线</x:v>
      </x:c>
      <x:c r="H1" s="133" t="str">
        <x:v>平台、通信、调度与雷达链路配置基线</x:v>
      </x:c>
    </x:row>
    <x:row r="2" ht="36" customHeight="1">
      <x:c r="A2" s="136" t="str">
        <x:v>“工程显式值”可用于需求提炼；存在矛盾或计算口径的项目必须先进入08页关闭，不能当成量产事实直接下发。</x:v>
      </x:c>
      <x:c r="B2" s="136" t="str">
        <x:v>“工程显式值”可用于需求提炼；存在矛盾或计算口径的项目必须先进入08页关闭，不能当成量产事实直接下发。</x:v>
      </x:c>
      <x:c r="C2" s="136" t="str">
        <x:v>“工程显式值”可用于需求提炼；存在矛盾或计算口径的项目必须先进入08页关闭，不能当成量产事实直接下发。</x:v>
      </x:c>
      <x:c r="D2" s="136" t="str">
        <x:v>“工程显式值”可用于需求提炼；存在矛盾或计算口径的项目必须先进入08页关闭，不能当成量产事实直接下发。</x:v>
      </x:c>
      <x:c r="E2" s="136" t="str">
        <x:v>“工程显式值”可用于需求提炼；存在矛盾或计算口径的项目必须先进入08页关闭，不能当成量产事实直接下发。</x:v>
      </x:c>
      <x:c r="F2" s="136" t="str">
        <x:v>“工程显式值”可用于需求提炼；存在矛盾或计算口径的项目必须先进入08页关闭，不能当成量产事实直接下发。</x:v>
      </x:c>
      <x:c r="G2" s="136" t="str">
        <x:v>“工程显式值”可用于需求提炼；存在矛盾或计算口径的项目必须先进入08页关闭，不能当成量产事实直接下发。</x:v>
      </x:c>
      <x:c r="H2" s="136" t="str">
        <x:v>“工程显式值”可用于需求提炼；存在矛盾或计算口径的项目必须先进入08页关闭，不能当成量产事实直接下发。</x:v>
      </x:c>
    </x:row>
    <x:row r="5" ht="34" customHeight="1">
      <x:c r="A5" s="150" t="str">
        <x:v>领域</x:v>
      </x:c>
      <x:c r="B5" s="151" t="str">
        <x:v>配置项</x:v>
      </x:c>
      <x:c r="C5" s="151" t="str">
        <x:v>工程显式值/行为</x:v>
      </x:c>
      <x:c r="D5" s="151" t="str">
        <x:v>需求化结论</x:v>
      </x:c>
      <x:c r="E5" s="151" t="str">
        <x:v>阶段</x:v>
      </x:c>
      <x:c r="F5" s="151" t="str">
        <x:v>东软交付</x:v>
      </x:c>
      <x:c r="G5" s="151" t="str">
        <x:v>验收重点</x:v>
      </x:c>
      <x:c r="H5" s="152" t="str">
        <x:v>证据</x:v>
      </x:c>
    </x:row>
    <x:row r="6" ht="72" customHeight="1">
      <x:c r="A6" s="144" t="str">
        <x:v>构建</x:v>
      </x:c>
      <x:c r="B6" s="144" t="str">
        <x:v>BYD构建变体</x:v>
      </x:c>
      <x:c r="C6" s="144" t="str">
        <x:v>BYD_UKE + DEVELOP + KL15 + FUNTEST_OFF + SYMMETRY</x:v>
      </x:c>
      <x:c r="D6" s="144" t="str">
        <x:v>不能直接称为SERIES量产基线；M0用实车/发布manifest确认。</x:v>
      </x:c>
      <x:c r="E6" s="144" t="str">
        <x:v>M0</x:v>
      </x:c>
      <x:c r="F6" s="144" t="str">
        <x:v>构建矩阵和release manifest</x:v>
      </x:c>
      <x:c r="G6" s="144" t="str">
        <x:v>变体/hash/行为一致</x:v>
      </x:c>
      <x:c r="H6" s="144" t="str">
        <x:v>coem/BYD_UKE/buildscripts/build.bat:61</x:v>
      </x:c>
    </x:row>
    <x:row r="7" ht="72" customHeight="1">
      <x:c r="A7" s="144" t="str">
        <x:v>目标</x:v>
      </x:c>
      <x:c r="B7" s="144" t="str">
        <x:v>芯片/架构</x:v>
      </x:c>
      <x:c r="C7" s="144" t="str">
        <x:v>AWR2E44P；MSS R5；AUTOSAR 4.3.1口径</x:v>
      </x:c>
      <x:c r="D7" s="144" t="str">
        <x:v>与附件“2E44LC/AWR294x、R21-11”差异需澄清版本口径。</x:v>
      </x:c>
      <x:c r="E7" s="144" t="str">
        <x:v>M0</x:v>
      </x:c>
      <x:c r="F7" s="144" t="str">
        <x:v>目标与AUTOSAR/供应商版本矩阵</x:v>
      </x:c>
      <x:c r="G7" s="144" t="str">
        <x:v>编译目标/ABI/生成工具一致</x:v>
      </x:c>
      <x:c r="H7" s="144" t="str">
        <x:v>settings.py:8,30-45</x:v>
      </x:c>
    </x:row>
    <x:row r="8" ht="72" customHeight="1">
      <x:c r="A8" s="144" t="str">
        <x:v>镜像</x:v>
      </x:c>
      <x:c r="B8" s="144" t="str">
        <x:v>三核容器</x:v>
      </x:c>
      <x:c r="C8" s="144" t="str">
        <x:v>R5 core0、M4 core2、RadarSS core3</x:v>
      </x:c>
      <x:c r="D8" s="144" t="str">
        <x:v>供应商交付完整镜像链，不只是MSS ELF。</x:v>
      </x:c>
      <x:c r="E8" s="144" t="str">
        <x:v>M1</x:v>
      </x:c>
      <x:c r="F8" s="144" t="str">
        <x:v>镜像recipe/map/hash</x:v>
      </x:c>
      <x:c r="G8" s="144" t="str">
        <x:v>核ID/CRC/地址/启动</x:v>
      </x:c>
      <x:c r="H8" s="144" t="str">
        <x:v>ImageGen.py:388-406</x:v>
      </x:c>
    </x:row>
    <x:row r="9" ht="72" customHeight="1">
      <x:c r="A9" s="144" t="str">
        <x:v>构建</x:v>
      </x:c>
      <x:c r="B9" s="144" t="str">
        <x:v>M4/算法库</x:v>
      </x:c>
      <x:c r="C9" s="144" t="str">
        <x:v>M4复制预编译xem4；R5链接libdoa_awr2x44P_aer5f.lib</x:v>
      </x:c>
      <x:c r="D9" s="144" t="str">
        <x:v>甲方提供功能，东软仍负责ABI/镜像/内存/调度适配。</x:v>
      </x:c>
      <x:c r="E9" s="144" t="str">
        <x:v>M0/M1</x:v>
      </x:c>
      <x:c r="F9" s="144" t="str">
        <x:v>ICD与集成层</x:v>
      </x:c>
      <x:c r="G9" s="144" t="str">
        <x:v>错版本/内存/握手/golden</x:v>
      </x:c>
      <x:c r="H9" s="144" t="str">
        <x:v>SConstruct:276-285</x:v>
      </x:c>
    </x:row>
    <x:row r="10" ht="72" customHeight="1">
      <x:c r="A10" s="144" t="str">
        <x:v>启动</x:v>
      </x:c>
      <x:c r="B10" s="144" t="str">
        <x:v>EcuM顺序</x:v>
      </x:c>
      <x:c r="C10" s="144" t="str">
        <x:v>Mcu/Gpt/GPIO/Port/Can/Spi/TCAN/PMIC/Fls/Mailbox/ADC/EDMA/HSM/rbBlock/IPC</x:v>
      </x:c>
      <x:c r="D10" s="144" t="str">
        <x:v>把初始化顺序和失败策略转为状态机与超时。</x:v>
      </x:c>
      <x:c r="E10" s="144" t="str">
        <x:v>M1</x:v>
      </x:c>
      <x:c r="F10" s="144" t="str">
        <x:v>EcuM callout与trace</x:v>
      </x:c>
      <x:c r="G10" s="144" t="str">
        <x:v>冷/热/欠压/失败注入</x:v>
      </x:c>
      <x:c r="H10" s="144" t="str">
        <x:v>EcuM_Callout_Stubs.c:515-586</x:v>
      </x:c>
    </x:row>
    <x:row r="11" ht="72" customHeight="1">
      <x:c r="A11" s="144" t="str">
        <x:v>启动</x:v>
      </x:c>
      <x:c r="B11" s="144" t="str">
        <x:v>雷达启动门</x:v>
      </x:c>
      <x:c r="C11" s="144" t="str">
        <x:v>约150ms后且CUDA/CLDA/rbBlock全部成功才MmwDemo_initTask</x:v>
      </x:c>
      <x:c r="D11" s="144" t="str">
        <x:v>CUDA/CLDA是M1前置，不是M2细节。</x:v>
      </x:c>
      <x:c r="E11" s="144" t="str">
        <x:v>M1</x:v>
      </x:c>
      <x:c r="F11" s="144" t="str">
        <x:v>启动门与DEM/降级</x:v>
      </x:c>
      <x:c r="G11" s="144" t="str">
        <x:v>逐块损坏禁止发波</x:v>
      </x:c>
      <x:c r="H11" s="144" t="str">
        <x:v>integration/Os_Cbk_Idle.c:87-93</x:v>
      </x:c>
    </x:row>
    <x:row r="12" ht="72" customHeight="1">
      <x:c r="A12" s="144" t="str">
        <x:v>工厂数据</x:v>
      </x:c>
      <x:c r="B12" s="144" t="str">
        <x:v>CUDA</x:v>
      </x:c>
      <x:c r="C12" s="144" t="str">
        <x:v>0x00320000、0x10000；EgoCar/RadarPos/CalibInput，四位置</x:v>
      </x:c>
      <x:c r="D12" s="144" t="str">
        <x:v>交schema/ID/长度/默认/校验/烧录/位置规则。</x:v>
      </x:c>
      <x:c r="E12" s="144" t="str">
        <x:v>M1</x:v>
      </x:c>
      <x:c r="F12" s="144" t="str">
        <x:v>数据字典与工具</x:v>
      </x:c>
      <x:c r="G12" s="144" t="str">
        <x:v>合法/损坏/错位置</x:v>
      </x:c>
      <x:c r="H12" s="144" t="str">
        <x:v>rbBlock.h:45-50；rbBlock_CUDA_user.h:11-44</x:v>
      </x:c>
    </x:row>
    <x:row r="13" ht="72" customHeight="1">
      <x:c r="A13" s="144" t="str">
        <x:v>工厂数据</x:v>
      </x:c>
      <x:c r="B13" s="144" t="str">
        <x:v>CLDA</x:v>
      </x:c>
      <x:c r="C13" s="144" t="str">
        <x:v>0x00330000、0x10000；子块2048/1212/1172</x:v>
      </x:c>
      <x:c r="D13" s="144" t="str">
        <x:v>同上；包含RF/信号补偿关键数据。</x:v>
      </x:c>
      <x:c r="E13" s="144" t="str">
        <x:v>M1</x:v>
      </x:c>
      <x:c r="F13" s="144" t="str">
        <x:v>schema与校验</x:v>
      </x:c>
      <x:c r="G13" s="144" t="str">
        <x:v>逐子块故障</x:v>
      </x:c>
      <x:c r="H13" s="144" t="str">
        <x:v>rbBlock.c:34-40；ReadCUDA2Asw.c:88-97</x:v>
      </x:c>
    </x:row>
    <x:row r="14" ht="72" customHeight="1">
      <x:c r="A14" s="144" t="str">
        <x:v>多核</x:v>
      </x:c>
      <x:c r="B14" s="144" t="str">
        <x:v>MSS↔M4 boot</x:v>
      </x:c>
      <x:c r="C14" s="144" t="str">
        <x:v>寄存器0x02120664 bit0/bit1握手；当前无timeout</x:v>
      </x:c>
      <x:c r="D14" s="144" t="str">
        <x:v>必须有timeout/DEM/重启/降级。</x:v>
      </x:c>
      <x:c r="E14" s="144" t="str">
        <x:v>M1</x:v>
      </x:c>
      <x:c r="F14" s="144" t="str">
        <x:v>启动状态机</x:v>
      </x:c>
      <x:c r="G14" s="144" t="str">
        <x:v>缺失/延迟/重启</x:v>
      </x:c>
      <x:c r="H14" s="144" t="str">
        <x:v>mmw_common.c:44-77；mmw_main.c:2783-2807</x:v>
      </x:c>
    </x:row>
    <x:row r="15" ht="72" customHeight="1">
      <x:c r="A15" s="144" t="str">
        <x:v>IPC</x:v>
      </x:c>
      <x:c r="B15" s="144" t="str">
        <x:v>消息协议</x:v>
      </x:c>
      <x:c r="C15" s="144" t="str">
        <x:v>M4→R5 0x10 frame完成、0x11 chirp start、0x12 stop；其它为ACK</x:v>
      </x:c>
      <x:c r="D15" s="144" t="str">
        <x:v>交完整ICD/版本/长度/序号/错误处理。</x:v>
      </x:c>
      <x:c r="E15" s="144" t="str">
        <x:v>M1</x:v>
      </x:c>
      <x:c r="F15" s="144" t="str">
        <x:v>IPC ICD与测试</x:v>
      </x:c>
      <x:c r="G15" s="144" t="str">
        <x:v>丢/乱/重/洪泛/timeout</x:v>
      </x:c>
      <x:c r="H15" s="144" t="str">
        <x:v>rte/OsTask_MMW.c:93-139</x:v>
      </x:c>
    </x:row>
    <x:row r="16" ht="72" customHeight="1">
      <x:c r="A16" s="144" t="str">
        <x:v>IPC</x:v>
      </x:c>
      <x:c r="B16" s="144" t="str">
        <x:v>共享Mailbox</x:v>
      </x:c>
      <x:c r="C16" s="144" t="str">
        <x:v>1152 bytes、128B对齐；blocking write timeout 1000</x:v>
      </x:c>
      <x:c r="D16" s="144" t="str">
        <x:v>解释timeout单位；处理对端复位与队列满。</x:v>
      </x:c>
      <x:c r="E16" s="144" t="str">
        <x:v>M1</x:v>
      </x:c>
      <x:c r="F16" s="144" t="str">
        <x:v>配置与异常矩阵</x:v>
      </x:c>
      <x:c r="G16" s="144" t="str">
        <x:v>边界长度/超时/恢复</x:v>
      </x:c>
      <x:c r="H16" s="144" t="str">
        <x:v>rte/OsTask_MMW.c:46；Cdd_Ipc_PBCfg.c:65-84</x:v>
      </x:c>
    </x:row>
    <x:row r="17" ht="72" customHeight="1">
      <x:c r="A17" s="144" t="str">
        <x:v>内存</x:v>
      </x:c>
      <x:c r="B17" s="144" t="str">
        <x:v>共享区</x:v>
      </x:c>
      <x:c r="C17" s="144" t="str">
        <x:v>.shared_mem 0x88180F00/0x1000；gheapSigL3 0x88181F00/0x1E000；Mailbox 0xC5000200</x:v>
      </x:c>
      <x:c r="D17" s="144" t="str">
        <x:v>冻结双方ABI/MPU/cache/所有权。</x:v>
      </x:c>
      <x:c r="E17" s="144" t="str">
        <x:v>M1</x:v>
      </x:c>
      <x:c r="F17" s="144" t="str">
        <x:v>linker/MPU/map/offsetof</x:v>
      </x:c>
      <x:c r="G17" s="144" t="str">
        <x:v>无重叠/撕裂/旧帧</x:v>
      </x:c>
      <x:c r="H17" s="144" t="str">
        <x:v>TPR12_MCU_LS.lds:25-48,164-171</x:v>
      </x:c>
    </x:row>
    <x:row r="18" ht="72" customHeight="1">
      <x:c r="A18" s="144" t="str">
        <x:v>内存</x:v>
      </x:c>
      <x:c r="B18" s="144" t="str">
        <x:v>MPU</x:v>
      </x:c>
      <x:c r="C18" s="144" t="str">
        <x:v>0xC5000000/8KiB、0x88000000/4MiB non-cacheable/shareable</x:v>
      </x:c>
      <x:c r="D18" s="144" t="str">
        <x:v>M4/R5必须一致。</x:v>
      </x:c>
      <x:c r="E18" s="144" t="str">
        <x:v>M1</x:v>
      </x:c>
      <x:c r="F18" s="144" t="str">
        <x:v>MPU寄存器golden</x:v>
      </x:c>
      <x:c r="G18" s="144" t="str">
        <x:v>属性/压力/一致性</x:v>
      </x:c>
      <x:c r="H18" s="144" t="str">
        <x:v>ti_dpl_config.c:156-183</x:v>
      </x:c>
    </x:row>
    <x:row r="19" ht="72" customHeight="1">
      <x:c r="A19" s="144" t="str">
        <x:v>RF/ADC</x:v>
      </x:c>
      <x:c r="B19" s="144" t="str">
        <x:v>候选RF/ADC</x:v>
      </x:c>
      <x:c r="C19" s="144" t="str">
        <x:v>4Tx/4Rx/16虚拟；real16；512 samples；384 loops；range bins256；AoA最大350</x:v>
      </x:c>
      <x:c r="D19" s="144" t="str">
        <x:v>只作为候选，最终由M0真实抓测冻结。</x:v>
      </x:c>
      <x:c r="E19" s="144" t="str">
        <x:v>M0/M1</x:v>
      </x:c>
      <x:c r="F19" s="144" t="str">
        <x:v>RF/ADC参数表</x:v>
      </x:c>
      <x:c r="G19" s="144" t="str">
        <x:v>频谱/采集数据一致</x:v>
      </x:c>
      <x:c r="H19" s="144" t="str">
        <x:v>sys_conf.h:96-97,211-221,303-304,550</x:v>
      </x:c>
    </x:row>
    <x:row r="20" ht="72" customHeight="1">
      <x:c r="A20" s="144" t="str">
        <x:v>ADC</x:v>
      </x:c>
      <x:c r="B20" s="144" t="str">
        <x:v>ADCBuf</x:v>
      </x:c>
      <x:c r="C20" s="144" t="str">
        <x:v>ping/pong threshold1、非continuous、RX offset</x:v>
      </x:c>
      <x:c r="D20" s="144" t="str">
        <x:v>与M4 DMA契约联合冻结。</x:v>
      </x:c>
      <x:c r="E20" s="144" t="str">
        <x:v>M1</x:v>
      </x:c>
      <x:c r="F20" s="144" t="str">
        <x:v>ADCBuf配置</x:v>
      </x:c>
      <x:c r="G20" s="144" t="str">
        <x:v>overrun/offset/连续帧</x:v>
      </x:c>
      <x:c r="H20" s="144" t="str">
        <x:v>mmwdemo_adcconfig.c:71-215</x:v>
      </x:c>
    </x:row>
    <x:row r="21" ht="72" customHeight="1">
      <x:c r="A21" s="144" t="str">
        <x:v>DMA</x:v>
      </x:c>
      <x:c r="B21" s="144" t="str">
        <x:v>Cdd_Dma</x:v>
      </x:c>
      <x:c r="C21" s="144" t="str">
        <x:v>ch26/TCC9、ch27/TCC10（算法），另ch0；Xbar dummy</x:v>
      </x:c>
      <x:c r="D21" s="144" t="str">
        <x:v>建立全芯片DMA/PaRAM/TCC/region/Q ownership，避免M4/RSS冲突。</x:v>
      </x:c>
      <x:c r="E21" s="144" t="str">
        <x:v>M1</x:v>
      </x:c>
      <x:c r="F21" s="144" t="str">
        <x:v>资源矩阵</x:v>
      </x:c>
      <x:c r="G21" s="144" t="str">
        <x:v>自动冲突扫描/压力</x:v>
      </x:c>
      <x:c r="H21" s="144" t="str">
        <x:v>Cdd_Dma_PBCfg.c:60-247</x:v>
      </x:c>
    </x:row>
    <x:row r="22" ht="72" customHeight="1">
      <x:c r="A22" s="144" t="str">
        <x:v>算法</x:v>
      </x:c>
      <x:c r="B22" s="144" t="str">
        <x:v>R5任务链</x:v>
      </x:c>
      <x:c r="C22" s="144" t="str">
        <x:v>Trigger66：init→signal→perception→output→RteComMapping</x:v>
      </x:c>
      <x:c r="D22" s="144" t="str">
        <x:v>定义同帧trace、WCET/stack/memory。</x:v>
      </x:c>
      <x:c r="E22" s="144" t="str">
        <x:v>M1</x:v>
      </x:c>
      <x:c r="F22" s="144" t="str">
        <x:v>适配层与trace</x:v>
      </x:c>
      <x:c r="G22" s="144" t="str">
        <x:v>golden/WCET/异常输入</x:v>
      </x:c>
      <x:c r="H22" s="144" t="str">
        <x:v>OsTask_MMW.c:242-334</x:v>
      </x:c>
    </x:row>
    <x:row r="23" ht="72" customHeight="1">
      <x:c r="A23" s="144" t="str">
        <x:v>算法</x:v>
      </x:c>
      <x:c r="B23" s="144" t="str">
        <x:v>时间回调</x:v>
      </x:c>
      <x:c r="C23" s="144" t="str">
        <x:v>cb_time_get_us实际返回rbTime_GetLocalTime_ms</x:v>
      </x:c>
      <x:c r="D23" s="144" t="str">
        <x:v>明确单位并修正接口合同，不能照抄名称。</x:v>
      </x:c>
      <x:c r="E23" s="144" t="str">
        <x:v>M0/M1</x:v>
      </x:c>
      <x:c r="F23" s="144" t="str">
        <x:v>时间API规范</x:v>
      </x:c>
      <x:c r="G23" s="144" t="str">
        <x:v>单位/溢出/长稳</x:v>
      </x:c>
      <x:c r="H23" s="144" t="str">
        <x:v>signal_process.c:58-72</x:v>
      </x:c>
    </x:row>
    <x:row r="24" ht="72" customHeight="1">
      <x:c r="A24" s="144" t="str">
        <x:v>OS</x:v>
      </x:c>
      <x:c r="B24" s="144" t="str">
        <x:v>配置规模</x:v>
      </x:c>
      <x:c r="C24" s="144" t="str">
        <x:v>单核SC1；10 BCC2 tasks；14 Cat2+3 Cat1 ISR；CPU400MHz</x:v>
      </x:c>
      <x:c r="D24" s="144" t="str">
        <x:v>stack budget为空，必须测高水位。</x:v>
      </x:c>
      <x:c r="E24" s="144" t="str">
        <x:v>M1</x:v>
      </x:c>
      <x:c r="F24" s="144" t="str">
        <x:v>OS配置/资源预算</x:v>
      </x:c>
      <x:c r="G24" s="144" t="str">
        <x:v>周期/jitter/WCET/stack</x:v>
      </x:c>
      <x:c r="H24" s="144" t="str">
        <x:v>Configuration Summary.txt</x:v>
      </x:c>
    </x:row>
    <x:row r="25" ht="72" customHeight="1">
      <x:c r="A25" s="144" t="str">
        <x:v>OS</x:v>
      </x:c>
      <x:c r="B25" s="144" t="str">
        <x:v>调度</x:v>
      </x:c>
      <x:c r="C25" s="144" t="str">
        <x:v>10ms表：ASW10+BSW10每tick；ASW20偶数；ASW100 offset0</x:v>
      </x:c>
      <x:c r="D25" s="144" t="str">
        <x:v>解释1ms GPT基础tick与10ms RTE tick。</x:v>
      </x:c>
      <x:c r="E25" s="144" t="str">
        <x:v>M0/M1</x:v>
      </x:c>
      <x:c r="F25" s="144" t="str">
        <x:v>时序说明与trace</x:v>
      </x:c>
      <x:c r="G25" s="144" t="str">
        <x:v>节拍与丢激活</x:v>
      </x:c>
      <x:c r="H25" s="144" t="str">
        <x:v>Configuration Summary.txt:524-600；Rte_Const.h:45</x:v>
      </x:c>
    </x:row>
    <x:row r="26" ht="72" customHeight="1">
      <x:c r="A26" s="144" t="str">
        <x:v>OS</x:v>
      </x:c>
      <x:c r="B26" s="144" t="str">
        <x:v>发波任务</x:v>
      </x:c>
      <x:c r="C26" s="144" t="str">
        <x:v>TriggerWave prio70；1ms callback的ActivateTask被注释</x:v>
      </x:c>
      <x:c r="D26" s="144" t="str">
        <x:v>P0风险，必须实测实际激活源。</x:v>
      </x:c>
      <x:c r="E26" s="144" t="str">
        <x:v>M0/M1</x:v>
      </x:c>
      <x:c r="F26" s="144" t="str">
        <x:v>闭环修正/说明</x:v>
      </x:c>
      <x:c r="G26" s="144" t="str">
        <x:v>task trace+频谱</x:v>
      </x:c>
      <x:c r="H26" s="144" t="str">
        <x:v>OsTask_MMW.c:159-186</x:v>
      </x:c>
    </x:row>
    <x:row r="27" ht="72" customHeight="1">
      <x:c r="A27" s="144" t="str">
        <x:v>CAN</x:v>
      </x:c>
      <x:c r="B27" s="144" t="str">
        <x:v>控制器</x:v>
      </x:c>
      <x:c r="C27" s="144" t="str">
        <x:v>2路MCAN；默认500k/2M；亦配置1M/5M；auto wake开、auto retransmission关</x:v>
      </x:c>
      <x:c r="D27" s="144" t="str">
        <x:v>按OEM网络冻结默认/可选速率和恢复策略。</x:v>
      </x:c>
      <x:c r="E27" s="144" t="str">
        <x:v>M1/M2</x:v>
      </x:c>
      <x:c r="F27" s="144" t="str">
        <x:v>MCAL配置</x:v>
      </x:c>
      <x:c r="G27" s="144" t="str">
        <x:v>速率/Bus-Off/错误注入</x:v>
      </x:c>
      <x:c r="H27" s="144" t="str">
        <x:v>Can_PBcfg.c:69-223</x:v>
      </x:c>
    </x:row>
    <x:row r="28" ht="72" customHeight="1">
      <x:c r="A28" s="144" t="str">
        <x:v>CanIf</x:v>
      </x:c>
      <x:c r="B28" s="144" t="str">
        <x:v>规模</x:v>
      </x:c>
      <x:c r="C28" s="144" t="str">
        <x:v>38 Tx、70 Rx、65 HOH、2 controllers、0 transceiver；DLC check开</x:v>
      </x:c>
      <x:c r="D28" s="144" t="str">
        <x:v>必须从授权DBC/ARXML重建并自动diff。</x:v>
      </x:c>
      <x:c r="E28" s="144" t="str">
        <x:v>M2</x:v>
      </x:c>
      <x:c r="F28" s="144" t="str">
        <x:v>PDU矩阵/配置</x:v>
      </x:c>
      <x:c r="G28" s="144" t="str">
        <x:v>全量restbus</x:v>
      </x:c>
      <x:c r="H28" s="144" t="str">
        <x:v>CanIf_Cfg.h:113,176,252,258,342,408</x:v>
      </x:c>
    </x:row>
    <x:row r="29" ht="72" customHeight="1">
      <x:c r="A29" s="144" t="str">
        <x:v>Com</x:v>
      </x:c>
      <x:c r="B29" s="144" t="str">
        <x:v>规模</x:v>
      </x:c>
      <x:c r="C29" s="144" t="str">
        <x:v>687 Rx signal、770 Tx signal、0 signal group；34 Tx/64 Rx I-PDU</x:v>
      </x:c>
      <x:c r="D29" s="144" t="str">
        <x:v>0 signal group与E2E Profile01冲突；需重建group。</x:v>
      </x:c>
      <x:c r="E29" s="144" t="str">
        <x:v>M2</x:v>
      </x:c>
      <x:c r="F29" s="144" t="str">
        <x:v>signal矩阵/Com配置</x:v>
      </x:c>
      <x:c r="G29" s="144" t="str">
        <x:v>bit/端序/timeout/E2E</x:v>
      </x:c>
      <x:c r="H29" s="144" t="str">
        <x:v>Com_PBcfg_Variant.h:41-67</x:v>
      </x:c>
    </x:row>
    <x:row r="30" ht="72" customHeight="1">
      <x:c r="A30" s="144" t="str">
        <x:v>NM</x:v>
      </x:c>
      <x:c r="B30" s="144" t="str">
        <x:v>CanNm</x:v>
      </x:c>
      <x:c r="C30" s="144" t="str">
        <x:v>1 channel；500ms、20ms×25、Repeat1.6s、timeout2s、WaitSleep2s、NodeID0x4C</x:v>
      </x:c>
      <x:c r="D30" s="144" t="str">
        <x:v>作为当前行为基线，最终由OEM规范批准。</x:v>
      </x:c>
      <x:c r="E30" s="144" t="str">
        <x:v>M2</x:v>
      </x:c>
      <x:c r="F30" s="144" t="str">
        <x:v>NM状态机/配置</x:v>
      </x:c>
      <x:c r="G30" s="144" t="str">
        <x:v>计时/休眠/唤醒</x:v>
      </x:c>
      <x:c r="H30" s="144" t="str">
        <x:v>CanNm_PBcfg.c:40-95</x:v>
      </x:c>
    </x:row>
    <x:row r="31" ht="72" customHeight="1">
      <x:c r="A31" s="144" t="str">
        <x:v>CanSM/ComM</x:v>
      </x:c>
      <x:c r="B31" s="144" t="str">
        <x:v>网络</x:v>
      </x:c>
      <x:c r="C31" s="144" t="str">
        <x:v>2网络COM/XCP；COM FULL NM、XCP NONE；BOR L1/L2</x:v>
      </x:c>
      <x:c r="D31" s="144" t="str">
        <x:v>全功能阶段验证Bus-Off与诊断/XCP保持通信。</x:v>
      </x:c>
      <x:c r="E31" s="144" t="str">
        <x:v>M2</x:v>
      </x:c>
      <x:c r="F31" s="144" t="str">
        <x:v>配置与状态机</x:v>
      </x:c>
      <x:c r="G31" s="144" t="str">
        <x:v>L1/L2恢复/NoCom</x:v>
      </x:c>
      <x:c r="H31" s="144" t="str">
        <x:v>ComM_PBcfg.c:62-155；CanSM配置</x:v>
      </x:c>
    </x:row>
    <x:row r="32" ht="72" customHeight="1">
      <x:c r="A32" s="144" t="str">
        <x:v>TimeSync</x:v>
      </x:c>
      <x:c r="B32" s="144" t="str">
        <x:v>CanTSyn</x:v>
      </x:c>
      <x:c r="C32" s="144" t="str">
        <x:v>1 master、2 slave；master 0x6FC；CRC开</x:v>
      </x:c>
      <x:c r="D32" s="144" t="str">
        <x:v>M1最小发波同步，M2完整错误/恢复。</x:v>
      </x:c>
      <x:c r="E32" s="144" t="str">
        <x:v>M1/M2</x:v>
      </x:c>
      <x:c r="F32" s="144" t="str">
        <x:v>timebase矩阵</x:v>
      </x:c>
      <x:c r="G32" s="144" t="str">
        <x:v>失步/跳变/CRC</x:v>
      </x:c>
      <x:c r="H32" s="144" t="str">
        <x:v>CanTSyn_PBcfg.c:82-138</x:v>
      </x:c>
    </x:row>
    <x:row r="33" ht="72" customHeight="1">
      <x:c r="A33" s="144" t="str">
        <x:v>TimeSync</x:v>
      </x:c>
      <x:c r="B33" s="144" t="str">
        <x:v>StbM</x:v>
      </x:c>
      <x:c r="C33" s="144" t="str">
        <x:v>3 timebase、2 recording、0 NvM、1 sync master；OS counter reference</x:v>
      </x:c>
      <x:c r="D33" s="144" t="str">
        <x:v>明确断电/重启/失同步行为。</x:v>
      </x:c>
      <x:c r="E33" s="144" t="str">
        <x:v>M1/M2</x:v>
      </x:c>
      <x:c r="F33" s="144" t="str">
        <x:v>StbM配置</x:v>
      </x:c>
      <x:c r="G33" s="144" t="str">
        <x:v>误差/状态/恢复</x:v>
      </x:c>
      <x:c r="H33" s="144" t="str">
        <x:v>StbM_Cfg.h:39-54,142-186</x:v>
      </x:c>
    </x:row>
    <x:row r="34" ht="72" customHeight="1">
      <x:c r="A34" s="144" t="str">
        <x:v>NvM</x:v>
      </x:c>
      <x:c r="B34" s="144" t="str">
        <x:v>规模/属性</x:v>
      </x:c>
      <x:c r="C34" s="144" t="str">
        <x:v>ID0..104；业务103；NoCrc、priority1；仅ID15 redundant；其余native</x:v>
      </x:c>
      <x:c r="D34" s="144" t="str">
        <x:v>详见05页；物理地址由Fee动态管理。</x:v>
      </x:c>
      <x:c r="E34" s="144" t="str">
        <x:v>M2</x:v>
      </x:c>
      <x:c r="F34" s="144" t="str">
        <x:v>完整block dictionary</x:v>
      </x:c>
      <x:c r="G34" s="144" t="str">
        <x:v>105项diff/掉电</x:v>
      </x:c>
      <x:c r="H34" s="144" t="str">
        <x:v>NvM_Cfg.c:1303-4877</x:v>
      </x:c>
    </x:row>
    <x:row r="35" ht="72" customHeight="1">
      <x:c r="A35" s="144" t="str">
        <x:v>Fee</x:v>
      </x:c>
      <x:c r="B35" s="144" t="str">
        <x:v>Bank</x:v>
      </x:c>
      <x:c r="C35" s="144" t="str">
        <x:v>2×256KiB：0x00350000–0x0038FFFF、0x00390000–0x003CFFFF</x:v>
      </x:c>
      <x:c r="D35" s="144" t="str">
        <x:v>persistent ID为逻辑ID，不等于物理地址。</x:v>
      </x:c>
      <x:c r="E35" s="144" t="str">
        <x:v>M2</x:v>
      </x:c>
      <x:c r="F35" s="144" t="str">
        <x:v>Fee布局/寿命</x:v>
      </x:c>
      <x:c r="G35" s="144" t="str">
        <x:v>reorg/断电/冗余</x:v>
      </x:c>
      <x:c r="H35" s="144" t="str">
        <x:v>rba_FeeFs1x_Prv_Cfg.h:68,77-86</x:v>
      </x:c>
    </x:row>
    <x:row r="36" ht="72" customHeight="1">
      <x:c r="A36" s="144" t="str">
        <x:v>Dcm</x:v>
      </x:c>
      <x:c r="B36" s="144" t="str">
        <x:v>规模</x:v>
      </x:c>
      <x:c r="C36" s="144" t="str">
        <x:v>11服务、5 session、3 security、5 routine、48 DID</x:v>
      </x:c>
      <x:c r="D36" s="144" t="str">
        <x:v>详见06页；正式需求仍需关闭QA。</x:v>
      </x:c>
      <x:c r="E36" s="144" t="str">
        <x:v>M2</x:v>
      </x:c>
      <x:c r="F36" s="144" t="str">
        <x:v>矩阵/配置/脚本</x:v>
      </x:c>
      <x:c r="G36" s="144" t="str">
        <x:v>全正负向</x:v>
      </x:c>
      <x:c r="H36" s="144" t="str">
        <x:v>Dcm_Lcfg_Dsd.c；Dcm_Lcfg_DspUds.c</x:v>
      </x:c>
    </x:row>
    <x:row r="37" ht="72" customHeight="1">
      <x:c r="A37" s="144" t="str">
        <x:v>Dem</x:v>
      </x:c>
      <x:c r="B37" s="144" t="str">
        <x:v>规模</x:v>
      </x:c>
      <x:c r="C37" s="144" t="str">
        <x:v>217 Event、59 DTC、主存储40、42 NvM block</x:v>
      </x:c>
      <x:c r="D37" s="144" t="str">
        <x:v>交Event级矩阵而非只交DTC。</x:v>
      </x:c>
      <x:c r="E37" s="144" t="str">
        <x:v>M2</x:v>
      </x:c>
      <x:c r="F37" s="144" t="str">
        <x:v>Event/DTC/NvM映射</x:v>
      </x:c>
      <x:c r="G37" s="144" t="str">
        <x:v>注入/满载/掉电</x:v>
      </x:c>
      <x:c r="H37" s="144" t="str">
        <x:v>Dem_Cfg_*</x:v>
      </x:c>
    </x:row>
    <x:row r="38" ht="72" customHeight="1">
      <x:c r="A38" s="144" t="str">
        <x:v>Wdg</x:v>
      </x:c>
      <x:c r="B38" s="144" t="str">
        <x:v>当前有效性</x:v>
      </x:c>
      <x:c r="C38" s="144" t="str">
        <x:v>WdgM配置存在但ASW checkpoints/Wdg driver为空；另有LP87745 FuSa watchdog链</x:v>
      </x:c>
      <x:c r="D38" s="144" t="str">
        <x:v>必须架构决策，不能宣称WdgM已生效。</x:v>
      </x:c>
      <x:c r="E38" s="144" t="str">
        <x:v>M1/M2</x:v>
      </x:c>
      <x:c r="F38" s="144" t="str">
        <x:v>监控矩阵/故障测试</x:v>
      </x:c>
      <x:c r="G38" s="144" t="str">
        <x:v>实际复位时间/原因</x:v>
      </x:c>
      <x:c r="H38" s="144" t="str">
        <x:v>ASW_WDG.c；FUSA_WDGDrv.c</x:v>
      </x:c>
    </x:row>
    <x:row r="39" ht="72" customHeight="1">
      <x:c r="A39" s="144" t="str">
        <x:v>XCP</x:v>
      </x:c>
      <x:c r="B39" s="144" t="str">
        <x:v>配置/风险</x:v>
      </x:c>
      <x:c r="C39" s="144" t="str">
        <x:v>Tx 0x778/Rx0x332、64B、10ms event；seed/key样例；内存保护关</x:v>
      </x:c>
      <x:c r="D39" s="144" t="str">
        <x:v>量产件必须关闭或白名单+批准算法。</x:v>
      </x:c>
      <x:c r="E39" s="144" t="str">
        <x:v>M2/M3</x:v>
      </x:c>
      <x:c r="F39" s="144" t="str">
        <x:v>A2L/权限/安全测试</x:v>
      </x:c>
      <x:c r="G39" s="144" t="str">
        <x:v>非法地址/生命周期</x:v>
      </x:c>
      <x:c r="H39" s="144" t="str">
        <x:v>Xcp_Cfg.h；Xcp_SeedAndKey.c</x:v>
      </x:c>
    </x:row>
    <x:row r="40" ht="72" customHeight="1">
      <x:c r="A40" s="144" t="str">
        <x:v>Boot/Security</x:v>
      </x:c>
      <x:c r="B40" s="144" t="str">
        <x:v>布局/签名</x:v>
      </x:c>
      <x:c r="C40" s="144" t="str">
        <x:v>App 0x090000–0x28FFFF；HSM 0x2D0000–0x30FFFF；CUDA/CLDA 0x320000/0x330000；efused依赖KMS</x:v>
      </x:c>
      <x:c r="D40" s="144" t="str">
        <x:v>签名职责/manifest/失败/审计必须合同化；anti-rollback TBD。</x:v>
      </x:c>
      <x:c r="E40" s="144" t="str">
        <x:v>BT/M3</x:v>
      </x:c>
      <x:c r="F40" s="144" t="str">
        <x:v>容器/签名接口</x:v>
      </x:c>
      <x:c r="G40" s="144" t="str">
        <x:v>篡改/掉电/生命周期</x:v>
      </x:c>
      <x:c r="H40" s="144" t="str">
        <x:v>ContainerGen.py:38-66；BlockProcessor.py:548-629</x:v>
      </x:c>
    </x:row>
    <x:row r="41" ht="72" customHeight="1">
      <x:c r="A41" s="144" t="str">
        <x:v>CI</x:v>
      </x:c>
      <x:c r="B41" s="144" t="str">
        <x:v>覆盖</x:v>
      </x:c>
      <x:c r="C41" s="144" t="str">
        <x:v>主UT列表8模块，客户列表22模块；无明确覆盖率门禁</x:v>
      </x:c>
      <x:c r="D41" s="144" t="str">
        <x:v>扩展并设硬阈值；禁止空归档。</x:v>
      </x:c>
      <x:c r="E41" s="144" t="str">
        <x:v>M2/M3</x:v>
      </x:c>
      <x:c r="F41" s="144" t="str">
        <x:v>UT/coverage/CI gate</x:v>
      </x:c>
      <x:c r="G41" s="144" t="str">
        <x:v>低阈值失败</x:v>
      </x:c>
      <x:c r="H41" s="144" t="str">
        <x:v>unittest_list.json；module_lists_coem.json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97122e3d7b44b96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48" hidden="0" customWidth="1"/>
    <x:col min="5" max="5" width="42" hidden="0" customWidth="1"/>
    <x:col min="6" max="6" width="36" hidden="0" customWidth="1"/>
    <x:col min="7" max="7" width="20" hidden="0" customWidth="1"/>
    <x:col min="8" max="8" width="46" hidden="0" customWidth="1"/>
    <x:col min="9" max="9" width="42" hidden="0" customWidth="1"/>
    <x:col min="10" max="10" width="14" hidden="0" customWidth="1"/>
  </x:cols>
  <x:sheetData>
    <x:row r="1" ht="30" customHeight="1">
      <x:c r="A1" s="133" t="str">
        <x:v>必须关闭的待确认问题与风险</x:v>
      </x:c>
      <x:c r="B1" s="133" t="str">
        <x:v>必须关闭的待确认问题与风险</x:v>
      </x:c>
      <x:c r="C1" s="133" t="str">
        <x:v>必须关闭的待确认问题与风险</x:v>
      </x:c>
      <x:c r="D1" s="133" t="str">
        <x:v>必须关闭的待确认问题与风险</x:v>
      </x:c>
      <x:c r="E1" s="133" t="str">
        <x:v>必须关闭的待确认问题与风险</x:v>
      </x:c>
      <x:c r="F1" s="133" t="str">
        <x:v>必须关闭的待确认问题与风险</x:v>
      </x:c>
      <x:c r="G1" s="133" t="str">
        <x:v>必须关闭的待确认问题与风险</x:v>
      </x:c>
      <x:c r="H1" s="133" t="str">
        <x:v>必须关闭的待确认问题与风险</x:v>
      </x:c>
      <x:c r="I1" s="133" t="str">
        <x:v>必须关闭的待确认问题与风险</x:v>
      </x:c>
      <x:c r="J1" s="133" t="str">
        <x:v>必须关闭的待确认问题与风险</x:v>
      </x:c>
    </x:row>
    <x:row r="2" ht="36" customHeight="1">
      <x:c r="A2" s="136" t="str">
        <x:v>P0问题是Gate阻塞项；未经书面关闭，不应将相关功能视为需求已冻结或里程碑已完成。</x:v>
      </x:c>
      <x:c r="B2" s="136" t="str">
        <x:v>P0问题是Gate阻塞项；未经书面关闭，不应将相关功能视为需求已冻结或里程碑已完成。</x:v>
      </x:c>
      <x:c r="C2" s="136" t="str">
        <x:v>P0问题是Gate阻塞项；未经书面关闭，不应将相关功能视为需求已冻结或里程碑已完成。</x:v>
      </x:c>
      <x:c r="D2" s="136" t="str">
        <x:v>P0问题是Gate阻塞项；未经书面关闭，不应将相关功能视为需求已冻结或里程碑已完成。</x:v>
      </x:c>
      <x:c r="E2" s="136" t="str">
        <x:v>P0问题是Gate阻塞项；未经书面关闭，不应将相关功能视为需求已冻结或里程碑已完成。</x:v>
      </x:c>
      <x:c r="F2" s="136" t="str">
        <x:v>P0问题是Gate阻塞项；未经书面关闭，不应将相关功能视为需求已冻结或里程碑已完成。</x:v>
      </x:c>
      <x:c r="G2" s="136" t="str">
        <x:v>P0问题是Gate阻塞项；未经书面关闭，不应将相关功能视为需求已冻结或里程碑已完成。</x:v>
      </x:c>
      <x:c r="H2" s="136" t="str">
        <x:v>P0问题是Gate阻塞项；未经书面关闭，不应将相关功能视为需求已冻结或里程碑已完成。</x:v>
      </x:c>
      <x:c r="I2" s="136" t="str">
        <x:v>P0问题是Gate阻塞项；未经书面关闭，不应将相关功能视为需求已冻结或里程碑已完成。</x:v>
      </x:c>
      <x:c r="J2" s="136" t="str">
        <x:v>P0问题是Gate阻塞项；未经书面关闭，不应将相关功能视为需求已冻结或里程碑已完成。</x:v>
      </x:c>
    </x:row>
    <x:row r="5" ht="34" customHeight="1">
      <x:c r="A5" s="150" t="str">
        <x:v>风险ID</x:v>
      </x:c>
      <x:c r="B5" s="151" t="str">
        <x:v>级别</x:v>
      </x:c>
      <x:c r="C5" s="151" t="str">
        <x:v>Gate</x:v>
      </x:c>
      <x:c r="D5" s="151" t="str">
        <x:v>问题/矛盾</x:v>
      </x:c>
      <x:c r="E5" s="151" t="str">
        <x:v>工程证据</x:v>
      </x:c>
      <x:c r="F5" s="151" t="str">
        <x:v>影响</x:v>
      </x:c>
      <x:c r="G5" s="151" t="str">
        <x:v>责任建议</x:v>
      </x:c>
      <x:c r="H5" s="151" t="str">
        <x:v>关闭输入/动作</x:v>
      </x:c>
      <x:c r="I5" s="151" t="str">
        <x:v>关闭判据</x:v>
      </x:c>
      <x:c r="J5" s="152" t="str">
        <x:v>状态</x:v>
      </x:c>
    </x:row>
    <x:row r="6" ht="72" customHeight="1">
      <x:c r="A6" s="144" t="str">
        <x:v>R-001</x:v>
      </x:c>
      <x:c r="B6" s="144" t="str">
        <x:v>P0</x:v>
      </x:c>
      <x:c r="C6" s="144" t="str">
        <x:v>M0</x:v>
      </x:c>
      <x:c r="D6" s="144" t="str">
        <x:v>构建为DEVELOP而非可证明的SERIES量产基线。</x:v>
      </x:c>
      <x:c r="E6" s="144" t="str">
        <x:v>build.bat:61</x:v>
      </x:c>
      <x:c r="F6" s="144" t="str">
        <x:v>参考行为/工具/安全宏可能不同。</x:v>
      </x:c>
      <x:c r="G6" s="144" t="str">
        <x:v>我方</x:v>
      </x:c>
      <x:c r="H6" s="144" t="str">
        <x:v>提供正式release manifest与ECU/二进制hash。</x:v>
      </x:c>
      <x:c r="I6" s="144" t="str">
        <x:v>样件、制品、manifest、黑盒行为一致。</x:v>
      </x:c>
      <x:c r="J6" s="144" t="str">
        <x:v>待确认</x:v>
      </x:c>
    </x:row>
    <x:row r="7" ht="72" customHeight="1">
      <x:c r="A7" s="144" t="str">
        <x:v>R-002</x:v>
      </x:c>
      <x:c r="B7" s="144" t="str">
        <x:v>P0</x:v>
      </x:c>
      <x:c r="C7" s="144" t="str">
        <x:v>M0</x:v>
      </x:c>
      <x:c r="D7" s="144" t="str">
        <x:v>RF配置同时出现CONTINUOUS和advanced-frame/start路径。</x:v>
      </x:c>
      <x:c r="E7" s="144" t="str">
        <x:v>mmw_cli.c:146；mmwave_link_common.c:11667-11672</x:v>
      </x:c>
      <x:c r="F7" s="144" t="str">
        <x:v>可能错误发波或源码快照非量产真值。</x:v>
      </x:c>
      <x:c r="G7" s="144" t="str">
        <x:v>我方RF/验证组</x:v>
      </x:c>
      <x:c r="H7" s="144" t="str">
        <x:v>真实ECU抓测并签署唯一RF表。</x:v>
      </x:c>
      <x:c r="I7" s="144" t="str">
        <x:v>模式与实测一致。</x:v>
      </x:c>
      <x:c r="J7" s="144" t="str">
        <x:v>待确认</x:v>
      </x:c>
    </x:row>
    <x:row r="8" ht="72" customHeight="1">
      <x:c r="A8" s="144" t="str">
        <x:v>R-003</x:v>
      </x:c>
      <x:c r="B8" s="144" t="str">
        <x:v>P0</x:v>
      </x:c>
      <x:c r="C8" s="144" t="str">
        <x:v>M0/M1</x:v>
      </x:c>
      <x:c r="D8" s="144" t="str">
        <x:v>TriggerWave的1ms ActivateTask被注释。</x:v>
      </x:c>
      <x:c r="E8" s="144" t="str">
        <x:v>OsTask_MMW.c:159-186</x:v>
      </x:c>
      <x:c r="F8" s="144" t="str">
        <x:v>分时发波可能未运行或激活源未知。</x:v>
      </x:c>
      <x:c r="G8" s="144" t="str">
        <x:v>东软/我方</x:v>
      </x:c>
      <x:c r="H8" s="144" t="str">
        <x:v>运行trace+调用链确认并修正。</x:v>
      </x:c>
      <x:c r="I8" s="144" t="str">
        <x:v>任务按冻结时序稳定激活。</x:v>
      </x:c>
      <x:c r="J8" s="144" t="str">
        <x:v>待确认</x:v>
      </x:c>
    </x:row>
    <x:row r="9" ht="72" customHeight="1">
      <x:c r="A9" s="144" t="str">
        <x:v>R-004</x:v>
      </x:c>
      <x:c r="B9" s="144" t="str">
        <x:v>P0</x:v>
      </x:c>
      <x:c r="C9" s="144" t="str">
        <x:v>M0/M1</x:v>
      </x:c>
      <x:c r="D9" s="144" t="str">
        <x:v>RF parser调用被注释但后续读取RFparserOutParams。</x:v>
      </x:c>
      <x:c r="E9" s="144" t="str">
        <x:v>mmw_main.c:1457-1477,1556-1563</x:v>
      </x:c>
      <x:c r="F9" s="144" t="str">
        <x:v>未初始化数据/配置错误风险。</x:v>
      </x:c>
      <x:c r="G9" s="144" t="str">
        <x:v>东软/我方RF</x:v>
      </x:c>
      <x:c r="H9" s="144" t="str">
        <x:v>确认量产分支并消除未初始化路径。</x:v>
      </x:c>
      <x:c r="I9" s="144" t="str">
        <x:v>静态/动态证据均通过。</x:v>
      </x:c>
      <x:c r="J9" s="144" t="str">
        <x:v>待确认</x:v>
      </x:c>
    </x:row>
    <x:row r="10" ht="72" customHeight="1">
      <x:c r="A10" s="144" t="str">
        <x:v>R-005</x:v>
      </x:c>
      <x:c r="B10" s="144" t="str">
        <x:v>P0</x:v>
      </x:c>
      <x:c r="C10" s="144" t="str">
        <x:v>M0</x:v>
      </x:c>
      <x:c r="D10" s="144" t="str">
        <x:v>RF配置2个subframe但datapath固定遍历4个。</x:v>
      </x:c>
      <x:c r="E10" s="144" t="str">
        <x:v>mmw_cli.c:171-177；mmw_main.c:1437-1451</x:v>
      </x:c>
      <x:c r="F10" s="144" t="str">
        <x:v>内存/配置越界或非量产代码。</x:v>
      </x:c>
      <x:c r="G10" s="144" t="str">
        <x:v>我方RF</x:v>
      </x:c>
      <x:c r="H10" s="144" t="str">
        <x:v>冻结subframe与循环边界。</x:v>
      </x:c>
      <x:c r="I10" s="144" t="str">
        <x:v>代码/配置/实测一致。</x:v>
      </x:c>
      <x:c r="J10" s="144" t="str">
        <x:v>待确认</x:v>
      </x:c>
    </x:row>
    <x:row r="11" ht="72" customHeight="1">
      <x:c r="A11" s="144" t="str">
        <x:v>R-006</x:v>
      </x:c>
      <x:c r="B11" s="144" t="str">
        <x:v>P0</x:v>
      </x:c>
      <x:c r="C11" s="144" t="str">
        <x:v>M0</x:v>
      </x:c>
      <x:c r="D11" s="144" t="str">
        <x:v>profile idle等参数在sys_conf.h与rf_config.c不一致。</x:v>
      </x:c>
      <x:c r="E11" s="144" t="str">
        <x:v>sys_conf.h:144-153；rf_config.c:12-52</x:v>
      </x:c>
      <x:c r="F11" s="144" t="str">
        <x:v>无法从源码确定量产RF参数。</x:v>
      </x:c>
      <x:c r="G11" s="144" t="str">
        <x:v>我方RF</x:v>
      </x:c>
      <x:c r="H11" s="144" t="str">
        <x:v>真实下发抓测与参数签署。</x:v>
      </x:c>
      <x:c r="I11" s="144" t="str">
        <x:v>唯一值表关闭。</x:v>
      </x:c>
      <x:c r="J11" s="144" t="str">
        <x:v>待确认</x:v>
      </x:c>
    </x:row>
    <x:row r="12" ht="72" customHeight="1">
      <x:c r="A12" s="144" t="str">
        <x:v>R-007</x:v>
      </x:c>
      <x:c r="B12" s="144" t="str">
        <x:v>P0</x:v>
      </x:c>
      <x:c r="C12" s="144" t="str">
        <x:v>M1</x:v>
      </x:c>
      <x:c r="D12" s="144" t="str">
        <x:v>M4同步和DPM ACK存在无界busy-wait。</x:v>
      </x:c>
      <x:c r="E12" s="144" t="str">
        <x:v>mmw_main.c:1194-1196,2787-2807</x:v>
      </x:c>
      <x:c r="F12" s="144" t="str">
        <x:v>对端异常可永久卡死。</x:v>
      </x:c>
      <x:c r="G12" s="144" t="str">
        <x:v>东软</x:v>
      </x:c>
      <x:c r="H12" s="144" t="str">
        <x:v>增加timeout/DEM/恢复/降级。</x:v>
      </x:c>
      <x:c r="I12" s="144" t="str">
        <x:v>故障注入无死锁。</x:v>
      </x:c>
      <x:c r="J12" s="144" t="str">
        <x:v>未开始</x:v>
      </x:c>
    </x:row>
    <x:row r="13" ht="72" customHeight="1">
      <x:c r="A13" s="144" t="str">
        <x:v>R-008</x:v>
      </x:c>
      <x:c r="B13" s="144" t="str">
        <x:v>P0</x:v>
      </x:c>
      <x:c r="C13" s="144" t="str">
        <x:v>M0</x:v>
      </x:c>
      <x:c r="D13" s="144" t="str">
        <x:v>build调用genMCAL/postGenMCAL但工程内缺失。</x:v>
      </x:c>
      <x:c r="E13" s="144" t="str">
        <x:v>buildscripts/build.bat:31-49</x:v>
      </x:c>
      <x:c r="F13" s="144" t="str">
        <x:v>无法clean generate/rebuild。</x:v>
      </x:c>
      <x:c r="G13" s="144" t="str">
        <x:v>东软/工具方</x:v>
      </x:c>
      <x:c r="H13" s="144" t="str">
        <x:v>补齐合法脚本或替换流程。</x:v>
      </x:c>
      <x:c r="I13" s="144" t="str">
        <x:v>空环境一键成功且fail-fast。</x:v>
      </x:c>
      <x:c r="J13" s="144" t="str">
        <x:v>待确认</x:v>
      </x:c>
    </x:row>
    <x:row r="14" ht="72" customHeight="1">
      <x:c r="A14" s="144" t="str">
        <x:v>R-009</x:v>
      </x:c>
      <x:c r="B14" s="144" t="str">
        <x:v>P0</x:v>
      </x:c>
      <x:c r="C14" s="144" t="str">
        <x:v>M0</x:v>
      </x:c>
      <x:c r="D14" s="144" t="str">
        <x:v>生成脚本硬编码个人盘符/安装路径。</x:v>
      </x:c>
      <x:c r="E14" s="144" t="str">
        <x:v>ConfigGen.bat；genBsw.bat</x:v>
      </x:c>
      <x:c r="F14" s="144" t="str">
        <x:v>不可复现、环境依赖。</x:v>
      </x:c>
      <x:c r="G14" s="144" t="str">
        <x:v>东软</x:v>
      </x:c>
      <x:c r="H14" s="144" t="str">
        <x:v>参数化并版本锁定。</x:v>
      </x:c>
      <x:c r="I14" s="144" t="str">
        <x:v>无个人路径命中。</x:v>
      </x:c>
      <x:c r="J14" s="144" t="str">
        <x:v>未开始</x:v>
      </x:c>
    </x:row>
    <x:row r="15" ht="72" customHeight="1">
      <x:c r="A15" s="144" t="str">
        <x:v>R-010</x:v>
      </x:c>
      <x:c r="B15" s="144" t="str">
        <x:v>P0</x:v>
      </x:c>
      <x:c r="C15" s="144" t="str">
        <x:v>M0</x:v>
      </x:c>
      <x:c r="D15" s="144" t="str">
        <x:v>RTA-CAR 12.3.2与RTA-RTE 12.4.0混用，RteErr含旧BAIC路径。</x:v>
      </x:c>
      <x:c r="E15" s="144" t="str">
        <x:v>Com_Cfg.h:19；Rte.c:7-8；RteErr.xml</x:v>
      </x:c>
      <x:c r="F15" s="144" t="str">
        <x:v>生成物来源/一致性不可信。</x:v>
      </x:c>
      <x:c r="G15" s="144" t="str">
        <x:v>东软</x:v>
      </x:c>
      <x:c r="H15" s="144" t="str">
        <x:v>干净重生成并关闭告警。</x:v>
      </x:c>
      <x:c r="I15" s="144" t="str">
        <x:v>无旧路径、版本矩阵批准。</x:v>
      </x:c>
      <x:c r="J15" s="144" t="str">
        <x:v>待确认</x:v>
      </x:c>
    </x:row>
    <x:row r="16" ht="72" customHeight="1">
      <x:c r="A16" s="144" t="str">
        <x:v>R-011</x:v>
      </x:c>
      <x:c r="B16" s="144" t="str">
        <x:v>P0</x:v>
      </x:c>
      <x:c r="C16" s="144" t="str">
        <x:v>M0/M2</x:v>
      </x:c>
      <x:c r="D16" s="144" t="str">
        <x:v>附件无ASW ARXML却要求生成RTE/MapCom。</x:v>
      </x:c>
      <x:c r="E16" s="144" t="str">
        <x:v>QA7；gen_rte现状</x:v>
      </x:c>
      <x:c r="F16" s="144" t="str">
        <x:v>无法自动生成完整RTE/ComXf/E2E mapping。</x:v>
      </x:c>
      <x:c r="G16" s="144" t="str">
        <x:v>双方</x:v>
      </x:c>
      <x:c r="H16" s="144" t="str">
        <x:v>选择：提供ARXML；或冻结手工ICD/Stub责任。</x:v>
      </x:c>
      <x:c r="I16" s="144" t="str">
        <x:v>接口逐项签署并可测试。</x:v>
      </x:c>
      <x:c r="J16" s="144" t="str">
        <x:v>待确认</x:v>
      </x:c>
    </x:row>
    <x:row r="17" ht="72" customHeight="1">
      <x:c r="A17" s="144" t="str">
        <x:v>R-012</x:v>
      </x:c>
      <x:c r="B17" s="144" t="str">
        <x:v>P0</x:v>
      </x:c>
      <x:c r="C17" s="144" t="str">
        <x:v>M1</x:v>
      </x:c>
      <x:c r="D17" s="144" t="str">
        <x:v>CUDA/CLDA/rbBlock错误会阻止雷达启动，但原T1未列。</x:v>
      </x:c>
      <x:c r="E17" s="144" t="str">
        <x:v>Os_Cbk_Idle.c:87-93</x:v>
      </x:c>
      <x:c r="F17" s="144" t="str">
        <x:v>主链无法闭环。</x:v>
      </x:c>
      <x:c r="G17" s="144" t="str">
        <x:v>双方</x:v>
      </x:c>
      <x:c r="H17" s="144" t="str">
        <x:v>前移到M1，提供schema/样本/烧录/故障策略。</x:v>
      </x:c>
      <x:c r="I17" s="144" t="str">
        <x:v>合法/损坏用例通过。</x:v>
      </x:c>
      <x:c r="J17" s="144" t="str">
        <x:v>已纳入调整</x:v>
      </x:c>
    </x:row>
    <x:row r="18" ht="72" customHeight="1">
      <x:c r="A18" s="144" t="str">
        <x:v>R-013</x:v>
      </x:c>
      <x:c r="B18" s="144" t="str">
        <x:v>P0</x:v>
      </x:c>
      <x:c r="C18" s="144" t="str">
        <x:v>M2</x:v>
      </x:c>
      <x:c r="D18" s="144" t="str">
        <x:v>Fee源ARXML约98节点、最终生成表103业务块。</x:v>
      </x:c>
      <x:c r="E18" s="144" t="str">
        <x:v>Fee源/生成物统计</x:v>
      </x:c>
      <x:c r="F18" s="144" t="str">
        <x:v>配置来源与生成结果不一致。</x:v>
      </x:c>
      <x:c r="G18" s="144" t="str">
        <x:v>东软/工具方</x:v>
      </x:c>
      <x:c r="H18" s="144" t="str">
        <x:v>ARXML↔生成表自动diff。</x:v>
      </x:c>
      <x:c r="I18" s="144" t="str">
        <x:v>103/103映射且差异解释。</x:v>
      </x:c>
      <x:c r="J18" s="144" t="str">
        <x:v>待确认</x:v>
      </x:c>
    </x:row>
    <x:row r="19" ht="72" customHeight="1">
      <x:c r="A19" s="144" t="str">
        <x:v>R-014</x:v>
      </x:c>
      <x:c r="B19" s="144" t="str">
        <x:v>P1</x:v>
      </x:c>
      <x:c r="C19" s="144" t="str">
        <x:v>M1/M2</x:v>
      </x:c>
      <x:c r="D19" s="144" t="str">
        <x:v>Fls PB为4MiB sector，宏地址跨度1GiB。</x:v>
      </x:c>
      <x:c r="E19" s="144" t="str">
        <x:v>Fls_PBcfg.c；Fls_Cfg.h:149,155</x:v>
      </x:c>
      <x:c r="F19" s="144" t="str">
        <x:v>地址窗口/边界测试可能错误。</x:v>
      </x:c>
      <x:c r="G19" s="144" t="str">
        <x:v>MCAL供应商/东软</x:v>
      </x:c>
      <x:c r="H19" s="144" t="str">
        <x:v>说明驱动地址模型并台架验证。</x:v>
      </x:c>
      <x:c r="I19" s="144" t="str">
        <x:v>所有合法/非法地址行为明确。</x:v>
      </x:c>
      <x:c r="J19" s="144" t="str">
        <x:v>待确认</x:v>
      </x:c>
    </x:row>
    <x:row r="20" ht="72" customHeight="1">
      <x:c r="A20" s="144" t="str">
        <x:v>R-015</x:v>
      </x:c>
      <x:c r="B20" s="144" t="str">
        <x:v>P0</x:v>
      </x:c>
      <x:c r="C20" s="144" t="str">
        <x:v>M1</x:v>
      </x:c>
      <x:c r="D20" s="144" t="str">
        <x:v>IPC NumValidCore=2但列表含3 peer。</x:v>
      </x:c>
      <x:c r="E20" s="144" t="str">
        <x:v>Cdd_Ipc_PBCfg.c:65-84</x:v>
      </x:c>
      <x:c r="F20" s="144" t="str">
        <x:v>对端配置/索引可能错误。</x:v>
      </x:c>
      <x:c r="G20" s="144" t="str">
        <x:v>东软/MCAL供应商</x:v>
      </x:c>
      <x:c r="H20" s="144" t="str">
        <x:v>冻结实际RSS/M4/DSP peer和生成口径。</x:v>
      </x:c>
      <x:c r="I20" s="144" t="str">
        <x:v>双向消息/复位/timeout通过。</x:v>
      </x:c>
      <x:c r="J20" s="144" t="str">
        <x:v>待确认</x:v>
      </x:c>
    </x:row>
    <x:row r="21" ht="72" customHeight="1">
      <x:c r="A21" s="144" t="str">
        <x:v>R-016</x:v>
      </x:c>
      <x:c r="B21" s="144" t="str">
        <x:v>P0</x:v>
      </x:c>
      <x:c r="C21" s="144" t="str">
        <x:v>M1</x:v>
      </x:c>
      <x:c r="D21" s="144" t="str">
        <x:v>OS文档同时出现1ms GPT与10ms RTE tick口径。</x:v>
      </x:c>
      <x:c r="E21" s="144" t="str">
        <x:v>Os_Hooks.c；Os_Cfg.h；Rte_Const.h</x:v>
      </x:c>
      <x:c r="F21" s="144" t="str">
        <x:v>任务周期/超时计算可能错10倍。</x:v>
      </x:c>
      <x:c r="G21" s="144" t="str">
        <x:v>东软</x:v>
      </x:c>
      <x:c r="H21" s="144" t="str">
        <x:v>给出时钟链路与运行trace。</x:v>
      </x:c>
      <x:c r="I21" s="144" t="str">
        <x:v>所有周期/timeout实测一致。</x:v>
      </x:c>
      <x:c r="J21" s="144" t="str">
        <x:v>待确认</x:v>
      </x:c>
    </x:row>
    <x:row r="22" ht="72" customHeight="1">
      <x:c r="A22" s="144" t="str">
        <x:v>R-017</x:v>
      </x:c>
      <x:c r="B22" s="144" t="str">
        <x:v>P0</x:v>
      </x:c>
      <x:c r="C22" s="144" t="str">
        <x:v>M1/M2</x:v>
      </x:c>
      <x:c r="D22" s="144" t="str">
        <x:v>WdgM/checkpoint/driver为空，实际依赖独立PMIC链。</x:v>
      </x:c>
      <x:c r="E22" s="144" t="str">
        <x:v>ASW_WDG.c；Wdg.c；FUSA_WDGDrv.c</x:v>
      </x:c>
      <x:c r="F22" s="144" t="str">
        <x:v>“看门狗正常”无法按配置宣称。</x:v>
      </x:c>
      <x:c r="G22" s="144" t="str">
        <x:v>双方</x:v>
      </x:c>
      <x:c r="H22" s="144" t="str">
        <x:v>冻结监控架构并做卡死复位测试。</x:v>
      </x:c>
      <x:c r="I22" s="144" t="str">
        <x:v>每实体反应与复位时间通过。</x:v>
      </x:c>
      <x:c r="J22" s="144" t="str">
        <x:v>待确认</x:v>
      </x:c>
    </x:row>
    <x:row r="23" ht="72" customHeight="1">
      <x:c r="A23" s="144" t="str">
        <x:v>R-018</x:v>
      </x:c>
      <x:c r="B23" s="144" t="str">
        <x:v>P0</x:v>
      </x:c>
      <x:c r="C23" s="144" t="str">
        <x:v>M2/M3</x:v>
      </x:c>
      <x:c r="D23" s="144" t="str">
        <x:v>XCP seed/key为样例、内存访问保护关闭。</x:v>
      </x:c>
      <x:c r="E23" s="144" t="str">
        <x:v>Xcp_SeedAndKey.c；Xcp_Cfg.h</x:v>
      </x:c>
      <x:c r="F23" s="144" t="str">
        <x:v>量产件任意内存访问风险。</x:v>
      </x:c>
      <x:c r="G23" s="144" t="str">
        <x:v>安全方/东软</x:v>
      </x:c>
      <x:c r="H23" s="144" t="str">
        <x:v>量产关闭或白名单+正式算法。</x:v>
      </x:c>
      <x:c r="I23" s="144" t="str">
        <x:v>安全负向测试通过。</x:v>
      </x:c>
      <x:c r="J23" s="144" t="str">
        <x:v>待确认</x:v>
      </x:c>
    </x:row>
    <x:row r="24" ht="72" customHeight="1">
      <x:c r="A24" s="144" t="str">
        <x:v>R-019</x:v>
      </x:c>
      <x:c r="B24" s="144" t="str">
        <x:v>P0</x:v>
      </x:c>
      <x:c r="C24" s="144" t="str">
        <x:v>BT/M3</x:v>
      </x:c>
      <x:c r="D24" s="144" t="str">
        <x:v>未见应用anti-rollback，配置注释为not planned。</x:v>
      </x:c>
      <x:c r="E24" s="144" t="str">
        <x:v>certificate config/secure boot代码</x:v>
      </x:c>
      <x:c r="F24" s="144" t="str">
        <x:v>不能承诺已支持反回滚。</x:v>
      </x:c>
      <x:c r="G24" s="144" t="str">
        <x:v>安全方</x:v>
      </x:c>
      <x:c r="H24" s="144" t="str">
        <x:v>明确是否需要及单调计数方案。</x:v>
      </x:c>
      <x:c r="I24" s="144" t="str">
        <x:v>需求/实现/测试签署。</x:v>
      </x:c>
      <x:c r="J24" s="144" t="str">
        <x:v>待确认</x:v>
      </x:c>
    </x:row>
    <x:row r="25" ht="72" customHeight="1">
      <x:c r="A25" s="144" t="str">
        <x:v>R-020</x:v>
      </x:c>
      <x:c r="B25" s="144" t="str">
        <x:v>P0</x:v>
      </x:c>
      <x:c r="C25" s="144" t="str">
        <x:v>M2</x:v>
      </x:c>
      <x:c r="D25" s="144" t="str">
        <x:v>DEM去抖、老化、优先级、满存储等需求仍未冻结。</x:v>
      </x:c>
      <x:c r="E25" s="144" t="str">
        <x:v>QA32-44；Dem生成配置</x:v>
      </x:c>
      <x:c r="F25" s="144" t="str">
        <x:v>无法客观验收217 Event。</x:v>
      </x:c>
      <x:c r="G25" s="144" t="str">
        <x:v>我方/OEM</x:v>
      </x:c>
      <x:c r="H25" s="144" t="str">
        <x:v>提供Event级故障矩阵。</x:v>
      </x:c>
      <x:c r="I25" s="144" t="str">
        <x:v>217 Event配置与用例闭环。</x:v>
      </x:c>
      <x:c r="J25" s="144" t="str">
        <x:v>待确认</x:v>
      </x:c>
    </x:row>
    <x:row r="26" ht="72" customHeight="1">
      <x:c r="A26" s="144" t="str">
        <x:v>R-021</x:v>
      </x:c>
      <x:c r="B26" s="144" t="str">
        <x:v>P0</x:v>
      </x:c>
      <x:c r="C26" s="144" t="str">
        <x:v>M2</x:v>
      </x:c>
      <x:c r="D26" s="144" t="str">
        <x:v>NvM属性/默认/owner/写频率/寿命输入不足。</x:v>
      </x:c>
      <x:c r="E26" s="144" t="str">
        <x:v>QA45-50；NvM生成表</x:v>
      </x:c>
      <x:c r="F26" s="144" t="str">
        <x:v>掉电/寿命/数据语义风险。</x:v>
      </x:c>
      <x:c r="G26" s="144" t="str">
        <x:v>我方/东软</x:v>
      </x:c>
      <x:c r="H26" s="144" t="str">
        <x:v>签署05页block dictionary和寿命模型。</x:v>
      </x:c>
      <x:c r="I26" s="144" t="str">
        <x:v>105项关闭。</x:v>
      </x:c>
      <x:c r="J26" s="144" t="str">
        <x:v>待确认</x:v>
      </x:c>
    </x:row>
    <x:row r="27" ht="72" customHeight="1">
      <x:c r="A27" s="144" t="str">
        <x:v>R-022</x:v>
      </x:c>
      <x:c r="B27" s="144" t="str">
        <x:v>P1</x:v>
      </x:c>
      <x:c r="C27" s="144" t="str">
        <x:v>M2</x:v>
      </x:c>
      <x:c r="D27" s="144" t="str">
        <x:v>ADC配置12通道但仅7入两个group。</x:v>
      </x:c>
      <x:c r="E27" s="144" t="str">
        <x:v>Adc_PBcfg.c:70-305</x:v>
      </x:c>
      <x:c r="F27" s="144" t="str">
        <x:v>预留/遗漏不清。</x:v>
      </x:c>
      <x:c r="G27" s="144" t="str">
        <x:v>硬件/东软</x:v>
      </x:c>
      <x:c r="H27" s="144" t="str">
        <x:v>与原理图和需求逐通道核对。</x:v>
      </x:c>
      <x:c r="I27" s="144" t="str">
        <x:v>12通道用途/组/验收签署。</x:v>
      </x:c>
      <x:c r="J27" s="144" t="str">
        <x:v>待确认</x:v>
      </x:c>
    </x:row>
    <x:row r="28" ht="72" customHeight="1">
      <x:c r="A28" s="144" t="str">
        <x:v>R-023</x:v>
      </x:c>
      <x:c r="B28" s="144" t="str">
        <x:v>P0</x:v>
      </x:c>
      <x:c r="C28" s="144" t="str">
        <x:v>M2</x:v>
      </x:c>
      <x:c r="D28" s="144" t="str">
        <x:v>客户0x49A超时逻辑疑似使用12D flag。</x:v>
      </x:c>
      <x:c r="E28" s="144" t="str">
        <x:v>net_X_Mngmt.c:137-156</x:v>
      </x:c>
      <x:c r="F28" s="144" t="str">
        <x:v>网络状态串扰/错误休眠。</x:v>
      </x:c>
      <x:c r="G28" s="144" t="str">
        <x:v>东软/我方</x:v>
      </x:c>
      <x:c r="H28" s="144" t="str">
        <x:v>用中立状态机需求重写并专项测试。</x:v>
      </x:c>
      <x:c r="I28" s="144" t="str">
        <x:v>正常/超时组合全通过。</x:v>
      </x:c>
      <x:c r="J28" s="144" t="str">
        <x:v>未开始</x:v>
      </x:c>
    </x:row>
    <x:row r="29" ht="72" customHeight="1">
      <x:c r="A29" s="144" t="str">
        <x:v>R-024</x:v>
      </x:c>
      <x:c r="B29" s="144" t="str">
        <x:v>P0</x:v>
      </x:c>
      <x:c r="C29" s="144" t="str">
        <x:v>M2/M3</x:v>
      </x:c>
      <x:c r="D29" s="144" t="str">
        <x:v>CI仅8模块，客户列表22模块；无覆盖率硬门禁。</x:v>
      </x:c>
      <x:c r="E29" s="144" t="str">
        <x:v>unittest_list.json；module_lists_coem.json</x:v>
      </x:c>
      <x:c r="F29" s="144" t="str">
        <x:v>质量回归不足。</x:v>
      </x:c>
      <x:c r="G29" s="144" t="str">
        <x:v>东软</x:v>
      </x:c>
      <x:c r="H29" s="144" t="str">
        <x:v>统一模块并冻结阈值。</x:v>
      </x:c>
      <x:c r="I29" s="144" t="str">
        <x:v>低于阈值CI失败。</x:v>
      </x:c>
      <x:c r="J29" s="144" t="str">
        <x:v>未开始</x:v>
      </x:c>
    </x:row>
    <x:row r="30" ht="72" customHeight="1">
      <x:c r="A30" s="144" t="str">
        <x:v>R-025</x:v>
      </x:c>
      <x:c r="B30" s="144" t="str">
        <x:v>P0</x:v>
      </x:c>
      <x:c r="C30" s="144" t="str">
        <x:v>M3</x:v>
      </x:c>
      <x:c r="D30" s="144" t="str">
        <x:v>流水线制品名与HW job不一致，且允许空归档；ADAS_Tools为空。</x:v>
      </x:c>
      <x:c r="E30" s="144" t="str">
        <x:v>build.yaml；hw_test.yaml；tools/ADAS_Tools</x:v>
      </x:c>
      <x:c r="F30" s="144" t="str">
        <x:v>发布/HW验证可能未实际执行。</x:v>
      </x:c>
      <x:c r="G30" s="144" t="str">
        <x:v>东软/CI方</x:v>
      </x:c>
      <x:c r="H30" s="144" t="str">
        <x:v>修复命名/路径，禁止空归档，补合法工具。</x:v>
      </x:c>
      <x:c r="I30" s="144" t="str">
        <x:v>每个制品被真实刷写/验证。</x:v>
      </x:c>
      <x:c r="J30" s="144" t="str">
        <x:v>待确认</x:v>
      </x:c>
    </x:row>
    <x:row r="31" ht="72" customHeight="1">
      <x:c r="A31" s="144" t="str">
        <x:v>R-026</x:v>
      </x:c>
      <x:c r="B31" s="144" t="str">
        <x:v>P0</x:v>
      </x:c>
      <x:c r="C31" s="144" t="str">
        <x:v>M0/M3</x:v>
      </x:c>
      <x:c r="D31" s="144" t="str">
        <x:v>当前目录无可读取Git HEAD，快照版本不可追溯。</x:v>
      </x:c>
      <x:c r="E31" s="144" t="str">
        <x:v>git -C project rev-parse失败</x:v>
      </x:c>
      <x:c r="F31" s="144" t="str">
        <x:v>无法把配置结论绑定到唯一版本。</x:v>
      </x:c>
      <x:c r="G31" s="144" t="str">
        <x:v>我方</x:v>
      </x:c>
      <x:c r="H31" s="144" t="str">
        <x:v>提供commit/tag或完整文件hash manifest。</x:v>
      </x:c>
      <x:c r="I31" s="144" t="str">
        <x:v>所有证据绑定版本。</x:v>
      </x:c>
      <x:c r="J31" s="144" t="str">
        <x:v>待确认</x:v>
      </x:c>
    </x:row>
    <x:row r="32" ht="72" customHeight="1">
      <x:c r="A32" s="144" t="str">
        <x:v>R-027</x:v>
      </x:c>
      <x:c r="B32" s="144" t="str">
        <x:v>P0</x:v>
      </x:c>
      <x:c r="C32" s="144" t="str">
        <x:v>BT</x:v>
      </x:c>
      <x:c r="D32" s="144" t="str">
        <x:v>Boot需求仍TBD且0x34/0x35等支持口径未关闭。</x:v>
      </x:c>
      <x:c r="E32" s="144" t="str">
        <x:v>附件里程碑/QA25-31</x:v>
      </x:c>
      <x:c r="F32" s="144" t="str">
        <x:v>BT工期9周无可靠基线。</x:v>
      </x:c>
      <x:c r="G32" s="144" t="str">
        <x:v>我方/OEM</x:v>
      </x:c>
      <x:c r="H32" s="144" t="str">
        <x:v>冻结Boot/诊断/安全/内存/回滚需求。</x:v>
      </x:c>
      <x:c r="I32" s="144" t="str">
        <x:v>BT SRS签署后重估。</x:v>
      </x:c>
      <x:c r="J32" s="144" t="str">
        <x:v>待确认</x:v>
      </x:c>
    </x:row>
    <x:row r="33" ht="72" customHeight="1">
      <x:c r="A33" s="144" t="str">
        <x:v>R-028</x:v>
      </x:c>
      <x:c r="B33" s="144" t="str">
        <x:v>P0</x:v>
      </x:c>
      <x:c r="C33" s="144" t="str">
        <x:v>M0</x:v>
      </x:c>
      <x:c r="D33" s="144" t="str">
        <x:v>来源受限代码若直接给东软会产生IP/许可证风险。</x:v>
      </x:c>
      <x:c r="E33" s="144" t="str">
        <x:v>用户约束；工程含商业BSW/HSM/KMS</x:v>
      </x:c>
      <x:c r="F33" s="144" t="str">
        <x:v>项目合规风险。</x:v>
      </x:c>
      <x:c r="G33" s="144" t="str">
        <x:v>双方/法务</x:v>
      </x:c>
      <x:c r="H33" s="144" t="str">
        <x:v>执行clean-room和资料审计。</x:v>
      </x:c>
      <x:c r="I33" s="144" t="str">
        <x:v>实现组零违规输入。</x:v>
      </x:c>
      <x:c r="J33" s="144" t="str">
        <x:v>待确认</x:v>
      </x:c>
    </x:row>
  </x:sheetData>
  <x:mergeCells>
    <x:mergeCell ref="A1:J1"/>
    <x:mergeCell ref="A2:J2"/>
  </x:mergeCells>
  <x:conditionalFormatting sqref="B6:B33">
    <x:cfRule type="containsText" dxfId="4" priority="1" operator="containsText" text="P0"/>
  </x:conditionalFormatting>
  <x:conditionalFormatting sqref="J6:J33">
    <x:cfRule type="containsText" dxfId="5" priority="2" operator="containsText" text="已关闭"/>
  </x:conditionalFormatting>
  <x:dataValidations count="1">
    <x:dataValidation type="list" sqref="J6:J33">
      <x:formula1>"待确认,未开始,进行中,已纳入调整,已关闭,接受偏差"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8801cf432d425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52" hidden="0" customWidth="1"/>
    <x:col min="4" max="4" width="68" hidden="0" customWidth="1"/>
    <x:col min="5" max="5" width="22" hidden="0" customWidth="1"/>
    <x:col min="6" max="6" width="16" hidden="0" customWidth="1"/>
    <x:col min="7" max="7" width="24" hidden="0" customWidth="1"/>
  </x:cols>
  <x:sheetData>
    <x:row r="1" ht="30" customHeight="1">
      <x:c r="A1" s="133" t="str">
        <x:v>工程取证索引</x:v>
      </x:c>
      <x:c r="B1" s="133" t="str">
        <x:v>工程取证索引</x:v>
      </x:c>
      <x:c r="C1" s="133" t="str">
        <x:v>工程取证索引</x:v>
      </x:c>
      <x:c r="D1" s="133" t="str">
        <x:v>工程取证索引</x:v>
      </x:c>
      <x:c r="E1" s="133" t="str">
        <x:v>工程取证索引</x:v>
      </x:c>
      <x:c r="F1" s="133" t="str">
        <x:v>工程取证索引</x:v>
      </x:c>
      <x:c r="G1" s="133" t="str">
        <x:v>工程取证索引</x:v>
      </x:c>
    </x:row>
    <x:row r="2" ht="36" customHeight="1">
      <x:c r="A2" s="136" t="str">
        <x:v>路径均指向本机参考工程，只用于审计和内部需求提炼；不得作为向外包方直接复制源码的清单。</x:v>
      </x:c>
      <x:c r="B2" s="136" t="str">
        <x:v>路径均指向本机参考工程，只用于审计和内部需求提炼；不得作为向外包方直接复制源码的清单。</x:v>
      </x:c>
      <x:c r="C2" s="136" t="str">
        <x:v>路径均指向本机参考工程，只用于审计和内部需求提炼；不得作为向外包方直接复制源码的清单。</x:v>
      </x:c>
      <x:c r="D2" s="136" t="str">
        <x:v>路径均指向本机参考工程，只用于审计和内部需求提炼；不得作为向外包方直接复制源码的清单。</x:v>
      </x:c>
      <x:c r="E2" s="136" t="str">
        <x:v>路径均指向本机参考工程，只用于审计和内部需求提炼；不得作为向外包方直接复制源码的清单。</x:v>
      </x:c>
      <x:c r="F2" s="136" t="str">
        <x:v>路径均指向本机参考工程，只用于审计和内部需求提炼；不得作为向外包方直接复制源码的清单。</x:v>
      </x:c>
      <x:c r="G2" s="136" t="str">
        <x:v>路径均指向本机参考工程，只用于审计和内部需求提炼；不得作为向外包方直接复制源码的清单。</x:v>
      </x:c>
    </x:row>
    <x:row r="5" ht="34" customHeight="1">
      <x:c r="A5" s="150" t="str">
        <x:v>证据ID</x:v>
      </x:c>
      <x:c r="B5" s="151" t="str">
        <x:v>主题</x:v>
      </x:c>
      <x:c r="C5" s="151" t="str">
        <x:v>可确认事实</x:v>
      </x:c>
      <x:c r="D5" s="151" t="str">
        <x:v>绝对文件路径</x:v>
      </x:c>
      <x:c r="E5" s="151" t="str">
        <x:v>行号/节点</x:v>
      </x:c>
      <x:c r="F5" s="151" t="str">
        <x:v>证据口径</x:v>
      </x:c>
      <x:c r="G5" s="152" t="str">
        <x:v>影响的WBS/风险</x:v>
      </x:c>
    </x:row>
    <x:row r="6" ht="52" customHeight="1">
      <x:c r="A6" s="144" t="str">
        <x:v>E-001</x:v>
      </x:c>
      <x:c r="B6" s="144" t="str">
        <x:v>构建</x:v>
      </x:c>
      <x:c r="C6" s="144" t="str">
        <x:v>BYD入口为DEVELOP/KL15/FUNTEST_OFF/SYMMETRY</x:v>
      </x:c>
      <x:c r="D6" s="144" t="str">
        <x:v>D:/Project/CR60LightBYD/xxx/coem/BYD_UKE/buildscripts/build.bat</x:v>
      </x:c>
      <x:c r="E6" s="144" t="str">
        <x:v>61</x:v>
      </x:c>
      <x:c r="F6" s="144" t="str">
        <x:v>显式</x:v>
      </x:c>
      <x:c r="G6" s="144" t="str">
        <x:v>M0-02,R-001</x:v>
      </x:c>
    </x:row>
    <x:row r="7" ht="52" customHeight="1">
      <x:c r="A7" s="144" t="str">
        <x:v>E-002</x:v>
      </x:c>
      <x:c r="B7" s="144" t="str">
        <x:v>目标</x:v>
      </x:c>
      <x:c r="C7" s="144" t="str">
        <x:v>AWR2E44P与AUTOSAR/编译目标定义</x:v>
      </x:c>
      <x:c r="D7" s="144" t="str">
        <x:v>D:/Project/CR60LightBYD/xxx/settings.py</x:v>
      </x:c>
      <x:c r="E7" s="144" t="str">
        <x:v>8,30-45</x:v>
      </x:c>
      <x:c r="F7" s="144" t="str">
        <x:v>显式</x:v>
      </x:c>
      <x:c r="G7" s="144" t="str">
        <x:v>M0-03</x:v>
      </x:c>
    </x:row>
    <x:row r="8" ht="52" customHeight="1">
      <x:c r="A8" s="144" t="str">
        <x:v>E-003</x:v>
      </x:c>
      <x:c r="B8" s="144" t="str">
        <x:v>构建范围</x:v>
      </x:c>
      <x:c r="C8" s="144" t="str">
        <x:v>SYMMETRY选择adas/symmetry并编译BSW/RTE/ASW/mmwave/integration/COEM</x:v>
      </x:c>
      <x:c r="D8" s="144" t="str">
        <x:v>D:/Project/CR60LightBYD/xxx/SConstruct</x:v>
      </x:c>
      <x:c r="E8" s="144" t="str">
        <x:v>121-128,171-178</x:v>
      </x:c>
      <x:c r="F8" s="144" t="str">
        <x:v>显式</x:v>
      </x:c>
      <x:c r="G8" s="144" t="str">
        <x:v>M0-03,M1</x:v>
      </x:c>
    </x:row>
    <x:row r="9" ht="52" customHeight="1">
      <x:c r="A9" s="144" t="str">
        <x:v>E-004</x:v>
      </x:c>
      <x:c r="B9" s="144" t="str">
        <x:v>镜像</x:v>
      </x:c>
      <x:c r="C9" s="144" t="str">
        <x:v>M4为预编译xem4，R5链接DOA库</x:v>
      </x:c>
      <x:c r="D9" s="144" t="str">
        <x:v>D:/Project/CR60LightBYD/xxx/SConstruct</x:v>
      </x:c>
      <x:c r="E9" s="144" t="str">
        <x:v>276-285</x:v>
      </x:c>
      <x:c r="F9" s="144" t="str">
        <x:v>显式</x:v>
      </x:c>
      <x:c r="G9" s="144" t="str">
        <x:v>M0-07,M1-01</x:v>
      </x:c>
    </x:row>
    <x:row r="10" ht="52" customHeight="1">
      <x:c r="A10" s="144" t="str">
        <x:v>E-005</x:v>
      </x:c>
      <x:c r="B10" s="144" t="str">
        <x:v>镜像</x:v>
      </x:c>
      <x:c r="C10" s="144" t="str">
        <x:v>最终镜像核ID R5=0/M4=2/RSS=3</x:v>
      </x:c>
      <x:c r="D10" s="144" t="str">
        <x:v>D:/Project/CR60LightBYD/xxx/tools/ImageGen/ImageGen.py</x:v>
      </x:c>
      <x:c r="E10" s="144" t="str">
        <x:v>388-406</x:v>
      </x:c>
      <x:c r="F10" s="144" t="str">
        <x:v>显式</x:v>
      </x:c>
      <x:c r="G10" s="144" t="str">
        <x:v>M1-01</x:v>
      </x:c>
    </x:row>
    <x:row r="11" ht="52" customHeight="1">
      <x:c r="A11" s="144" t="str">
        <x:v>E-006</x:v>
      </x:c>
      <x:c r="B11" s="144" t="str">
        <x:v>启动</x:v>
      </x:c>
      <x:c r="C11" s="144" t="str">
        <x:v>EcuM外设/IPC/rbBlock初始化顺序</x:v>
      </x:c>
      <x:c r="D11" s="144" t="str">
        <x:v>D:/Project/CR60LightBYD/xxx/bswpf/autosar/EcuM/integration/EcuM_Callout_Stubs.c</x:v>
      </x:c>
      <x:c r="E11" s="144" t="str">
        <x:v>515-586</x:v>
      </x:c>
      <x:c r="F11" s="144" t="str">
        <x:v>显式</x:v>
      </x:c>
      <x:c r="G11" s="144" t="str">
        <x:v>M1-02,M1-10</x:v>
      </x:c>
    </x:row>
    <x:row r="12" ht="52" customHeight="1">
      <x:c r="A12" s="144" t="str">
        <x:v>E-007</x:v>
      </x:c>
      <x:c r="B12" s="144" t="str">
        <x:v>启动</x:v>
      </x:c>
      <x:c r="C12" s="144" t="str">
        <x:v>CUDA/CLDA/rbBlock成功后才启动雷达</x:v>
      </x:c>
      <x:c r="D12" s="144" t="str">
        <x:v>D:/Project/CR60LightBYD/xxx/integration/Os_Cbk_Idle.c</x:v>
      </x:c>
      <x:c r="E12" s="144" t="str">
        <x:v>87-93</x:v>
      </x:c>
      <x:c r="F12" s="144" t="str">
        <x:v>显式</x:v>
      </x:c>
      <x:c r="G12" s="144" t="str">
        <x:v>M1-11,R-012</x:v>
      </x:c>
    </x:row>
    <x:row r="13" ht="52" customHeight="1">
      <x:c r="A13" s="144" t="str">
        <x:v>E-008</x:v>
      </x:c>
      <x:c r="B13" s="144" t="str">
        <x:v>CUDA</x:v>
      </x:c>
      <x:c r="C13" s="144" t="str">
        <x:v>四位置EgoCar/RadarPos/CalibInput ID与长度</x:v>
      </x:c>
      <x:c r="D13" s="144" t="str">
        <x:v>D:/Project/CR60LightBYD/xxx/coem/BYD_UKE/components/rbBlock/rbBlock_CUDA_user.h</x:v>
      </x:c>
      <x:c r="E13" s="144" t="str">
        <x:v>11-44</x:v>
      </x:c>
      <x:c r="F13" s="144" t="str">
        <x:v>显式</x:v>
      </x:c>
      <x:c r="G13" s="144" t="str">
        <x:v>M1-11</x:v>
      </x:c>
    </x:row>
    <x:row r="14" ht="52" customHeight="1">
      <x:c r="A14" s="144" t="str">
        <x:v>E-009</x:v>
      </x:c>
      <x:c r="B14" s="144" t="str">
        <x:v>CLDA</x:v>
      </x:c>
      <x:c r="C14" s="144" t="str">
        <x:v>三个子块长度2048/1212/1172</x:v>
      </x:c>
      <x:c r="D14" s="144" t="str">
        <x:v>D:/Project/CR60LightBYD/xxx/bswpf/framework/rbBlock/scr/rbBlock.c</x:v>
      </x:c>
      <x:c r="E14" s="144" t="str">
        <x:v>34-40</x:v>
      </x:c>
      <x:c r="F14" s="144" t="str">
        <x:v>显式</x:v>
      </x:c>
      <x:c r="G14" s="144" t="str">
        <x:v>M1-11</x:v>
      </x:c>
    </x:row>
    <x:row r="15" ht="52" customHeight="1">
      <x:c r="A15" s="144" t="str">
        <x:v>E-010</x:v>
      </x:c>
      <x:c r="B15" s="144" t="str">
        <x:v>rbBlock</x:v>
      </x:c>
      <x:c r="C15" s="144" t="str">
        <x:v>CUDA/CLDA地址与长度</x:v>
      </x:c>
      <x:c r="D15" s="144" t="str">
        <x:v>D:/Project/CR60LightBYD/xxx/bswpf/framework/rbBlock/api/rbBlock.h</x:v>
      </x:c>
      <x:c r="E15" s="144" t="str">
        <x:v>45-50</x:v>
      </x:c>
      <x:c r="F15" s="144" t="str">
        <x:v>显式</x:v>
      </x:c>
      <x:c r="G15" s="144" t="str">
        <x:v>M1-11</x:v>
      </x:c>
    </x:row>
    <x:row r="16" ht="52" customHeight="1">
      <x:c r="A16" s="144" t="str">
        <x:v>E-011</x:v>
      </x:c>
      <x:c r="B16" s="144" t="str">
        <x:v>多核</x:v>
      </x:c>
      <x:c r="C16" s="144" t="str">
        <x:v>MSS/M4 boot寄存器握手</x:v>
      </x:c>
      <x:c r="D16" s="144" t="str">
        <x:v>D:/Project/CR60LightBYD/xxx/mmwave/mmw_common.c</x:v>
      </x:c>
      <x:c r="E16" s="144" t="str">
        <x:v>44-77</x:v>
      </x:c>
      <x:c r="F16" s="144" t="str">
        <x:v>显式</x:v>
      </x:c>
      <x:c r="G16" s="144" t="str">
        <x:v>M1-12</x:v>
      </x:c>
    </x:row>
    <x:row r="17" ht="52" customHeight="1">
      <x:c r="A17" s="144" t="str">
        <x:v>E-012</x:v>
      </x:c>
      <x:c r="B17" s="144" t="str">
        <x:v>多核</x:v>
      </x:c>
      <x:c r="C17" s="144" t="str">
        <x:v>M4等待无timeout</x:v>
      </x:c>
      <x:c r="D17" s="144" t="str">
        <x:v>D:/Project/CR60LightBYD/xxx/mmwave/mmw_main.c</x:v>
      </x:c>
      <x:c r="E17" s="144" t="str">
        <x:v>2783-2807</x:v>
      </x:c>
      <x:c r="F17" s="144" t="str">
        <x:v>显式</x:v>
      </x:c>
      <x:c r="G17" s="144" t="str">
        <x:v>M1-12,R-007</x:v>
      </x:c>
    </x:row>
    <x:row r="18" ht="52" customHeight="1">
      <x:c r="A18" s="144" t="str">
        <x:v>E-013</x:v>
      </x:c>
      <x:c r="B18" s="144" t="str">
        <x:v>IPC</x:v>
      </x:c>
      <x:c r="C18" s="144" t="str">
        <x:v>0x10/0x11/0x12消息解析与任务激活</x:v>
      </x:c>
      <x:c r="D18" s="144" t="str">
        <x:v>D:/Project/CR60LightBYD/xxx/rte/OsTask_MMW.c</x:v>
      </x:c>
      <x:c r="E18" s="144" t="str">
        <x:v>93-139</x:v>
      </x:c>
      <x:c r="F18" s="144" t="str">
        <x:v>显式</x:v>
      </x:c>
      <x:c r="G18" s="144" t="str">
        <x:v>M1-13</x:v>
      </x:c>
    </x:row>
    <x:row r="19" ht="52" customHeight="1">
      <x:c r="A19" s="144" t="str">
        <x:v>E-014</x:v>
      </x:c>
      <x:c r="B19" s="144" t="str">
        <x:v>IPC</x:v>
      </x:c>
      <x:c r="C19" s="144" t="str">
        <x:v>pre-start命令两次仅发0x11字节</x:v>
      </x:c>
      <x:c r="D19" s="144" t="str">
        <x:v>D:/Project/CR60LightBYD/xxx/mmwave/mmw_main.c</x:v>
      </x:c>
      <x:c r="E19" s="144" t="str">
        <x:v>1179-1197</x:v>
      </x:c>
      <x:c r="F19" s="144" t="str">
        <x:v>显式</x:v>
      </x:c>
      <x:c r="G19" s="144" t="str">
        <x:v>M0-07</x:v>
      </x:c>
    </x:row>
    <x:row r="20" ht="52" customHeight="1">
      <x:c r="A20" s="144" t="str">
        <x:v>E-015</x:v>
      </x:c>
      <x:c r="B20" s="144" t="str">
        <x:v>内存</x:v>
      </x:c>
      <x:c r="C20" s="144" t="str">
        <x:v>shared_mem/gheap/Mailbox布局</x:v>
      </x:c>
      <x:c r="D20" s="144" t="str">
        <x:v>D:/Project/CR60LightBYD/xxx/bswpf/ld/TPR12_MCU_LS.lds</x:v>
      </x:c>
      <x:c r="E20" s="144" t="str">
        <x:v>25-48,164-171</x:v>
      </x:c>
      <x:c r="F20" s="144" t="str">
        <x:v>显式</x:v>
      </x:c>
      <x:c r="G20" s="144" t="str">
        <x:v>M1-03,M1-14</x:v>
      </x:c>
    </x:row>
    <x:row r="21" ht="52" customHeight="1">
      <x:c r="A21" s="144" t="str">
        <x:v>E-016</x:v>
      </x:c>
      <x:c r="B21" s="144" t="str">
        <x:v>MPU</x:v>
      </x:c>
      <x:c r="C21" s="144" t="str">
        <x:v>共享内存non-cacheable/shareable</x:v>
      </x:c>
      <x:c r="D21" s="144" t="str">
        <x:v>D:/Project/CR60LightBYD/xxx/bswpf/mcal/MpuP_T/ti_dpl_config.c</x:v>
      </x:c>
      <x:c r="E21" s="144" t="str">
        <x:v>156-183</x:v>
      </x:c>
      <x:c r="F21" s="144" t="str">
        <x:v>显式</x:v>
      </x:c>
      <x:c r="G21" s="144" t="str">
        <x:v>M1-03,M1-14</x:v>
      </x:c>
    </x:row>
    <x:row r="22" ht="52" customHeight="1">
      <x:c r="A22" s="144" t="str">
        <x:v>E-017</x:v>
      </x:c>
      <x:c r="B22" s="144" t="str">
        <x:v>ADC</x:v>
      </x:c>
      <x:c r="C22" s="144" t="str">
        <x:v>ADCBuf ping/pong、threshold1、Rx offset</x:v>
      </x:c>
      <x:c r="D22" s="144" t="str">
        <x:v>D:/Project/CR60LightBYD/xxx/mmwave/mmw_adc/mmwdemo_adcconfig.c</x:v>
      </x:c>
      <x:c r="E22" s="144" t="str">
        <x:v>71-215</x:v>
      </x:c>
      <x:c r="F22" s="144" t="str">
        <x:v>显式</x:v>
      </x:c>
      <x:c r="G22" s="144" t="str">
        <x:v>M1-17</x:v>
      </x:c>
    </x:row>
    <x:row r="23" ht="52" customHeight="1">
      <x:c r="A23" s="144" t="str">
        <x:v>E-018</x:v>
      </x:c>
      <x:c r="B23" s="144" t="str">
        <x:v>DMA</x:v>
      </x:c>
      <x:c r="C23" s="144" t="str">
        <x:v>算法DMA通道/1104B AoA单元</x:v>
      </x:c>
      <x:c r="D23" s="144" t="str">
        <x:v>D:/Project/CR60LightBYD/xxx/adas/symmetry/eDMAinterface/cdd_doa_dma.c</x:v>
      </x:c>
      <x:c r="E23" s="144" t="str">
        <x:v>47-105</x:v>
      </x:c>
      <x:c r="F23" s="144" t="str">
        <x:v>显式</x:v>
      </x:c>
      <x:c r="G23" s="144" t="str">
        <x:v>M1-17</x:v>
      </x:c>
    </x:row>
    <x:row r="24" ht="52" customHeight="1">
      <x:c r="A24" s="144" t="str">
        <x:v>E-019</x:v>
      </x:c>
      <x:c r="B24" s="144" t="str">
        <x:v>算法</x:v>
      </x:c>
      <x:c r="C24" s="144" t="str">
        <x:v>Trigger66执行signal/perception/mapping</x:v>
      </x:c>
      <x:c r="D24" s="144" t="str">
        <x:v>D:/Project/CR60LightBYD/xxx/rte/OsTask_MMW.c</x:v>
      </x:c>
      <x:c r="E24" s="144" t="str">
        <x:v>242-334</x:v>
      </x:c>
      <x:c r="F24" s="144" t="str">
        <x:v>显式</x:v>
      </x:c>
      <x:c r="G24" s="144" t="str">
        <x:v>M1-18,M1-19</x:v>
      </x:c>
    </x:row>
    <x:row r="25" ht="52" customHeight="1">
      <x:c r="A25" s="144" t="str">
        <x:v>E-020</x:v>
      </x:c>
      <x:c r="B25" s="144" t="str">
        <x:v>算法</x:v>
      </x:c>
      <x:c r="C25" s="144" t="str">
        <x:v>time_get_us实际返回ms</x:v>
      </x:c>
      <x:c r="D25" s="144" t="str">
        <x:v>D:/Project/CR60LightBYD/xxx/adas/symmetry/dsp/signal_process.c</x:v>
      </x:c>
      <x:c r="E25" s="144" t="str">
        <x:v>58-72</x:v>
      </x:c>
      <x:c r="F25" s="144" t="str">
        <x:v>显式矛盾</x:v>
      </x:c>
      <x:c r="G25" s="144" t="str">
        <x:v>M1-18</x:v>
      </x:c>
    </x:row>
    <x:row r="26" ht="52" customHeight="1">
      <x:c r="A26" s="144" t="str">
        <x:v>E-021</x:v>
      </x:c>
      <x:c r="B26" s="144" t="str">
        <x:v>CAN输入</x:v>
      </x:c>
      <x:c r="C26" s="144" t="str">
        <x:v>车辆数据物理转换与映射</x:v>
      </x:c>
      <x:c r="D26" s="144" t="str">
        <x:v>D:/Project/CR60LightBYD/xxx/coem/BYD_UKE/components/AswIf/ASW_ComMapping/RteComMapping_Rx.c</x:v>
      </x:c>
      <x:c r="E26" s="144" t="str">
        <x:v>36-140</x:v>
      </x:c>
      <x:c r="F26" s="144" t="str">
        <x:v>显式</x:v>
      </x:c>
      <x:c r="G26" s="144" t="str">
        <x:v>M1-20</x:v>
      </x:c>
    </x:row>
    <x:row r="27" ht="52" customHeight="1">
      <x:c r="A27" s="144" t="str">
        <x:v>E-022</x:v>
      </x:c>
      <x:c r="B27" s="144" t="str">
        <x:v>帧锁存</x:v>
      </x:c>
      <x:c r="C27" s="144" t="str">
        <x:v>0x11锁存输入、0x10切换当前帧</x:v>
      </x:c>
      <x:c r="D27" s="144" t="str">
        <x:v>D:/Project/CR60LightBYD/xxx/asw/ASW_IN/ASWIN_InCalc.c</x:v>
      </x:c>
      <x:c r="E27" s="144" t="str">
        <x:v>41-84</x:v>
      </x:c>
      <x:c r="F27" s="144" t="str">
        <x:v>显式</x:v>
      </x:c>
      <x:c r="G27" s="144" t="str">
        <x:v>M1-20</x:v>
      </x:c>
    </x:row>
    <x:row r="28" ht="52" customHeight="1">
      <x:c r="A28" s="144" t="str">
        <x:v>E-023</x:v>
      </x:c>
      <x:c r="B28" s="144" t="str">
        <x:v>CAN输出</x:v>
      </x:c>
      <x:c r="C28" s="144" t="str">
        <x:v>位置相关Mapping到Com_SendSignal</x:v>
      </x:c>
      <x:c r="D28" s="144" t="str">
        <x:v>D:/Project/CR60LightBYD/xxx/coem/BYD_UKE/components/AswIf/ASW_ComMapping/RteComMapping_Tx.c</x:v>
      </x:c>
      <x:c r="E28" s="144" t="str">
        <x:v>198-250</x:v>
      </x:c>
      <x:c r="F28" s="144" t="str">
        <x:v>显式</x:v>
      </x:c>
      <x:c r="G28" s="144" t="str">
        <x:v>M1-21</x:v>
      </x:c>
    </x:row>
    <x:row r="29" ht="52" customHeight="1">
      <x:c r="A29" s="144" t="str">
        <x:v>E-024</x:v>
      </x:c>
      <x:c r="B29" s="144" t="str">
        <x:v>RF风险</x:v>
      </x:c>
      <x:c r="C29" s="144" t="str">
        <x:v>配置为CONTINUOUS</x:v>
      </x:c>
      <x:c r="D29" s="144" t="str">
        <x:v>D:/Project/CR60LightBYD/xxx/adas/symmetry/rfconfig/mmw_cli.c</x:v>
      </x:c>
      <x:c r="E29" s="144" t="str">
        <x:v>146</x:v>
      </x:c>
      <x:c r="F29" s="144" t="str">
        <x:v>显式矛盾</x:v>
      </x:c>
      <x:c r="G29" s="144" t="str">
        <x:v>R-002</x:v>
      </x:c>
    </x:row>
    <x:row r="30" ht="52" customHeight="1">
      <x:c r="A30" s="144" t="str">
        <x:v>E-025</x:v>
      </x:c>
      <x:c r="B30" s="144" t="str">
        <x:v>RF风险</x:v>
      </x:c>
      <x:c r="C30" s="144" t="str">
        <x:v>连续模式分支调用rlEnableContMode</x:v>
      </x:c>
      <x:c r="D30" s="144" t="str">
        <x:v>D:/Project/CR60LightBYD/xxx/adas/symmetry/rfconfig/mmwave_link_common.c</x:v>
      </x:c>
      <x:c r="E30" s="144" t="str">
        <x:v>11667-11672</x:v>
      </x:c>
      <x:c r="F30" s="144" t="str">
        <x:v>显式</x:v>
      </x:c>
      <x:c r="G30" s="144" t="str">
        <x:v>R-002</x:v>
      </x:c>
    </x:row>
    <x:row r="31" ht="52" customHeight="1">
      <x:c r="A31" s="144" t="str">
        <x:v>E-026</x:v>
      </x:c>
      <x:c r="B31" s="144" t="str">
        <x:v>调度风险</x:v>
      </x:c>
      <x:c r="C31" s="144" t="str">
        <x:v>TriggerWave激活被注释</x:v>
      </x:c>
      <x:c r="D31" s="144" t="str">
        <x:v>D:/Project/CR60LightBYD/xxx/rte/OsTask_MMW.c</x:v>
      </x:c>
      <x:c r="E31" s="144" t="str">
        <x:v>159-166</x:v>
      </x:c>
      <x:c r="F31" s="144" t="str">
        <x:v>显式矛盾</x:v>
      </x:c>
      <x:c r="G31" s="144" t="str">
        <x:v>R-003</x:v>
      </x:c>
    </x:row>
    <x:row r="32" ht="52" customHeight="1">
      <x:c r="A32" s="144" t="str">
        <x:v>E-027</x:v>
      </x:c>
      <x:c r="B32" s="144" t="str">
        <x:v>RF风险</x:v>
      </x:c>
      <x:c r="C32" s="144" t="str">
        <x:v>RF parser注释但读取输出</x:v>
      </x:c>
      <x:c r="D32" s="144" t="str">
        <x:v>D:/Project/CR60LightBYD/xxx/mmwave/mmw_main.c</x:v>
      </x:c>
      <x:c r="E32" s="144" t="str">
        <x:v>1457-1477,1556-1563</x:v>
      </x:c>
      <x:c r="F32" s="144" t="str">
        <x:v>显式矛盾</x:v>
      </x:c>
      <x:c r="G32" s="144" t="str">
        <x:v>R-004</x:v>
      </x:c>
    </x:row>
    <x:row r="33" ht="52" customHeight="1">
      <x:c r="A33" s="144" t="str">
        <x:v>E-028</x:v>
      </x:c>
      <x:c r="B33" s="144" t="str">
        <x:v>构建风险</x:v>
      </x:c>
      <x:c r="C33" s="144" t="str">
        <x:v>调用缺失genMCAL/postGenMCAL</x:v>
      </x:c>
      <x:c r="D33" s="144" t="str">
        <x:v>D:/Project/CR60LightBYD/xxx/coem/BYD_UKE/buildscripts/build.bat</x:v>
      </x:c>
      <x:c r="E33" s="144" t="str">
        <x:v>31-49</x:v>
      </x:c>
      <x:c r="F33" s="144" t="str">
        <x:v>显式</x:v>
      </x:c>
      <x:c r="G33" s="144" t="str">
        <x:v>R-008</x:v>
      </x:c>
    </x:row>
    <x:row r="34" ht="52" customHeight="1">
      <x:c r="A34" s="144" t="str">
        <x:v>E-029</x:v>
      </x:c>
      <x:c r="B34" s="144" t="str">
        <x:v>生成风险</x:v>
      </x:c>
      <x:c r="C34" s="144" t="str">
        <x:v>RTE生成物含旧BAIC路径/warnings</x:v>
      </x:c>
      <x:c r="D34" s="144" t="str">
        <x:v>D:/Project/CR60LightBYD/xxx/coem/BYD_UKE/gen_rte/RteErr.xml</x:v>
      </x:c>
      <x:c r="E34" s="144" t="str">
        <x:v>文件全局</x:v>
      </x:c>
      <x:c r="F34" s="144" t="str">
        <x:v>显式</x:v>
      </x:c>
      <x:c r="G34" s="144" t="str">
        <x:v>R-010</x:v>
      </x:c>
    </x:row>
    <x:row r="35" ht="52" customHeight="1">
      <x:c r="A35" s="144" t="str">
        <x:v>E-030</x:v>
      </x:c>
      <x:c r="B35" s="144" t="str">
        <x:v>NvM</x:v>
      </x:c>
      <x:c r="C35" s="144" t="str">
        <x:v>persistent ID映射与105项descriptor</x:v>
      </x:c>
      <x:c r="D35" s="144" t="str">
        <x:v>D:/Project/CR60LightBYD/xxx/coem/BYD_UKE/gen_bsw/NvM/NvM_Cfg.c</x:v>
      </x:c>
      <x:c r="E35" s="144" t="str">
        <x:v>1176,1303</x:v>
      </x:c>
      <x:c r="F35" s="144" t="str">
        <x:v>显式</x:v>
      </x:c>
      <x:c r="G35" s="144" t="str">
        <x:v>M2-05</x:v>
      </x:c>
    </x:row>
    <x:row r="36" ht="52" customHeight="1">
      <x:c r="A36" s="144" t="str">
        <x:v>E-031</x:v>
      </x:c>
      <x:c r="B36" s="144" t="str">
        <x:v>NvM</x:v>
      </x:c>
      <x:c r="C36" s="144" t="str">
        <x:v>长度与RAM指针表</x:v>
      </x:c>
      <x:c r="D36" s="144" t="str">
        <x:v>D:/Project/CR60LightBYD/xxx/coem/BYD_UKE/gen_bsw/NvM/NvM_Cfg.c</x:v>
      </x:c>
      <x:c r="E36" s="144" t="str">
        <x:v>4871,4984</x:v>
      </x:c>
      <x:c r="F36" s="144" t="str">
        <x:v>显式</x:v>
      </x:c>
      <x:c r="G36" s="144" t="str">
        <x:v>M2-05</x:v>
      </x:c>
    </x:row>
    <x:row r="37" ht="52" customHeight="1">
      <x:c r="A37" s="144" t="str">
        <x:v>E-032</x:v>
      </x:c>
      <x:c r="B37" s="144" t="str">
        <x:v>Fee</x:v>
      </x:c>
      <x:c r="C37" s="144" t="str">
        <x:v>103业务块与冗余索引</x:v>
      </x:c>
      <x:c r="D37" s="144" t="str">
        <x:v>D:/Project/CR60LightBYD/xxx/coem/BYD_UKE/gen_bsw/Fee/rba_FeeFs1x_Prv_Cfg.c</x:v>
      </x:c>
      <x:c r="E37" s="144" t="str">
        <x:v>39-159</x:v>
      </x:c>
      <x:c r="F37" s="144" t="str">
        <x:v>显式</x:v>
      </x:c>
      <x:c r="G37" s="144" t="str">
        <x:v>M2-06</x:v>
      </x:c>
    </x:row>
    <x:row r="38" ht="52" customHeight="1">
      <x:c r="A38" s="144" t="str">
        <x:v>E-033</x:v>
      </x:c>
      <x:c r="B38" s="144" t="str">
        <x:v>Fee</x:v>
      </x:c>
      <x:c r="C38" s="144" t="str">
        <x:v>双Bank地址/大小/erase value</x:v>
      </x:c>
      <x:c r="D38" s="144" t="str">
        <x:v>D:/Project/CR60LightBYD/xxx/coem/BYD_UKE/gen_bsw/Fee/rba_FeeFs1x_Prv_Cfg.h</x:v>
      </x:c>
      <x:c r="E38" s="144" t="str">
        <x:v>68,77-86</x:v>
      </x:c>
      <x:c r="F38" s="144" t="str">
        <x:v>显式</x:v>
      </x:c>
      <x:c r="G38" s="144" t="str">
        <x:v>M2-06</x:v>
      </x:c>
    </x:row>
    <x:row r="39" ht="52" customHeight="1">
      <x:c r="A39" s="144" t="str">
        <x:v>E-034</x:v>
      </x:c>
      <x:c r="B39" s="144" t="str">
        <x:v>Fls</x:v>
      </x:c>
      <x:c r="C39" s="144" t="str">
        <x:v>4MiB sector、page8、max read/write768</x:v>
      </x:c>
      <x:c r="D39" s="144" t="str">
        <x:v>D:/Project/CR60LightBYD/xxx/coem/BYD_UKE/gen_mcal/src/Fls_PBcfg.c</x:v>
      </x:c>
      <x:c r="E39" s="144" t="str">
        <x:v>63-81</x:v>
      </x:c>
      <x:c r="F39" s="144" t="str">
        <x:v>显式</x:v>
      </x:c>
      <x:c r="G39" s="144" t="str">
        <x:v>M1-07</x:v>
      </x:c>
    </x:row>
    <x:row r="40" ht="52" customHeight="1">
      <x:c r="A40" s="144" t="str">
        <x:v>E-035</x:v>
      </x:c>
      <x:c r="B40" s="144" t="str">
        <x:v>Dcm</x:v>
      </x:c>
      <x:c r="C40" s="144" t="str">
        <x:v>服务表启用项</x:v>
      </x:c>
      <x:c r="D40" s="144" t="str">
        <x:v>D:/Project/CR60LightBYD/xxx/coem/BYD_UKE/gen_bsw/Dcm/Dcm_Lcfg_Dsd.c</x:v>
      </x:c>
      <x:c r="E40" s="144" t="str">
        <x:v>367-556</x:v>
      </x:c>
      <x:c r="F40" s="144" t="str">
        <x:v>显式</x:v>
      </x:c>
      <x:c r="G40" s="144" t="str">
        <x:v>M2-09</x:v>
      </x:c>
    </x:row>
    <x:row r="41" ht="52" customHeight="1">
      <x:c r="A41" s="144" t="str">
        <x:v>E-036</x:v>
      </x:c>
      <x:c r="B41" s="144" t="str">
        <x:v>Dcm</x:v>
      </x:c>
      <x:c r="C41" s="144" t="str">
        <x:v>5 session和P2/P2*</x:v>
      </x:c>
      <x:c r="D41" s="144" t="str">
        <x:v>D:/Project/CR60LightBYD/xxx/coem/BYD_UKE/gen_bsw/Dcm/Dcm_Lcfg_DspUds.c</x:v>
      </x:c>
      <x:c r="E41" s="144" t="str">
        <x:v>44-91</x:v>
      </x:c>
      <x:c r="F41" s="144" t="str">
        <x:v>显式</x:v>
      </x:c>
      <x:c r="G41" s="144" t="str">
        <x:v>M2-09</x:v>
      </x:c>
    </x:row>
    <x:row r="42" ht="52" customHeight="1">
      <x:c r="A42" s="144" t="str">
        <x:v>E-037</x:v>
      </x:c>
      <x:c r="B42" s="144" t="str">
        <x:v>Dcm</x:v>
      </x:c>
      <x:c r="C42" s="144" t="str">
        <x:v>3安全等级参数</x:v>
      </x:c>
      <x:c r="D42" s="144" t="str">
        <x:v>D:/Project/CR60LightBYD/xxx/coem/BYD_UKE/gen_bsw/Dcm/Dcm_Lcfg_DspUds.c</x:v>
      </x:c>
      <x:c r="E42" s="144" t="str">
        <x:v>102-181</x:v>
      </x:c>
      <x:c r="F42" s="144" t="str">
        <x:v>显式</x:v>
      </x:c>
      <x:c r="G42" s="144" t="str">
        <x:v>M2-12</x:v>
      </x:c>
    </x:row>
    <x:row r="43" ht="52" customHeight="1">
      <x:c r="A43" s="144" t="str">
        <x:v>E-038</x:v>
      </x:c>
      <x:c r="B43" s="144" t="str">
        <x:v>Dcm</x:v>
      </x:c>
      <x:c r="C43" s="144" t="str">
        <x:v>48 DID表与policy</x:v>
      </x:c>
      <x:c r="D43" s="144" t="str">
        <x:v>D:/Project/CR60LightBYD/xxx/coem/BYD_UKE/gen_bsw/Dcm/Dcm_Lcfg_DspUds.c</x:v>
      </x:c>
      <x:c r="E43" s="144" t="str">
        <x:v>2921-3005</x:v>
      </x:c>
      <x:c r="F43" s="144" t="str">
        <x:v>显式</x:v>
      </x:c>
      <x:c r="G43" s="144" t="str">
        <x:v>M2-10</x:v>
      </x:c>
    </x:row>
    <x:row r="44" ht="52" customHeight="1">
      <x:c r="A44" s="144" t="str">
        <x:v>E-039</x:v>
      </x:c>
      <x:c r="B44" s="144" t="str">
        <x:v>Dem</x:v>
      </x:c>
      <x:c r="C44" s="144" t="str">
        <x:v>217 Event</x:v>
      </x:c>
      <x:c r="D44" s="144" t="str">
        <x:v>D:/Project/CR60LightBYD/xxx/coem/BYD_UKE/gen_bsw/Dem/Dem_Cfg_EventId.h</x:v>
      </x:c>
      <x:c r="E44" s="144" t="str">
        <x:v>24-25</x:v>
      </x:c>
      <x:c r="F44" s="144" t="str">
        <x:v>显式</x:v>
      </x:c>
      <x:c r="G44" s="144" t="str">
        <x:v>M2-08</x:v>
      </x:c>
    </x:row>
    <x:row r="45" ht="52" customHeight="1">
      <x:c r="A45" s="144" t="str">
        <x:v>E-040</x:v>
      </x:c>
      <x:c r="B45" s="144" t="str">
        <x:v>Dem</x:v>
      </x:c>
      <x:c r="C45" s="144" t="str">
        <x:v>59 DTC及severity</x:v>
      </x:c>
      <x:c r="D45" s="144" t="str">
        <x:v>D:/Project/CR60LightBYD/xxx/coem/BYD_UKE/gen_bsw/Dem/Dem_Cfg_DTC_DataStructures.c</x:v>
      </x:c>
      <x:c r="E45" s="144" t="str">
        <x:v>24-149</x:v>
      </x:c>
      <x:c r="F45" s="144" t="str">
        <x:v>显式</x:v>
      </x:c>
      <x:c r="G45" s="144" t="str">
        <x:v>M2-08</x:v>
      </x:c>
    </x:row>
    <x:row r="46" ht="52" customHeight="1">
      <x:c r="A46" s="144" t="str">
        <x:v>E-041</x:v>
      </x:c>
      <x:c r="B46" s="144" t="str">
        <x:v>Dem</x:v>
      </x:c>
      <x:c r="C46" s="144" t="str">
        <x:v>主存储40/aging/occurrence/无displacement</x:v>
      </x:c>
      <x:c r="D46" s="144" t="str">
        <x:v>D:/Project/CR60LightBYD/xxx/coem/BYD_UKE/gen_bsw/Dem/Dem_Cfg_EvMem.h</x:v>
      </x:c>
      <x:c r="E46" s="144" t="str">
        <x:v>39-143</x:v>
      </x:c>
      <x:c r="F46" s="144" t="str">
        <x:v>显式</x:v>
      </x:c>
      <x:c r="G46" s="144" t="str">
        <x:v>M2-08</x:v>
      </x:c>
    </x:row>
    <x:row r="47" ht="52" customHeight="1">
      <x:c r="A47" s="144" t="str">
        <x:v>E-042</x:v>
      </x:c>
      <x:c r="B47" s="144" t="str">
        <x:v>CanIf</x:v>
      </x:c>
      <x:c r="C47" s="144" t="str">
        <x:v>38 Tx/70 Rx/2控制器</x:v>
      </x:c>
      <x:c r="D47" s="144" t="str">
        <x:v>D:/Project/CR60LightBYD/xxx/coem/BYD_UKE/gen_bsw/CanIf/CanIf_Cfg.h</x:v>
      </x:c>
      <x:c r="E47" s="144" t="str">
        <x:v>113,252,342</x:v>
      </x:c>
      <x:c r="F47" s="144" t="str">
        <x:v>显式</x:v>
      </x:c>
      <x:c r="G47" s="144" t="str">
        <x:v>M2-01</x:v>
      </x:c>
    </x:row>
    <x:row r="48" ht="52" customHeight="1">
      <x:c r="A48" s="144" t="str">
        <x:v>E-043</x:v>
      </x:c>
      <x:c r="B48" s="144" t="str">
        <x:v>Com</x:v>
      </x:c>
      <x:c r="C48" s="144" t="str">
        <x:v>687 Rx/770 Tx signal、0 group、34/64 I-PDU</x:v>
      </x:c>
      <x:c r="D48" s="144" t="str">
        <x:v>D:/Project/CR60LightBYD/xxx/coem/BYD_UKE/gen_bsw/Com/Com_PBcfg_Variant.h</x:v>
      </x:c>
      <x:c r="E48" s="144" t="str">
        <x:v>41-67</x:v>
      </x:c>
      <x:c r="F48" s="144" t="str">
        <x:v>显式</x:v>
      </x:c>
      <x:c r="G48" s="144" t="str">
        <x:v>M2-01,M2-02</x:v>
      </x:c>
    </x:row>
    <x:row r="49" ht="52" customHeight="1">
      <x:c r="A49" s="144" t="str">
        <x:v>E-044</x:v>
      </x:c>
      <x:c r="B49" s="144" t="str">
        <x:v>CanNm</x:v>
      </x:c>
      <x:c r="C49" s="144" t="str">
        <x:v>周期/timeout/immediate/NodeID</x:v>
      </x:c>
      <x:c r="D49" s="144" t="str">
        <x:v>D:/Project/CR60LightBYD/xxx/coem/BYD_UKE/gen_bsw/CanNm_PreCompile_and_PB_Variant/CanNm_PBcfg.c</x:v>
      </x:c>
      <x:c r="E49" s="144" t="str">
        <x:v>40-95</x:v>
      </x:c>
      <x:c r="F49" s="144" t="str">
        <x:v>显式</x:v>
      </x:c>
      <x:c r="G49" s="144" t="str">
        <x:v>M2-03</x:v>
      </x:c>
    </x:row>
    <x:row r="50" ht="52" customHeight="1">
      <x:c r="A50" s="144" t="str">
        <x:v>E-045</x:v>
      </x:c>
      <x:c r="B50" s="144" t="str">
        <x:v>TimeSync</x:v>
      </x:c>
      <x:c r="C50" s="144" t="str">
        <x:v>1 master/2 slave配置</x:v>
      </x:c>
      <x:c r="D50" s="144" t="str">
        <x:v>D:/Project/CR60LightBYD/xxx/coem/BYD_UKE/gen_bsw/CanTSyn/CanTSyn_PBcfg.c</x:v>
      </x:c>
      <x:c r="E50" s="144" t="str">
        <x:v>82-138</x:v>
      </x:c>
      <x:c r="F50" s="144" t="str">
        <x:v>显式</x:v>
      </x:c>
      <x:c r="G50" s="144" t="str">
        <x:v>M1-16,M2-04</x:v>
      </x:c>
    </x:row>
    <x:row r="51" ht="52" customHeight="1">
      <x:c r="A51" s="144" t="str">
        <x:v>E-046</x:v>
      </x:c>
      <x:c r="B51" s="144" t="str">
        <x:v>Wdg</x:v>
      </x:c>
      <x:c r="C51" s="144" t="str">
        <x:v>WdgM应用checkpoint/控制被#if 0</x:v>
      </x:c>
      <x:c r="D51" s="144" t="str">
        <x:v>D:/Project/CR60LightBYD/xxx/asw/ASW_WDG/src/ASW_WDG.c</x:v>
      </x:c>
      <x:c r="E51" s="144" t="str">
        <x:v>56-251</x:v>
      </x:c>
      <x:c r="F51" s="144" t="str">
        <x:v>显式</x:v>
      </x:c>
      <x:c r="G51" s="144" t="str">
        <x:v>M1-23,R-017</x:v>
      </x:c>
    </x:row>
    <x:row r="52" ht="52" customHeight="1">
      <x:c r="A52" s="144" t="str">
        <x:v>E-047</x:v>
      </x:c>
      <x:c r="B52" s="144" t="str">
        <x:v>Wdg</x:v>
      </x:c>
      <x:c r="C52" s="144" t="str">
        <x:v>独立PMIC FuSa watchdog回调/计数</x:v>
      </x:c>
      <x:c r="D52" s="144" t="str">
        <x:v>D:/Project/CR60LightBYD/xxx/bswpf/cdd/WDGDrv/FUSA_WDGDrv.c</x:v>
      </x:c>
      <x:c r="E52" s="144" t="str">
        <x:v>47-134</x:v>
      </x:c>
      <x:c r="F52" s="144" t="str">
        <x:v>显式</x:v>
      </x:c>
      <x:c r="G52" s="144" t="str">
        <x:v>M1-23</x:v>
      </x:c>
    </x:row>
    <x:row r="53" ht="52" customHeight="1">
      <x:c r="A53" s="144" t="str">
        <x:v>E-048</x:v>
      </x:c>
      <x:c r="B53" s="144" t="str">
        <x:v>XCP</x:v>
      </x:c>
      <x:c r="C53" s="144" t="str">
        <x:v>seed/key文件声明需重做且为固定样例</x:v>
      </x:c>
      <x:c r="D53" s="144" t="str">
        <x:v>D:/Project/CR60LightBYD/xxx/bswpf/autosar/Xcp/integration/Xcp_SeedAndKey.c</x:v>
      </x:c>
      <x:c r="E53" s="144" t="str">
        <x:v>14-23,61-181</x:v>
      </x:c>
      <x:c r="F53" s="144" t="str">
        <x:v>显式</x:v>
      </x:c>
      <x:c r="G53" s="144" t="str">
        <x:v>M2-17,R-018</x:v>
      </x:c>
    </x:row>
    <x:row r="54" ht="52" customHeight="1">
      <x:c r="A54" s="144" t="str">
        <x:v>E-049</x:v>
      </x:c>
      <x:c r="B54" s="144" t="str">
        <x:v>XCP</x:v>
      </x:c>
      <x:c r="C54" s="144" t="str">
        <x:v>内存读写保护关闭</x:v>
      </x:c>
      <x:c r="D54" s="144" t="str">
        <x:v>D:/Project/CR60LightBYD/xxx/coem/BYD_UKE/gen_bsw/Xcp/Xcp_Cfg.h</x:v>
      </x:c>
      <x:c r="E54" s="144" t="str">
        <x:v>152-175</x:v>
      </x:c>
      <x:c r="F54" s="144" t="str">
        <x:v>显式</x:v>
      </x:c>
      <x:c r="G54" s="144" t="str">
        <x:v>M2-17,R-018</x:v>
      </x:c>
    </x:row>
    <x:row r="55" ht="52" customHeight="1">
      <x:c r="A55" s="144" t="str">
        <x:v>E-050</x:v>
      </x:c>
      <x:c r="B55" s="144" t="str">
        <x:v>Boot</x:v>
      </x:c>
      <x:c r="C55" s="144" t="str">
        <x:v>容器memory map</x:v>
      </x:c>
      <x:c r="D55" s="144" t="str">
        <x:v>D:/Project/CR60LightBYD/xxx/tools/ContainerGen/ContainerGen.py</x:v>
      </x:c>
      <x:c r="E55" s="144" t="str">
        <x:v>38-66</x:v>
      </x:c>
      <x:c r="F55" s="144" t="str">
        <x:v>显式</x:v>
      </x:c>
      <x:c r="G55" s="144" t="str">
        <x:v>BT-02</x:v>
      </x:c>
    </x:row>
    <x:row r="56" ht="52" customHeight="1">
      <x:c r="A56" s="144" t="str">
        <x:v>E-051</x:v>
      </x:c>
      <x:c r="B56" s="144" t="str">
        <x:v>安全</x:v>
      </x:c>
      <x:c r="C56" s="144" t="str">
        <x:v>SHA512/RSA/AES-GCM与生命周期</x:v>
      </x:c>
      <x:c r="D56" s="144" t="str">
        <x:v>D:/Project/CR60LightBYD/xxx/bswpf/framework/pf_Sec/rbSecBoot/src/rbSecBoot.c</x:v>
      </x:c>
      <x:c r="E56" s="144" t="str">
        <x:v>178-403</x:v>
      </x:c>
      <x:c r="F56" s="144" t="str">
        <x:v>显式</x:v>
      </x:c>
      <x:c r="G56" s="144" t="str">
        <x:v>M2-21,BT-04</x:v>
      </x:c>
    </x:row>
    <x:row r="57" ht="52" customHeight="1">
      <x:c r="A57" s="144" t="str">
        <x:v>E-052</x:v>
      </x:c>
      <x:c r="B57" s="144" t="str">
        <x:v>签名</x:v>
      </x:c>
      <x:c r="C57" s="144" t="str">
        <x:v>efused路径调用外部KMS</x:v>
      </x:c>
      <x:c r="D57" s="144" t="str">
        <x:v>D:/Project/CR60LightBYD/xxx/tools/ContainerGen/BlockProcessor.py</x:v>
      </x:c>
      <x:c r="E57" s="144" t="str">
        <x:v>548-629</x:v>
      </x:c>
      <x:c r="F57" s="144" t="str">
        <x:v>显式</x:v>
      </x:c>
      <x:c r="G57" s="144" t="str">
        <x:v>M2-21,BT-04</x:v>
      </x:c>
    </x:row>
    <x:row r="58" ht="52" customHeight="1">
      <x:c r="A58" s="144" t="str">
        <x:v>E-053</x:v>
      </x:c>
      <x:c r="B58" s="144" t="str">
        <x:v>网络缺陷</x:v>
      </x:c>
      <x:c r="C58" s="144" t="str">
        <x:v>0x49A逻辑使用12D flag</x:v>
      </x:c>
      <x:c r="D58" s="144" t="str">
        <x:v>D:/Project/CR60LightBYD/xxx/coem/BYD_UKE/components/com/src/net_X_Mngmt.c</x:v>
      </x:c>
      <x:c r="E58" s="144" t="str">
        <x:v>137-156</x:v>
      </x:c>
      <x:c r="F58" s="144" t="str">
        <x:v>显式疑点</x:v>
      </x:c>
      <x:c r="G58" s="144" t="str">
        <x:v>M2-25,R-023</x:v>
      </x:c>
    </x:row>
    <x:row r="59" ht="52" customHeight="1">
      <x:c r="A59" s="144" t="str">
        <x:v>E-054</x:v>
      </x:c>
      <x:c r="B59" s="144" t="str">
        <x:v>休眠</x:v>
      </x:c>
      <x:c r="C59" s="144" t="str">
        <x:v>约3s LCM到BswM/EcuM GoDown路径</x:v>
      </x:c>
      <x:c r="D59" s="144" t="str">
        <x:v>D:/Project/CR60LightBYD/xxx/bswpf/framework/pf_LCM/pf_LCM.c</x:v>
      </x:c>
      <x:c r="E59" s="144" t="str">
        <x:v>23-32</x:v>
      </x:c>
      <x:c r="F59" s="144" t="str">
        <x:v>显式/计算</x:v>
      </x:c>
      <x:c r="G59" s="144" t="str">
        <x:v>M3-06</x:v>
      </x:c>
    </x:row>
    <x:row r="60" ht="52" customHeight="1">
      <x:c r="A60" s="144" t="str">
        <x:v>E-055</x:v>
      </x:c>
      <x:c r="B60" s="144" t="str">
        <x:v>CI</x:v>
      </x:c>
      <x:c r="C60" s="144" t="str">
        <x:v>主UT列表与客户模块列表规模差异</x:v>
      </x:c>
      <x:c r="D60" s="144" t="str">
        <x:v>D:/Project/CR60LightBYD/xxx/unittest/unittest_list.json</x:v>
      </x:c>
      <x:c r="E60" s="144" t="str">
        <x:v>文件全局</x:v>
      </x:c>
      <x:c r="F60" s="144" t="str">
        <x:v>显式</x:v>
      </x:c>
      <x:c r="G60" s="144" t="str">
        <x:v>M2-26,R-024</x:v>
      </x:c>
    </x:row>
    <x:row r="61" ht="52" customHeight="1">
      <x:c r="A61" s="144" t="str">
        <x:v>E-056</x:v>
      </x:c>
      <x:c r="B61" s="144" t="str">
        <x:v>发布</x:v>
      </x:c>
      <x:c r="C61" s="144" t="str">
        <x:v>归档/HW job制品路径与允许空归档</x:v>
      </x:c>
      <x:c r="D61" s="144" t="str">
        <x:v>D:/Project/CR60LightBYD/xxx/jenkins</x:v>
      </x:c>
      <x:c r="E61" s="144" t="str">
        <x:v>build.yaml/hw_test.yaml节点</x:v>
      </x:c>
      <x:c r="F61" s="144" t="str">
        <x:v>显式</x:v>
      </x:c>
      <x:c r="G61" s="144" t="str">
        <x:v>M3-01,R-025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090ea4acf9a44bc"/>
  </x:tableParts>
</x:worksheet>
</file>