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61ba21c3c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清单List" sheetId="2" r:id="R12e867eb19ba4b03"/>
    <x:sheet xmlns:r="http://schemas.openxmlformats.org/officeDocument/2006/relationships" name="项目信息" sheetId="3" r:id="Rc29c3b1435554ee8"/>
    <x:sheet xmlns:r="http://schemas.openxmlformats.org/officeDocument/2006/relationships" name="开发依赖物计划" sheetId="4" r:id="R7f8087ac391f4a7c"/>
    <x:sheet xmlns:r="http://schemas.openxmlformats.org/officeDocument/2006/relationships" name="里程碑计划" sheetId="5" r:id="Rda505623757c4abc"/>
    <x:sheet xmlns:r="http://schemas.openxmlformats.org/officeDocument/2006/relationships" name="NvM_BlockList" sheetId="6" r:id="Ra803a303f7d9442d"/>
    <x:sheet xmlns:r="http://schemas.openxmlformats.org/officeDocument/2006/relationships" name="中断" sheetId="7" r:id="R47c522bb27914836"/>
    <x:sheet xmlns:r="http://schemas.openxmlformats.org/officeDocument/2006/relationships" name="开发计划" sheetId="8" r:id="R0be06a6f70c84d40"/>
    <x:sheet xmlns:r="http://schemas.openxmlformats.org/officeDocument/2006/relationships" name="00_评审结论" sheetId="9" r:id="Raf1f2945f5df4c8a"/>
    <x:sheet xmlns:r="http://schemas.openxmlformats.org/officeDocument/2006/relationships" name="01_调整后里程碑" sheetId="10" r:id="R7095393a42b34ae7"/>
    <x:sheet xmlns:r="http://schemas.openxmlformats.org/officeDocument/2006/relationships" name="02_细化开发计划" sheetId="11" r:id="Re696183eb1334131"/>
    <x:sheet xmlns:r="http://schemas.openxmlformats.org/officeDocument/2006/relationships" name="03_验收矩阵" sheetId="12" r:id="R204bc512c77841e1"/>
    <x:sheet xmlns:r="http://schemas.openxmlformats.org/officeDocument/2006/relationships" name="04_输入输出边界" sheetId="13" r:id="Rc95a937e102b4dcf"/>
    <x:sheet xmlns:r="http://schemas.openxmlformats.org/officeDocument/2006/relationships" name="05_NvM配置详表" sheetId="14" r:id="R85c8c71851f5422b"/>
    <x:sheet xmlns:r="http://schemas.openxmlformats.org/officeDocument/2006/relationships" name="06_诊断配置基线" sheetId="15" r:id="Rcb8ccbd36b354fa5"/>
    <x:sheet xmlns:r="http://schemas.openxmlformats.org/officeDocument/2006/relationships" name="07_平台通信调度基线" sheetId="16" r:id="R295450fab4b149b5"/>
    <x:sheet xmlns:r="http://schemas.openxmlformats.org/officeDocument/2006/relationships" name="08_待确认与风险" sheetId="17" r:id="R0f40714af7744358"/>
    <x:sheet xmlns:r="http://schemas.openxmlformats.org/officeDocument/2006/relationships" name="09_证据索引" sheetId="18" r:id="R51101d61874143f5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<x:sst xmlns:x="http://schemas.openxmlformats.org/spreadsheetml/2006/main">
  <x:si>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</x:si>
  <x:si>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问题描述</x:t>
  </x:si>
  <x:si>
    <x:t xml:space="preserve">影响模块</x:t>
  </x:si>
  <x:si>
    <x:t xml:space="preserve">严重程度</x:t>
  </x:si>
  <x:si>
    <x:t xml:space="preserve">提出方</x:t>
  </x:si>
  <x:si>
    <x:t xml:space="preserve">提出人</x:t>
  </x:si>
  <x:si>
    <x:t xml:space="preserve">提出时间</x:t>
  </x:si>
  <x:si>
    <x:t xml:space="preserve">问题回复</x:t>
  </x:si>
  <x:si>
    <x:t xml:space="preserve">回复时间</x:t>
  </x:si>
  <x:si>
    <x:t xml:space="preserve">回复人</x:t>
  </x:si>
  <x:si>
    <x:t xml:space="preserve">问题状态</x:t>
  </x:si>
  <x:si>
    <x:t xml:space="preserve">虽然已经提供了DBC文件，但希望也提供下excel的矩阵文档</x:t>
  </x:si>
  <x:si>
    <x:t xml:space="preserve">CAN</x:t>
  </x:si>
  <x:si>
    <x:t xml:space="preserve">阻塞</x:t>
  </x:si>
  <x:si>
    <x:t xml:space="preserve">睿驰</x:t>
  </x:si>
  <x:si>
    <x:t xml:space="preserve">耿家铭</x:t>
  </x:si>
  <x:si>
    <x:t xml:space="preserve">根据DBC来，文档如果要可自行cantools转</x:t>
  </x:si>
  <x:si>
    <x:t xml:space="preserve">WF</x:t>
  </x:si>
  <x:si>
    <x:t xml:space="preserve">已关闭</x:t>
  </x:si>
  <x:si>
    <x:t xml:space="preserve">DBC导入时对应的是哪个Network Node</x:t>
  </x:si>
  <x:si>
    <x:t xml:space="preserve">1.RadarRearLeft
2.CR_RL</x:t>
  </x:si>
  <x:si>
    <x:t xml:space="preserve">如有路由需求，请提供路由表</x:t>
  </x:si>
  <x:si>
    <x:t xml:space="preserve">先按无网关路由配置PduR；保留Com/DCM/XCP到CanIf的正常路由；按DBC/CanIf/PduR配置Tx/Rx PDU</x:t>
  </x:si>
  <x:si>
    <x:t xml:space="preserve">缺少标定相关需求</x:t>
  </x:si>
  <x:si>
    <x:t xml:space="preserve">XCP</x:t>
  </x:si>
  <x:si>
    <x:t xml:space="preserve">
首版不启用XCP，建议可建立XCP on CAN配置、PDU映射、10ms MainFunction和A2L生成链路，后续提供详细需求</x:t>
  </x:si>
  <x:si>
    <x:t xml:space="preserve">处理中</x:t>
  </x:si>
  <x:si>
    <x:t xml:space="preserve">OS配置依赖中断列表，需提供需要配置的中断信息及对应中断的栈大小</x:t>
  </x:si>
  <x:si>
    <x:t xml:space="preserve">OS</x:t>
  </x:si>
  <x:si>
    <x:t xml:space="preserve">周健</x:t>
  </x:si>
  <x:si>
    <x:t xml:space="preserve">见中断配置</x:t>
  </x:si>
  <x:si>
    <x:t xml:space="preserve">OS task部署中缺少：
1.TaskStackSize信息
2.Task类型是基础Task还是拓展Task信息
3.OsTask_ECU_Startup是作为初始化Task吗？</x:t>
  </x:si>
  <x:si>
    <x:t xml:space="preserve">初步10个Task，均为Basic Task/BCC2，无Extended Task、无Event，Activation=10。
任务优先级建议配置：ASW_100ms=5，Trigger66ms=6，ASW_10ms=10，BSW_SwcRequest=15，ASW_20ms=20，BSW_10ms=30，MmWaveCtrl=50，DPM=55，ECU_Startup=60，TriggerWave=70。
TaskStackSize如要配置可依据实际配置，先给默认值，后续调整（注：WF这边走的统一栈）
ECU_Startup作为启动初始化任务
</x:t>
  </x:si>
  <x:si>
    <x:r>
      <x:rPr>
        <x:b/>
        <x:i/>
        <x:sz val="1200"/>
        <x:color rgb="FF000000"/>
        <x:rFont val="宋体"/>
      </x:rPr>
      <x:t xml:space="preserve">开发依赖物中ASW(应用层软件)ARXML备注"无ARXML，RTE支持ASW手写接入即可"，但在里程碑计划中： "RTE：生成RTE骨架、SchM接口、ASW Stub，支持我方ASW先行移植"
无Arxml无法进行BSW（Com、Dcm、Dem等）与ASW之间接口Map，无法生成RTE，与里程牌计划中功能描述冲突，需确认是否无Arxml提供
</x:t>
    </x:r>
    <x:r>
      <x:rPr>
        <x:b/>
        <x:i/>
        <x:sz val="1200"/>
        <x:color rgb="FF000000"/>
        <x:rFont val="宋体"/>
      </x:rPr>
      <x:t xml:space="preserve">2026/7/11：如无ARXML，需提供完整接口列表（接口名，接口用途），用于各模块配置func与ASW进行连接，另外MapCom依赖Arxml，否则无法生成ComXf,E2EXf等内容，需提供MapCom使用的Arxml</x:t>
    </x:r>
  </x:si>
  <x:si>
    <x:t xml:space="preserve">RTE</x:t>
  </x:si>
  <x:si>
    <x:t xml:space="preserve">无ARXML提供，首版本生成RTE/SchM/BSW/osNeeds;ASW可手写Stub或者手写函数接入</x:t>
  </x:si>
  <x:si>
    <x:t xml:space="preserve">待确认</x:t>
  </x:si>
  <x:si>
    <x:r>
      <x:rPr>
        <x:b/>
        <x:i/>
        <x:sz val="1200"/>
        <x:color rgb="FF000000"/>
        <x:rFont val="宋体"/>
      </x:rPr>
      <x:t xml:space="preserve">Mcal配置需求缺少详细输入，如HSI文档或其他可指导配置的文档，如时钟主频；每路CAN类型、波特率；SPI主从模式、通信速率；DIO对应端口及名称等内容，当前输入内容无法指导配置
</x:t>
    </x:r>
    <x:r>
      <x:rPr>
        <x:b/>
        <x:i/>
        <x:sz val="1200"/>
        <x:color rgb="FF000000"/>
        <x:rFont val="宋体"/>
      </x:rPr>
      <x:t xml:space="preserve">2026/7/10：依据SCH-RCU63HA09.pdf文档中无法确定各模块详细配置信息，会有其它文档提供吗？需提供更完整的需求输入或详细的配置需求</x:t>
    </x:r>
  </x:si>
  <x:si>
    <x:t xml:space="preserve">Mcal</x:t>
  </x:si>
  <x:si>
    <x:t xml:space="preserve">Mcal：Adc,DMA,Ipc,Dio,Fls,Gpt,Mcu,Port,Spi
CAN：2路Mcan，CANFD配置500K/2M. SPI用于PMIC/外部看门狗
QSPI/Fls/Fee按外部Flash用途配置
具体可见原理图</x:t>
  </x:si>
  <x:si>
    <x:t xml:space="preserve">ES11项目-ECU级诊断需求-CR_RR_V1.0.xlsx中"System DID"和"ECU DID"两个sheet是否只对应0x22和0x2E服务；其中读写状态列表示支持哪类服务【R：只支持0x22，W；支持0x2E，R/W：0x22/0x2E都支持】</x:t>
  </x:si>
  <x:si>
    <x:t xml:space="preserve">DCM</x:t>
  </x:si>
  <x:si>
    <x:t xml:space="preserve">陈新龙</x:t>
  </x:si>
  <x:si>
    <x:r>
      <x:rPr>
        <x:b/>
        <x:i/>
        <x:sz val="1200"/>
        <x:color rgb="FF000000"/>
        <x:rFont val="宋体"/>
      </x:rPr>
      <x:t xml:space="preserve">ES11项目-ECU级诊断需求-CR_RR_V1.0.xlsx中"System DID"和"ECU DID"两个sheet是否只对应0x22和0x2E服务；</x:t>
    </x:r>
    <x:r>
      <x:rPr>
        <x:b/>
        <x:i/>
        <x:sz val="1200"/>
        <x:color rgb="FF000000"/>
        <x:rFont val="宋体"/>
      </x:rPr>
      <x:t xml:space="preserve">是的
</x:t>
    </x:r>
    <x:r>
      <x:rPr>
        <x:b/>
        <x:i/>
        <x:sz val="1200"/>
        <x:color rgb="FF000000"/>
        <x:rFont val="宋体"/>
      </x:rPr>
      <x:t xml:space="preserve">其中读写状态列表示支持哪类服务【R：只支持0x22，W；支持0x2E，R/W：0x22/0x2E都支持】</x:t>
    </x:r>
    <x:r>
      <x:rPr>
        <x:b/>
        <x:i/>
        <x:sz val="1200"/>
        <x:color rgb="FF000000"/>
        <x:rFont val="宋体"/>
      </x:rPr>
      <x:t xml:space="preserve">对的，R就是22，W是2E，RW是都支持</x:t>
    </x:r>
  </x:si>
  <x:si>
    <x:t xml:space="preserve">各诊断服务ID支持的会话和安全解锁等级都参考，ES11项目-ECU级诊断需求-CR_RR_V1.0.xlsx中"Service"sheet,不会存在某个服务ID，如0x2F下的各个DID需要支持不同会话和安全解锁等级</x:t>
  </x:si>
  <x:si>
    <x:t xml:space="preserve">见依赖物诊断需求service sheet</x:t>
  </x:si>
  <x:si>
    <x:r>
      <x:rPr>
        <x:b/>
        <x:i/>
        <x:sz val="1200"/>
        <x:color rgb="FF000000"/>
        <x:rFont val="宋体"/>
      </x:rPr>
      <x:t xml:space="preserve">需要提供诊断企标和诊断通信企标文档
</x:t>
    </x:r>
    <x:r>
      <x:rPr>
        <x:b/>
        <x:i/>
        <x:sz val="1200"/>
        <x:color rgb="FF000000"/>
        <x:rFont val="宋体"/>
      </x:rPr>
      <x:t xml:space="preserve">2026/07/11 能否有其他诊断相关的文档指导配置，当前的Excel主要包含UDS服务定义、DTC列表及部分底层通信参数。还缺少其他配置信息，如GeneralInfo中STmin等参数的具体取值，DTC列表里缺少去抖（Debouncing）和老化（Aging）策略</x:t>
    </x:r>
  </x:si>
  <x:si>
    <x:r>
      <x:rPr>
        <x:b/>
        <x:i/>
        <x:sz val="1200"/>
        <x:color rgb="FF000000"/>
        <x:rFont val="等线"/>
      </x:rPr>
      <x:t xml:space="preserve">CANID见DBC；别的先按默认配置，配完需给配置表，后续wf确认
</x:t>
    </x:r>
    <x:r>
      <x:rPr>
        <x:b/>
        <x:i/>
        <x:sz val="1200"/>
        <x:color rgb="FF000000"/>
        <x:rFont val="等线"/>
      </x:rPr>
      <x:t xml:space="preserve">2026/07/13 会议澄清，按reach默认及项目经验配置，额外细节配置再单独QA提出</x:t>
    </x:r>
  </x:si>
  <x:si>
    <x:r>
      <x:rPr>
        <x:b/>
        <x:i/>
        <x:sz val="1200"/>
        <x:color rgb="FF000000"/>
        <x:rFont val="宋体"/>
      </x:rPr>
      <x:t xml:space="preserve">缺少完整的Nvm BlockList信息表，当前只有一个block list.jpg的截图，无法支持配置。当前根据截图理解上是不是需要使用104个Nvm Block？
</x:t>
    </x:r>
    <x:r>
      <x:rPr>
        <x:b/>
        <x:i/>
        <x:sz val="1200"/>
        <x:color rgb="FF000000"/>
        <x:rFont val="宋体"/>
      </x:rPr>
      <x:t xml:space="preserve">2026/07/11 新追加的NvM_BlockList不够支持配置，缺少信息，能否提供如下图的配置信息列表
</x:t>
    </x:r>
  </x:si>
  <x:si>
    <x:t xml:space="preserve">NVM</x:t>
  </x:si>
  <x:si>
    <x:r>
      <x:rPr>
        <x:b/>
        <x:i/>
        <x:sz val="1200"/>
        <x:color rgb="FF000000"/>
        <x:rFont val="等线"/>
      </x:rPr>
      <x:t xml:space="preserve">见NvM_BlockList Sheet
</x:t>
    </x:r>
    <x:r>
      <x:rPr>
        <x:b/>
        <x:i/>
        <x:sz val="1200"/>
        <x:color rgb="FF000000"/>
        <x:rFont val="等线"/>
      </x:rPr>
      <x:t xml:space="preserve">2026/07/13 会议澄清，按reach默认及项目经验配置，额外细节配置再单独QA提出</x:t>
    </x:r>
  </x:si>
  <x:si>
    <x:t xml:space="preserve">缺少WdgM的具体应用监视需求</x:t>
  </x:si>
  <x:si>
    <x:t xml:space="preserve">WdgM</x:t>
  </x:si>
  <x:si>
    <x:t xml:space="preserve">后续提供</x:t>
  </x:si>
  <x:si>
    <x:t xml:space="preserve">在不需要STBM模块且作为cantsyn从节点前提下，时间同步链路方案是？cantsyn报文具体参数需求请提供</x:t>
  </x:si>
  <x:si>
    <x:t xml:space="preserve">CanTSyn</x:t>
  </x:si>
  <x:si>
    <x:t xml:space="preserve">尹骏斐</x:t>
  </x:si>
  <x:si>
    <x:t xml:space="preserve">保留StbM，CanTSyn同步到StbM timeBase，具体方案后续讨论</x:t>
  </x:si>
  <x:si>
    <x:r>
      <x:rPr>
        <x:b/>
        <x:i/>
        <x:sz val="1200"/>
        <x:color rgb="FF000000"/>
        <x:rFont val="宋体"/>
      </x:rPr>
      <x:t xml:space="preserve">缺少Fee 扇区相关的配置要求。
</x:t>
    </x:r>
    <x:r>
      <x:rPr>
        <x:b/>
        <x:i/>
        <x:sz val="1200"/>
        <x:color rgb="FF000000"/>
        <x:rFont val="宋体"/>
      </x:rPr>
      <x:t xml:space="preserve">2026/07/11 扇区的地址和大小等信息缺失，是否其他文档能提供相应配置信息</x:t>
    </x:r>
  </x:si>
  <x:si>
    <x:t xml:space="preserve">Fee</x:t>
  </x:si>
  <x:si>
    <x:t xml:space="preserve">邹佳言</x:t>
  </x:si>
  <x:si>
    <x:r>
      <x:rPr>
        <x:b/>
        <x:i/>
        <x:sz val="1200"/>
        <x:color rgb="FF000000"/>
        <x:rFont val="等线"/>
      </x:rPr>
      <x:t xml:space="preserve">先两扇区Fee配置Fee/Fls/NVM映射，保留冗余块策略
</x:t>
    </x:r>
    <x:r>
      <x:rPr>
        <x:b/>
        <x:i/>
        <x:sz val="1200"/>
        <x:color rgb="FF000000"/>
        <x:rFont val="等线"/>
      </x:rPr>
      <x:t xml:space="preserve">2026/07/13 会议澄清，WF会后提供相关配置信息，reach再做确认</x:t>
    </x:r>
  </x:si>
  <x:si>
    <x:t xml:space="preserve">诊断需求文档中，“System DID”页有多个DID的“是否支持”列没有写明是Y还是N，请确认是否是需要配置的DID。</x:t>
  </x:si>
  <x:si>
    <x:t xml:space="preserve">暂时全都支持</x:t>
  </x:si>
  <x:si>
    <x:t xml:space="preserve">诊断需求文档中，根据“Service”页的描述，不支持2F服务，认为可以忽略“IOControl”页，这种理解是否正确？</x:t>
  </x:si>
  <x:si>
    <x:t xml:space="preserve">先按支持2F来</x:t>
  </x:si>
  <x:si>
    <x:r>
      <x:rPr>
        <x:b/>
        <x:i/>
        <x:sz val="1200"/>
        <x:color rgb="FF000000"/>
        <x:rFont val="宋体"/>
      </x:rPr>
      <x:t xml:space="preserve">诊断需求文档中，“DTC-List”页“是否有报警提示”列为Y的故障是否表示需要配置点灯相关内容？如果是的话，需要提供灯的种类，亮/灭分别需要的操作循环种类及次数等内容。
</x:t>
    </x:r>
    <x:r>
      <x:rPr>
        <x:b/>
        <x:i/>
        <x:sz val="1200"/>
        <x:color rgb="FF000000"/>
        <x:rFont val="宋体"/>
      </x:rPr>
      <x:t xml:space="preserve">2026/07/11 DTC不需要有报警灯的配置？是否是没有此类需求了</x:t>
    </x:r>
  </x:si>
  <x:si>
    <x:t xml:space="preserve">DEM</x:t>
  </x:si>
  <x:si>
    <x:r>
      <x:rPr>
        <x:b/>
        <x:i/>
        <x:sz val="1200"/>
        <x:color rgb="FF000000"/>
        <x:rFont val="宋体"/>
      </x:rPr>
      <x:t xml:space="preserve">忽略此列
</x:t>
    </x:r>
    <x:r>
      <x:rPr>
        <x:b/>
        <x:i/>
        <x:sz val="1200"/>
        <x:color rgb="FF000000"/>
        <x:rFont val="宋体"/>
      </x:rPr>
      <x:t xml:space="preserve">2026/07/13 会议澄清，不需要有报警灯的配置</x:t>
    </x:r>
  </x:si>
  <x:si>
    <x:t xml:space="preserve">诊断需求文档中缺少FiM相关的需求，请提供。</x:t>
  </x:si>
  <x:si>
    <x:t xml:space="preserve">FiM</x:t>
  </x:si>
  <x:si>
    <x:t xml:space="preserve">首版不需要，后续提供</x:t>
  </x:si>
  <x:si>
    <x:t xml:space="preserve">TI芯片的Mcal应与SDK搭配使用，当前Mcal指定的SDK版本是哪个版本？</x:t>
  </x:si>
  <x:si>
    <x:t xml:space="preserve">请确认RadarRearLeft的报文是否仅有这几个</x:t>
  </x:si>
  <x:si>
    <x:t xml:space="preserve">一般</x:t>
  </x:si>
  <x:si>
    <x:r>
      <x:rPr>
        <x:sz val="1200"/>
        <x:color rgb="FF000000"/>
      </x:rPr>
      <x:t xml:space="preserve">已更新DBC</x:t>
    </x:r>
    <x:r>
      <x:rPr>
        <x:sz val="1200"/>
        <x:color rgb="FF000000"/>
      </x:rPr>
      <x:t xml:space="preserve">
</x:t>
    </x:r>
    <x:r>
      <x:rPr>
        <x:u val="single"/>
        <x:sz val="1200"/>
        <x:color rgb="FF000000"/>
      </x:rPr>
      <x:t xml:space="preserve">PCAN.dbc</x:t>
    </x:r>
    <x:r>
      <x:rPr>
        <x:sz val="1200"/>
        <x:color rgb="FF000000"/>
      </x:rPr>
      <x:t xml:space="preserve"> </x:t>
    </x:r>
  </x:si>
  <x:si>
    <x:t xml:space="preserve">E2E使用哪种算法</x:t>
  </x:si>
  <x:si>
    <x:t xml:space="preserve">首版先使用Profile01算法</x:t>
  </x:si>
  <x:si>
    <x:t xml:space="preserve">mcal-config_02_02_07_00的plugins中无配置说明、集成说明及Demo工程示例，配置说明、集成说明及Demo工程示例是否由Ti单独提供？如TI已提供上述内容请提供。</x:t>
  </x:si>
  <x:si>
    <x:t xml:space="preserve">是否可提供基础编译工程、Debug夹具的开关说明和硬件刷写说明？</x:t>
  </x:si>
  <x:si>
    <x:t xml:space="preserve">环境</x:t>
  </x:si>
  <x:si>
    <x:t xml:space="preserve">ES11项目-ECU级诊断需求-CR_RR_V1.0.xlsx的"Service"sheet中，0x35服务设定为不支持，实际是否确实不要上传服务</x:t>
  </x:si>
  <x:si>
    <x:t xml:space="preserve">当前Dcm 服务访问内存的读写功能的地址范围是多少？0x34服务等需要有关联的配置依赖</x:t>
  </x:si>
  <x:si>
    <x:t xml:space="preserve">0x27服务的2个安全等级(Level1, Level35)的Seed/Key长度未提供</x:t>
  </x:si>
  <x:si>
    <x:t xml:space="preserve">需要提供x27服务的算法，对应使用的接口是什么</x:t>
  </x:si>
  <x:si>
    <x:t xml:space="preserve">"System DID"sheet中0xF1BB, 0xF1BC, 0xF1BD, 0xF1B7, 0xF1AB等DID的数据长度有缺失，没有定义</x:t>
  </x:si>
  <x:si>
    <x:t xml:space="preserve">"GeneralInfo"sheet中有两组P2，P2*，S3（一组带ECU后缀，一组没有），哪组是我们的配置需求</x:t>
  </x:si>
  <x:si>
    <x:t xml:space="preserve">0x28服务禁止通信的CANID有哪些，具体的范围是什么</x:t>
  </x:si>
  <x:si>
    <x:t xml:space="preserve">"DTC-List"sheet中对应DTC的去抖算法未定义（如基于Timer或基于Counter），对应的参数未提供</x:t>
  </x:si>
  <x:si>
    <x:t xml:space="preserve">"DTC-List"sheet中对应DTC的故障确认循环次数未提供，各个DTC是否需要配置不同值</x:t>
  </x:si>
  <x:si>
    <x:t xml:space="preserve">"DTC-List"sheet中对应DTC的老化参数有缺失，当前只有老化阈值，其他如老化的操作周期，不同DTC是否启用老化等配置是否有需求提供</x:t>
  </x:si>
  <x:si>
    <x:t xml:space="preserve">"Service.sheet"中需要支持的NRC 0x22（条件不满足），0x92（电压过高），0x93（电压过低）需要有外部接口提供</x:t>
  </x:si>
  <x:si>
    <x:t xml:space="preserve">NRC78的最大响应次数是多少，是否有要求？</x:t>
  </x:si>
  <x:si>
    <x:t xml:space="preserve">27服务超时后，失败次数是否需要减一？</x:t>
  </x:si>
  <x:si>
    <x:t xml:space="preserve">"DTC-List"sheet中的故障码等级是表示优先级的？是数字越小优先越高？表格中加删除线的DTC是否不需要配置？</x:t>
  </x:si>
  <x:si>
    <x:t xml:space="preserve">故障状态掩码是否设为FF？</x:t>
  </x:si>
  <x:si>
    <x:t xml:space="preserve">要求故障代码能存储多少条？DTC的存入策略是立即存还是下电存？</x:t>
  </x:si>
  <x:si>
    <x:t xml:space="preserve">快照数据获取的接口，是通过SWC还是RTE的形式？</x:t>
  </x:si>
  <x:si>
    <x:t xml:space="preserve">诊断报文是否有路由的需求？</x:t>
  </x:si>
  <x:si>
    <x:t xml:space="preserve">一个故障的老化循环和操作循环使用相同类型的循环吗？</x:t>
  </x:si>
  <x:si>
    <x:t xml:space="preserve">Dcm和Dem都分配task周期是否有要求?</x:t>
  </x:si>
  <x:si>
    <x:t xml:space="preserve">Neusar工具配置的Dem相关的故障的存储项有以下类型，BlockList中的描述不太相符，请确认。</x:t>
  </x:si>
  <x:si>
    <x:t xml:space="preserve">NvM</x:t>
  </x:si>
  <x:si>
    <x:t xml:space="preserve">这边认为"诊断DID/车辆配置数据"指的是通过Dcm-NvM存储DID的数据（不是通过应用/中间件-NvM存储的数据），这种理解是否正确？</x:t>
  </x:si>
  <x:si>
    <x:t xml:space="preserve">"诊断DID/车辆配置数据"请明确写出对应的是哪个DID，防止关联出错。</x:t>
  </x:si>
  <x:si>
    <x:t xml:space="preserve">Neusar工具提供的诊断安全访问相关的存储项只有一个Block，长度为安全等级个数+1，存储内容为AttemptCounter。BlockList中三个“诊断安全访问/安全数据”分别代表什么含义？是使用Neusar工具走Dcm-NvM的存储还是通过应用/中间件-NvM存储数据?</x:t>
  </x:si>
  <x:si>
    <x:t xml:space="preserve">这边认为除了"NvM系统保留"、"诊断DID/车辆配置数据"、"诊断安全访问/安全数据"、"诊断/故障事件存储"之外的Block都是通过应用/中间件进行存储的Block，这种理解是否正确？
如果是的话，请提供对应的Ram/Rom地址及对应的头文件。</x:t>
  </x:si>
  <x:si>
    <x:t xml:space="preserve">存储还有部分内容需要提供：
1.Fee和NvM主函数的调度周期
2.Fee每个Sector的地址和大小
3.各Block是否有优先级的要求？</x:t>
  </x:si>
  <x:si>
    <x:t xml:space="preserve">当前dbc中所有的信号都是以单个信号存在的，没有信号组。
(所有需要配置E2E的报文，其关联信号必须配置成信号组，否则配不了E2E)</x:t>
  </x:si>
  <x:si>
    <x:t xml:space="preserve">项目背景</x:t>
  </x:si>
  <x:si>
    <x:t xml:space="preserve">控制器类型</x:t>
  </x:si>
  <x:si>
    <x:t xml:space="preserve">毫米波雷达</x:t>
  </x:si>
  <x:si>
    <x:t xml:space="preserve">主芯片MCU</x:t>
  </x:si>
  <x:si>
    <x:t xml:space="preserve">TI 2E44LC(复用TI AWR294x)</x:t>
  </x:si>
  <x:si>
    <x:t xml:space="preserve">AUTOSAR 版本</x:t>
  </x:si>
  <x:si>
    <x:t xml:space="preserve">NeuSAR cCore 4.0_AUTOSAR R21-11</x:t>
  </x:si>
  <x:si>
    <x:t xml:space="preserve">编译器及版本</x:t>
  </x:si>
  <x:si>
    <x:t xml:space="preserve">ti-cgt-armllvm_3.2.2.LTS（ccs1281）</x:t>
  </x:si>
  <x:si>
    <x:t xml:space="preserve">目标OEM企业标准</x:t>
  </x:si>
  <x:si>
    <x:t xml:space="preserve">九识无人车</x:t>
  </x:si>
  <x:si>
    <x:t xml:space="preserve">总线通讯方式：</x:t>
  </x:si>
  <x:si>
    <x:t xml:space="preserve">2路</x:t>
  </x:si>
  <x:si>
    <x:t xml:space="preserve">收发器：</x:t>
  </x:si>
  <x:si>
    <x:t xml:space="preserve">TCAN1043ADYYR-Q1</x:t>
  </x:si>
  <x:si>
    <x:t xml:space="preserve">CDD驱动由用户自主开发</x:t>
  </x:si>
  <x:si>
    <x:t xml:space="preserve">CANFD</x:t>
  </x:si>
  <x:si>
    <x:t xml:space="preserve">控制器外设：</x:t>
  </x:si>
  <x:si>
    <x:t xml:space="preserve">外部SBC</x:t>
  </x:si>
  <x:si>
    <x:t xml:space="preserve">芯片型号：</x:t>
  </x:si>
  <x:si>
    <x:t xml:space="preserve">LP87745-Q1</x:t>
  </x:si>
  <x:si>
    <x:t xml:space="preserve">外部ETH Switch</x:t>
  </x:si>
  <x:si>
    <x:t xml:space="preserve">无</x:t>
  </x:si>
  <x:si>
    <x:t xml:space="preserve">TBD</x:t>
  </x:si>
  <x:si>
    <x:t xml:space="preserve">外部FLASH</x:t>
  </x:si>
  <x:si>
    <x:t xml:space="preserve">W25Q32JVSSSQT</x:t>
  </x:si>
  <x:si>
    <x:t xml:space="preserve">外部EEPROM</x:t>
  </x:si>
  <x:si>
    <x:t xml:space="preserve">其他外设</x:t>
  </x:si>
  <x:si>
    <x:t xml:space="preserve">应用层（功能）软件开发方式：</x:t>
  </x:si>
  <x:si>
    <x:t xml:space="preserve">采用手写代码或其他方式生成的非AUTOSAR标准架构的应用层软件</x:t>
  </x:si>
  <x:si>
    <x:t xml:space="preserve">芯片底层驱动软件的提供方式：</x:t>
  </x:si>
  <x:si>
    <x:t xml:space="preserve">提供芯片原厂商的MCAL软件</x:t>
  </x:si>
  <x:si>
    <x:t xml:space="preserve">开发依赖物</x:t>
  </x:si>
  <x:si>
    <x:t xml:space="preserve">资源描述</x:t>
  </x:si>
  <x:si>
    <x:t xml:space="preserve">数量</x:t>
  </x:si>
  <x:si>
    <x:t xml:space="preserve">提供时间</x:t>
  </x:si>
  <x:si>
    <x:t xml:space="preserve">控制器硬件板+线束（验证硬件接口正常）</x:t>
  </x:si>
  <x:si>
    <x:t xml:space="preserve">至少4</x:t>
  </x:si>
  <x:si>
    <x:t xml:space="preserve">T0</x:t>
  </x:si>
  <x:si>
    <x:t xml:space="preserve">编译器（协商）</x:t>
  </x:si>
  <x:si>
    <x:t xml:space="preserve">IDE版本：CCS1281 编译器版本号：ti-cgt-armllvm_3.2.2.LTS</x:t>
  </x:si>
  <x:si>
    <x:t xml:space="preserve">调试器（协商）</x:t>
  </x:si>
  <x:si>
    <x:t xml:space="preserve">XDS110</x:t>
  </x:si>
  <x:si>
    <x:t xml:space="preserve">主板硬件接线图，硬件IO MAP和硬件原理图及测试点位图</x:t>
  </x:si>
  <x:si>
    <x:t xml:space="preserve">见附件文件夹“硬件相关”</x:t>
  </x:si>
  <x:si>
    <x:t xml:space="preserve">MCAL软件及配置工具（如MCAL配置服务睿驰提供）</x:t>
  </x:si>
  <x:si>
    <x:t xml:space="preserve">见附件文件夹“MCAL软件及配置工具”，EB版本无限制</x:t>
  </x:si>
  <x:si>
    <x:t xml:space="preserve">在板运行正常的MCAL驱动软件工程（如MCAL配置由客户主责）</x:t>
  </x:si>
  <x:si>
    <x:t xml:space="preserve">-</x:t>
  </x:si>
  <x:si>
    <x:t xml:space="preserve">ASW(应用层软件) ARXML</x:t>
  </x:si>
  <x:si>
    <x:t xml:space="preserve">无ARXML，RTE支持ASW手写接入即可</x:t>
  </x:si>
  <x:si>
    <x:t xml:space="preserve">CAN通讯矩阵（DBC或ARXML）</x:t>
  </x:si>
  <x:si>
    <x:t xml:space="preserve">见附件文件夹“CAN通讯矩阵”</x:t>
  </x:si>
  <x:si>
    <x:t xml:space="preserve">通讯相关规范</x:t>
  </x:si>
  <x:si>
    <x:t xml:space="preserve">见附件文件夹“通讯及NM规范”</x:t>
  </x:si>
  <x:si>
    <x:r>
      <x:rPr>
        <x:b/>
        <x:i/>
        <x:sz val="1100"/>
        <x:color rgb="FF3F3F3F"/>
        <x:rFont val="宋体"/>
      </x:rPr>
      <x:t xml:space="preserve">诊断需求调查表或ODX文件</x:t>
    </x:r>
    <x:r>
      <x:rPr>
        <x:b/>
        <x:i/>
        <x:sz val="1100"/>
        <x:color rgb="FFFF0000"/>
        <x:rFont val="宋体"/>
      </x:rPr>
      <x:t xml:space="preserve">（客户可提供EXCEL诊断需求调查表） </x:t>
    </x:r>
  </x:si>
  <x:si>
    <x:t xml:space="preserve">见附件文件夹“诊断需求调查表”</x:t>
  </x:si>
  <x:si>
    <x:t xml:space="preserve">UDS诊断规范</x:t>
  </x:si>
  <x:si>
    <x:t xml:space="preserve">以ISO 14229-1完成即可，需要包含所有UDS服务</x:t>
  </x:si>
  <x:si>
    <x:t xml:space="preserve">网络管理NM企标规范</x:t>
  </x:si>
  <x:si>
    <x:t xml:space="preserve">Memory Map</x:t>
  </x:si>
  <x:si>
    <x:t xml:space="preserve">见附件文件夹“Memory Map”</x:t>
  </x:si>
  <x:si>
    <x:t xml:space="preserve">HSM固件及符合AUTOSAR规范的CryptoDriver及配置工具（如HSM配置由睿驰提供）</x:t>
  </x:si>
  <x:si>
    <x:t xml:space="preserve">HSM固件及在板正常运行的CRYPTO驱动软件工程（如HSM配置由客户主责）</x:t>
  </x:si>
  <x:si>
    <x:t xml:space="preserve">CDD外设芯片手册</x:t>
  </x:si>
  <x:si>
    <x:t xml:space="preserve">在板运行正常的CDD外设驱动软件及使用说明</x:t>
  </x:si>
  <x:si>
    <x:t xml:space="preserve">程序刷写流程规范（Bootloader由睿驰开发，刷写流程规范由睿驰定义）</x:t>
  </x:si>
  <x:si>
    <x:t xml:space="preserve">OS task部署</x:t>
  </x:si>
  <x:si>
    <x:t xml:space="preserve">见附件文件夹“OS task部署”</x:t>
  </x:si>
  <x:si>
    <x:t xml:space="preserve">存储策略及block list</x:t>
  </x:si>
  <x:si>
    <x:t xml:space="preserve">见附件文件夹“block list”</x:t>
  </x:si>
  <x:si>
    <x:t xml:space="preserve">XCP标定需求</x:t>
  </x:si>
  <x:si>
    <x:t xml:space="preserve">首版暂不用做，后续再补充</x:t>
  </x:si>
  <x:si>
    <x:t xml:space="preserve">看门狗监视列表</x:t>
  </x:si>
  <x:si>
    <x:t xml:space="preserve">Mcal配置需求</x:t>
  </x:si>
  <x:si>
    <x:t xml:space="preserve">CAN路数：2 , SPI路数：1 ,UART路数：2, ADC路数：12, DIO路数：32, WDG, Fls, Gpt, Ipc, Mcu,Port,edma</x:t>
  </x:si>
  <x:si>
    <x:t xml:space="preserve">里程碑名称</x:t>
  </x:si>
  <x:si>
    <x:t xml:space="preserve">内容功能描述</x:t>
  </x:si>
  <x:si>
    <x:t xml:space="preserve">交付物</x:t>
  </x:si>
  <x:si>
    <x:t xml:space="preserve">计划</x:t>
  </x:si>
  <x:si>
    <x:t xml:space="preserve">备注</x:t>
  </x:si>
  <x:si>
    <x:t xml:space="preserve">定点/合同签署</x:t>
  </x:si>
  <x:si>
    <x:t xml:space="preserve">AutoSAR BSW软件</x:t>
  </x:si>
  <x:si>
    <x:t xml:space="preserve">1，NeuSAR cCore工具
2，工具授权key
3，技术手册
4，工具测试报告
5，ReleaseNote</x:t>
  </x:si>
  <x:si>
    <x:t xml:space="preserve">项目立项</x:t>
  </x:si>
  <x:si>
    <x:t xml:space="preserve">T1：快速跑通主链路</x:t>
  </x:si>
  <x:si>
    <x:t xml:space="preserve">【工程服务交付功能】
目标：快速跑通毫米波雷达主链路，让我方ASW/RF开发可以并行展开。
1. NeuSAR配置
- OS：OS SC1，启动任务、BSW 10ms、ASW 10/20/100ms、MmWaveCtrl、DPM、Trigger66ms等任务正确调度
- 系统服务(EcuM/BswM)：实现上电启动、最小初始化顺序、BSW进入主循环
- RTE：生成RTE骨架、SchM接口、ASW Stub，支持我方ASW先行移植
- CAN通信：Can/CanIf/PduR最小Tx/Rx，CAN/CANFD调试输出可用
2. MCAL配置
- MCU/Port/Dio：基础时钟、PinMux、启动依赖配置
- Can：CAN/CANFD最小通信驱动集成
- Ipc/eDMA：Mailbox/IPC、eDMA和共享内存基础能力
- Fls：仅满足最小APP刷写/启动闭环需要
3. CDD/毫米波链路集成
- mmWave/RF初始化、mmWaveLink控制链路打通
- Mailbox/IPC与协处理核交互打通
- eDMA/共享内存数据链路可用，处理cache、对齐、内存段问题
4. 系统集成
- NeuSAR、MCAL、CDD、RTE、ASW Stub集成编译
- APP可刷写、可启动，形成最小刷写闭环</x:t>
  </x:si>
  <x:si>
    <x:t xml:space="preserve"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x:t>
  </x:si>
  <x:si>
    <x:t xml:space="preserve">T0+6周</x:t>
  </x:si>
  <x:si>
    <x:t xml:space="preserve">阶段1不追求完整UDS/NvM/NM/XCP量产功能；验收核心是我方能基于该平台开始RF移植、信号处理、数据处理和任务调优。</x:t>
  </x:si>
  <x:si>
    <x:t xml:space="preserve">T2：完成OEM强相关功能</x:t>
  </x:si>
  <x:si>
    <x:t xml:space="preserve">【工程服务交付功能】
目标：补齐面向OEM集成测试的AUTOSAR功能，量产交付。
1. NeuSAR配置
- 诊断协议栈(Dcm/CanTp)：DID、Routine、会话、安全访问、通信控制等
- 故障管理(Dem/FiM/Det)：DTC、事件状态、老化、抑制、故障快照/扩展数据
- 存储协议栈(NvM/MemIf/Fee)：按BYD策略启动ReadAll，运行期显式WriteBlock，配置Block List和默认值
- 网络管理(Nm/CanNm/ComM/CanSM/BswM)：实现CAN/CANFD休眠唤醒、FullCom/NoCom、诊断保持通信
- 系统服务(WdgM/WdgIf)：明确WdgM Alive/Deadline边界，并与外部看门狗策略区分
- 标定(XCP/A2L)：XCP on CAN/CANFD、动态CAN ID、DAQ、Seed&amp;Key、A2L一致性
2. MCAL配置
- Fls：与Fee/NvM集成，实现Flash存取
- Spi/Dio/Gpt：按BYD实际LP87745 PMIC/外部watchdog链路集成
- Can：支持诊断、网络管理、XCP和OEM通信
3. CDD/外设集成
- LP87745 PMIC、外部Watchdog、TCAN1043、错误日志等CDD按硬件实际补齐
4. 系统集成
- 支持我方ASW调用诊断、存储、网络管理、Wdg、XCP等BSW服务接口
- 完成OEM强相关功能集成和自测</x:t>
  </x:si>
  <x:si>
    <x:t xml:space="preserve"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x:t>
  </x:si>
  <x:si>
    <x:t xml:space="preserve">T1+5周</x:t>
  </x:si>
  <x:si>
    <x:r>
      <x:rPr>
        <x:b/>
        <x:i/>
        <x:sz val="1100"/>
        <x:color rgb="FF000000"/>
        <x:rFont val="宋体"/>
      </x:rPr>
      <x:t xml:space="preserve">该阶段与我方ASW集成同步推进，实现量产交付。
</x:t>
    </x:r>
    <x:r>
      <x:rPr>
        <x:b/>
        <x:i/>
        <x:sz val="1100"/>
        <x:color rgb="FF000000"/>
        <x:rFont val="宋体"/>
      </x:rPr>
      <x:t xml:space="preserve">信息安全与功能安全需求待讨论。</x:t>
    </x:r>
  </x:si>
  <x:si>
    <x:t xml:space="preserve">BT1</x:t>
  </x:si>
  <x:si>
    <x:t xml:space="preserve">1，Bootloaser基本烧录开发
2，Bootloader基本功能自测</x:t>
  </x:si>
  <x:si>
    <x:t xml:space="preserve">1，Bootloader源码工程
2，Bootloader自测报告（烧录及调试手顺）
</x:t>
  </x:si>
  <x:si>
    <x:t xml:space="preserve">BT0+9周</x:t>
  </x:si>
  <x:si>
    <x:t xml:space="preserve">BT需求待讨论。</x:t>
  </x:si>
  <x:si>
    <x:t xml:space="preserve">验收</x:t>
  </x:si>
  <x:si>
    <x:t xml:space="preserve">1，交付验收
2，功能验收
3，功能测试</x:t>
  </x:si>
  <x:si>
    <x:t xml:space="preserve">1，DeliverNote
2，验收单</x:t>
  </x:si>
  <x:si>
    <x:t xml:space="preserve">T1+8周</x:t>
  </x:si>
  <x:si>
    <x:t xml:space="preserve">培训</x:t>
  </x:si>
  <x:si>
    <x:t xml:space="preserve">NeuSAR cCore工具使用</x:t>
  </x:si>
  <x:si>
    <x:t xml:space="preserve">技术手册</x:t>
  </x:si>
  <x:si>
    <x:t xml:space="preserve">现场或线上，培训次数不少于2次，每次培训不少于4小时</x:t>
  </x:si>
  <x:si>
    <x:t xml:space="preserve">技术支持</x:t>
  </x:si>
  <x:si>
    <x:t xml:space="preserve">1，质保期内，提供升级版本的交付物、远程技术支持（电话或电子邮件）；
2，如发现问题流出，睿驰先行提供解决方案，后续双方协商是否升级软件Patch版本。</x:t>
  </x:si>
  <x:si>
    <x:t xml:space="preserve">QAList</x:t>
  </x:si>
  <x:si>
    <x:t xml:space="preserve">验收后12个月</x:t>
  </x:si>
  <x:si>
    <x:t xml:space="preserve">1,远程技术支持时间为工作日8小时</x:t>
  </x:si>
  <x:si>
    <x:t xml:space="preserve">Block ID</x:t>
  </x:si>
  <x:si>
    <x:t xml:space="preserve">Block 名称</x:t>
  </x:si>
  <x:si>
    <x:t xml:space="preserve">长度(Byte)</x:t>
  </x:si>
  <x:si>
    <x:t xml:space="preserve">分类/用途</x:t>
  </x:si>
  <x:si>
    <x:t xml:space="preserve">0</x:t>
  </x:si>
  <x:si>
    <x:t xml:space="preserve">NvM_MultiBlock</x:t>
  </x:si>
  <x:si>
    <x:t xml:space="preserve">1</x:t>
  </x:si>
  <x:si>
    <x:t xml:space="preserve">NvM系统保留</x:t>
  </x:si>
  <x:si>
    <x:t xml:space="preserve">NvM_ConfigId</x:t>
  </x:si>
  <x:si>
    <x:t xml:space="preserve">2</x:t>
  </x:si>
  <x:si>
    <x:t xml:space="preserve">NvMBlock_LogisticData</x:t>
  </x:si>
  <x:si>
    <x:t xml:space="preserve">128</x:t>
  </x:si>
  <x:si>
    <x:t xml:space="preserve">应用/系统持久化数据</x:t>
  </x:si>
  <x:si>
    <x:t xml:space="preserve">3</x:t>
  </x:si>
  <x:si>
    <x:t xml:space="preserve">NVM_OS_ErrorlogOsErrorHook</x:t>
  </x:si>
  <x:si>
    <x:t xml:space="preserve">370</x:t>
  </x:si>
  <x:si>
    <x:t xml:space="preserve">复位/PMIC/OS错误日志</x:t>
  </x:si>
  <x:si>
    <x:t xml:space="preserve">4</x:t>
  </x:si>
  <x:si>
    <x:t xml:space="preserve">NVM_OS_ErrorlogOsShutdown</x:t>
  </x:si>
  <x:si>
    <x:t xml:space="preserve">44</x:t>
  </x:si>
  <x:si>
    <x:t xml:space="preserve">5</x:t>
  </x:si>
  <x:si>
    <x:t xml:space="preserve">NVM_OS_ErrorlogOsWdgReset</x:t>
  </x:si>
  <x:si>
    <x:t xml:space="preserve">6</x:t>
  </x:si>
  <x:si>
    <x:t xml:space="preserve">NVM_OS_ErrorlogActiveReset</x:t>
  </x:si>
  <x:si>
    <x:t xml:space="preserve">7</x:t>
  </x:si>
  <x:si>
    <x:t xml:space="preserve">NVM_PMIC_DTC_ERROR</x:t>
  </x:si>
  <x:si>
    <x:t xml:space="preserve">40</x:t>
  </x:si>
  <x:si>
    <x:t xml:space="preserve">8</x:t>
  </x:si>
  <x:si>
    <x:t xml:space="preserve">CustDID_APPVersion</x:t>
  </x:si>
  <x:si>
    <x:t xml:space="preserve">诊断DID/车辆配置数据</x:t>
  </x:si>
  <x:si>
    <x:t xml:space="preserve">9</x:t>
  </x:si>
  <x:si>
    <x:t xml:space="preserve">CustDID_DisBetFrontandRear</x:t>
  </x:si>
  <x:si>
    <x:t xml:space="preserve">10</x:t>
  </x:si>
  <x:si>
    <x:t xml:space="preserve">CustDID_DisBetLeftandRight_0x126A</x:t>
  </x:si>
  <x:si>
    <x:t xml:space="preserve">11</x:t>
  </x:si>
  <x:si>
    <x:t xml:space="preserve">CustDID_ECUHWVersionNumber</x:t>
  </x:si>
  <x:si>
    <x:t xml:space="preserve">12</x:t>
  </x:si>
  <x:si>
    <x:t xml:space="preserve">CustDID_ECUSoftwareCode</x:t>
  </x:si>
  <x:si>
    <x:t xml:space="preserve">13</x:t>
  </x:si>
  <x:si>
    <x:t xml:space="preserve">CustDID_FBLVersion</x:t>
  </x:si>
  <x:si>
    <x:t xml:space="preserve">14</x:t>
  </x:si>
  <x:si>
    <x:t xml:space="preserve">CustDID_ProductionMode</x:t>
  </x:si>
  <x:si>
    <x:t xml:space="preserve">15</x:t>
  </x:si>
  <x:si>
    <x:t xml:space="preserve">NvMBlockDescriptor_ECUConfiguration</x:t>
  </x:si>
  <x:si>
    <x:t xml:space="preserve">16</x:t>
  </x:si>
  <x:si>
    <x:t xml:space="preserve">CustDID_TargetPosition_0x1266</x:t>
  </x:si>
  <x:si>
    <x:t xml:space="preserve">17</x:t>
  </x:si>
  <x:si>
    <x:t xml:space="preserve">CustDID_VIN</x:t>
  </x:si>
  <x:si>
    <x:t xml:space="preserve">18</x:t>
  </x:si>
  <x:si>
    <x:t xml:space="preserve">CustDID_VariantCoding</x:t>
  </x:si>
  <x:si>
    <x:t xml:space="preserve">19</x:t>
  </x:si>
  <x:si>
    <x:t xml:space="preserve">CustDID_WheelBase</x:t>
  </x:si>
  <x:si>
    <x:t xml:space="preserve">20</x:t>
  </x:si>
  <x:si>
    <x:t xml:space="preserve">NvM_PowerOn_Counter</x:t>
  </x:si>
  <x:si>
    <x:t xml:space="preserve">21</x:t>
  </x:si>
  <x:si>
    <x:t xml:space="preserve">NvM_RadarPosition_ETHOnly</x:t>
  </x:si>
  <x:si>
    <x:t xml:space="preserve">标定/雷达安装参数</x:t>
  </x:si>
  <x:si>
    <x:t xml:space="preserve">22</x:t>
  </x:si>
  <x:si>
    <x:t xml:space="preserve">Cust_SecurityAccesscounter</x:t>
  </x:si>
  <x:si>
    <x:t xml:space="preserve">诊断安全访问/安全数据</x:t>
  </x:si>
  <x:si>
    <x:t xml:space="preserve">23</x:t>
  </x:si>
  <x:si>
    <x:t xml:space="preserve">Dia_SecurityAccesscounter</x:t>
  </x:si>
  <x:si>
    <x:t xml:space="preserve">24</x:t>
  </x:si>
  <x:si>
    <x:t xml:space="preserve">ECUM_CFG_NVM_BLOCK</x:t>
  </x:si>
  <x:si>
    <x:t xml:space="preserve">启动/刷写状态</x:t>
  </x:si>
  <x:si>
    <x:t xml:space="preserve">25</x:t>
  </x:si>
  <x:si>
    <x:t xml:space="preserve">NVM_ADAS_HMISwitch</x:t>
  </x:si>
  <x:si>
    <x:t xml:space="preserve">26</x:t>
  </x:si>
  <x:si>
    <x:t xml:space="preserve">NVM_Calibration_EffStatus</x:t>
  </x:si>
  <x:si>
    <x:t xml:space="preserve">27</x:t>
  </x:si>
  <x:si>
    <x:t xml:space="preserve">NVM_Calibration_OnlineStatus</x:t>
  </x:si>
  <x:si>
    <x:t xml:space="preserve">30</x:t>
  </x:si>
  <x:si>
    <x:t xml:space="preserve">28</x:t>
  </x:si>
  <x:si>
    <x:t xml:space="preserve">NVM_Calibration_TriggerStatus</x:t>
  </x:si>
  <x:si>
    <x:t xml:space="preserve">29</x:t>
  </x:si>
  <x:si>
    <x:t xml:space="preserve">NVM_ID_DEM_EXTRA_INFO_0</x:t>
  </x:si>
  <x:si>
    <x:t xml:space="preserve">32</x:t>
  </x:si>
  <x:si>
    <x:t xml:space="preserve">诊断/故障事件存储</x:t>
  </x:si>
  <x:si>
    <x:t xml:space="preserve">NVM_ID_DEM_EXTRA_INFO_1</x:t>
  </x:si>
  <x:si>
    <x:t xml:space="preserve">31</x:t>
  </x:si>
  <x:si>
    <x:t xml:space="preserve">NVM_ID_DEM_EXTRA_INFO_10</x:t>
  </x:si>
  <x:si>
    <x:t xml:space="preserve">NVM_ID_DEM_EXTRA_INFO_11</x:t>
  </x:si>
  <x:si>
    <x:t xml:space="preserve">33</x:t>
  </x:si>
  <x:si>
    <x:t xml:space="preserve">NVM_ID_DEM_EXTRA_INFO_12</x:t>
  </x:si>
  <x:si>
    <x:t xml:space="preserve">34</x:t>
  </x:si>
  <x:si>
    <x:t xml:space="preserve">NVM_ID_DEM_EXTRA_INFO_13</x:t>
  </x:si>
  <x:si>
    <x:t xml:space="preserve">35</x:t>
  </x:si>
  <x:si>
    <x:t xml:space="preserve">NVM_ID_DEM_EXTRA_INFO_14</x:t>
  </x:si>
  <x:si>
    <x:t xml:space="preserve">36</x:t>
  </x:si>
  <x:si>
    <x:t xml:space="preserve">NVM_ID_DEM_EXTRA_INFO_15</x:t>
  </x:si>
  <x:si>
    <x:t xml:space="preserve">37</x:t>
  </x:si>
  <x:si>
    <x:t xml:space="preserve">NVM_ID_DEM_EXTRA_INFO_16</x:t>
  </x:si>
  <x:si>
    <x:t xml:space="preserve">38</x:t>
  </x:si>
  <x:si>
    <x:t xml:space="preserve">NVM_ID_DEM_EXTRA_INFO_17</x:t>
  </x:si>
  <x:si>
    <x:t xml:space="preserve">39</x:t>
  </x:si>
  <x:si>
    <x:t xml:space="preserve">NVM_ID_DEM_EXTRA_INFO_18</x:t>
  </x:si>
  <x:si>
    <x:t xml:space="preserve">NVM_ID_DEM_EXTRA_INFO_19</x:t>
  </x:si>
  <x:si>
    <x:t xml:space="preserve">41</x:t>
  </x:si>
  <x:si>
    <x:t xml:space="preserve">NVM_ID_DEM_EXTRA_INFO_2</x:t>
  </x:si>
  <x:si>
    <x:t xml:space="preserve">42</x:t>
  </x:si>
  <x:si>
    <x:t xml:space="preserve">NVM_ID_DEM_EXTRA_INFO_3</x:t>
  </x:si>
  <x:si>
    <x:t xml:space="preserve">43</x:t>
  </x:si>
  <x:si>
    <x:t xml:space="preserve">NVM_ID_DEM_EXTRA_INFO_4</x:t>
  </x:si>
  <x:si>
    <x:t xml:space="preserve">NVM_ID_DEM_EXTRA_INFO_5</x:t>
  </x:si>
  <x:si>
    <x:t xml:space="preserve">45</x:t>
  </x:si>
  <x:si>
    <x:t xml:space="preserve">NVM_ID_DEM_EXTRA_INFO_6</x:t>
  </x:si>
  <x:si>
    <x:t xml:space="preserve">46</x:t>
  </x:si>
  <x:si>
    <x:t xml:space="preserve">NVM_ID_DEM_EXTRA_INFO_7</x:t>
  </x:si>
  <x:si>
    <x:t xml:space="preserve">47</x:t>
  </x:si>
  <x:si>
    <x:t xml:space="preserve">NVM_ID_DEM_EXTRA_INFO_8</x:t>
  </x:si>
  <x:si>
    <x:t xml:space="preserve">48</x:t>
  </x:si>
  <x:si>
    <x:t xml:space="preserve">NVM_ID_DEM_EXTRA_INFO_9</x:t>
  </x:si>
  <x:si>
    <x:t xml:space="preserve">49</x:t>
  </x:si>
  <x:si>
    <x:t xml:space="preserve">NVM_ID_DEM_GENERIC_NV_DATA</x:t>
  </x:si>
  <x:si>
    <x:t xml:space="preserve">50</x:t>
  </x:si>
  <x:si>
    <x:t xml:space="preserve">NVM_ID_EVMEM_LOC_0</x:t>
  </x:si>
  <x:si>
    <x:t xml:space="preserve">51</x:t>
  </x:si>
  <x:si>
    <x:t xml:space="preserve">NVM_ID_EVMEM_LOC_1</x:t>
  </x:si>
  <x:si>
    <x:t xml:space="preserve">52</x:t>
  </x:si>
  <x:si>
    <x:t xml:space="preserve">NVM_ID_EVMEM_LOC_10</x:t>
  </x:si>
  <x:si>
    <x:t xml:space="preserve">53</x:t>
  </x:si>
  <x:si>
    <x:t xml:space="preserve">NVM_ID_EVMEM_LOC_11</x:t>
  </x:si>
  <x:si>
    <x:t xml:space="preserve">54</x:t>
  </x:si>
  <x:si>
    <x:t xml:space="preserve">NVM_ID_EVMEM_LOC_12</x:t>
  </x:si>
  <x:si>
    <x:t xml:space="preserve">55</x:t>
  </x:si>
  <x:si>
    <x:t xml:space="preserve">NVM_ID_EVMEM_LOC_13</x:t>
  </x:si>
  <x:si>
    <x:t xml:space="preserve">56</x:t>
  </x:si>
  <x:si>
    <x:t xml:space="preserve">NVM_ID_EVMEM_LOC_14</x:t>
  </x:si>
  <x:si>
    <x:t xml:space="preserve">57</x:t>
  </x:si>
  <x:si>
    <x:t xml:space="preserve">NVM_ID_EVMEM_LOC_15</x:t>
  </x:si>
  <x:si>
    <x:t xml:space="preserve">58</x:t>
  </x:si>
  <x:si>
    <x:t xml:space="preserve">NVM_ID_EVMEM_LOC_16</x:t>
  </x:si>
  <x:si>
    <x:t xml:space="preserve">59</x:t>
  </x:si>
  <x:si>
    <x:t xml:space="preserve">NVM_ID_EVMEM_LOC_17</x:t>
  </x:si>
  <x:si>
    <x:t xml:space="preserve">60</x:t>
  </x:si>
  <x:si>
    <x:t xml:space="preserve">NVM_ID_EVMEM_LOC_18</x:t>
  </x:si>
  <x:si>
    <x:t xml:space="preserve">61</x:t>
  </x:si>
  <x:si>
    <x:t xml:space="preserve">NVM_ID_EVMEM_LOC_19</x:t>
  </x:si>
  <x:si>
    <x:t xml:space="preserve">62</x:t>
  </x:si>
  <x:si>
    <x:t xml:space="preserve">NVM_ID_EVMEM_LOC_2</x:t>
  </x:si>
  <x:si>
    <x:t xml:space="preserve">63</x:t>
  </x:si>
  <x:si>
    <x:t xml:space="preserve">NVM_ID_EVMEM_LOC_20</x:t>
  </x:si>
  <x:si>
    <x:t xml:space="preserve">64</x:t>
  </x:si>
  <x:si>
    <x:t xml:space="preserve">NVM_ID_EVMEM_LOC_21</x:t>
  </x:si>
  <x:si>
    <x:t xml:space="preserve">65</x:t>
  </x:si>
  <x:si>
    <x:t xml:space="preserve">NVM_ID_EVMEM_LOC_22</x:t>
  </x:si>
  <x:si>
    <x:t xml:space="preserve">66</x:t>
  </x:si>
  <x:si>
    <x:t xml:space="preserve">NVM_ID_EVMEM_LOC_23</x:t>
  </x:si>
  <x:si>
    <x:t xml:space="preserve">67</x:t>
  </x:si>
  <x:si>
    <x:t xml:space="preserve">NVM_ID_EVMEM_LOC_24</x:t>
  </x:si>
  <x:si>
    <x:t xml:space="preserve">68</x:t>
  </x:si>
  <x:si>
    <x:t xml:space="preserve">NVM_ID_EVMEM_LOC_25</x:t>
  </x:si>
  <x:si>
    <x:t xml:space="preserve">69</x:t>
  </x:si>
  <x:si>
    <x:t xml:space="preserve">NVM_ID_EVMEM_LOC_26</x:t>
  </x:si>
  <x:si>
    <x:t xml:space="preserve">70</x:t>
  </x:si>
  <x:si>
    <x:t xml:space="preserve">NVM_ID_EVMEM_LOC_27</x:t>
  </x:si>
  <x:si>
    <x:t xml:space="preserve">71</x:t>
  </x:si>
  <x:si>
    <x:t xml:space="preserve">NVM_ID_EVMEM_LOC_28</x:t>
  </x:si>
  <x:si>
    <x:t xml:space="preserve">72</x:t>
  </x:si>
  <x:si>
    <x:t xml:space="preserve">NVM_ID_EVMEM_LOC_29</x:t>
  </x:si>
  <x:si>
    <x:t xml:space="preserve">73</x:t>
  </x:si>
  <x:si>
    <x:t xml:space="preserve">NVM_ID_EVMEM_LOC_3</x:t>
  </x:si>
  <x:si>
    <x:t xml:space="preserve">74</x:t>
  </x:si>
  <x:si>
    <x:t xml:space="preserve">NVM_ID_EVMEM_LOC_30</x:t>
  </x:si>
  <x:si>
    <x:t xml:space="preserve">75</x:t>
  </x:si>
  <x:si>
    <x:t xml:space="preserve">NVM_ID_EVMEM_LOC_31</x:t>
  </x:si>
  <x:si>
    <x:t xml:space="preserve">76</x:t>
  </x:si>
  <x:si>
    <x:t xml:space="preserve">NVM_ID_EVMEM_LOC_32</x:t>
  </x:si>
  <x:si>
    <x:t xml:space="preserve">77</x:t>
  </x:si>
  <x:si>
    <x:t xml:space="preserve">NVM_ID_EVMEM_LOC_33</x:t>
  </x:si>
  <x:si>
    <x:t xml:space="preserve">78</x:t>
  </x:si>
  <x:si>
    <x:t xml:space="preserve">NVM_ID_EVMEM_LOC_34</x:t>
  </x:si>
  <x:si>
    <x:t xml:space="preserve">79</x:t>
  </x:si>
  <x:si>
    <x:t xml:space="preserve">NVM_ID_EVMEM_LOC_35</x:t>
  </x:si>
  <x:si>
    <x:t xml:space="preserve">80</x:t>
  </x:si>
  <x:si>
    <x:t xml:space="preserve">NVM_ID_EVMEM_LOC_36</x:t>
  </x:si>
  <x:si>
    <x:t xml:space="preserve">81</x:t>
  </x:si>
  <x:si>
    <x:t xml:space="preserve">NVM_ID_EVMEM_LOC_37</x:t>
  </x:si>
  <x:si>
    <x:t xml:space="preserve">82</x:t>
  </x:si>
  <x:si>
    <x:t xml:space="preserve">NVM_ID_EVMEM_LOC_38</x:t>
  </x:si>
  <x:si>
    <x:t xml:space="preserve">83</x:t>
  </x:si>
  <x:si>
    <x:t xml:space="preserve">NVM_ID_EVMEM_LOC_39</x:t>
  </x:si>
  <x:si>
    <x:t xml:space="preserve">84</x:t>
  </x:si>
  <x:si>
    <x:t xml:space="preserve">NVM_ID_EVMEM_LOC_4</x:t>
  </x:si>
  <x:si>
    <x:t xml:space="preserve">85</x:t>
  </x:si>
  <x:si>
    <x:t xml:space="preserve">NVM_ID_EVMEM_LOC_5</x:t>
  </x:si>
  <x:si>
    <x:t xml:space="preserve">86</x:t>
  </x:si>
  <x:si>
    <x:t xml:space="preserve">NVM_ID_EVMEM_LOC_6</x:t>
  </x:si>
  <x:si>
    <x:t xml:space="preserve">87</x:t>
  </x:si>
  <x:si>
    <x:t xml:space="preserve">NVM_ID_EVMEM_LOC_7</x:t>
  </x:si>
  <x:si>
    <x:t xml:space="preserve">88</x:t>
  </x:si>
  <x:si>
    <x:t xml:space="preserve">NVM_ID_EVMEM_LOC_8</x:t>
  </x:si>
  <x:si>
    <x:t xml:space="preserve">89</x:t>
  </x:si>
  <x:si>
    <x:t xml:space="preserve">NVM_ID_EVMEM_LOC_9</x:t>
  </x:si>
  <x:si>
    <x:t xml:space="preserve">90</x:t>
  </x:si>
  <x:si>
    <x:t xml:space="preserve">NVM_ID_EVT_STATUSBYTE</x:t>
  </x:si>
  <x:si>
    <x:t xml:space="preserve">218</x:t>
  </x:si>
  <x:si>
    <x:t xml:space="preserve">91</x:t>
  </x:si>
  <x:si>
    <x:t xml:space="preserve">NVM_NM_ForceHibernationLatestSts</x:t>
  </x:si>
  <x:si>
    <x:t xml:space="preserve">92</x:t>
  </x:si>
  <x:si>
    <x:t xml:space="preserve">NvMBlockDescriptor_Application_Valid_Flag</x:t>
  </x:si>
  <x:si>
    <x:t xml:space="preserve">93</x:t>
  </x:si>
  <x:si>
    <x:t xml:space="preserve">NvMBlockDescriptor_Did_for_test_0x6666</x:t>
  </x:si>
  <x:si>
    <x:t xml:space="preserve">94</x:t>
  </x:si>
  <x:si>
    <x:t xml:space="preserve">NvMBlockDescriptor_Fingerprint_Data</x:t>
  </x:si>
  <x:si>
    <x:t xml:space="preserve">95</x:t>
  </x:si>
  <x:si>
    <x:t xml:space="preserve">NvMBlockDescriptor_Reprogramming_Request_Flag</x:t>
  </x:si>
  <x:si>
    <x:t xml:space="preserve">96</x:t>
  </x:si>
  <x:si>
    <x:t xml:space="preserve">NvMBlockDescriptor_ResetReason_Type</x:t>
  </x:si>
  <x:si>
    <x:t xml:space="preserve">97</x:t>
  </x:si>
  <x:si>
    <x:t xml:space="preserve">NvM_BLDDetStatus</x:t>
  </x:si>
  <x:si>
    <x:t xml:space="preserve">98</x:t>
  </x:si>
  <x:si>
    <x:t xml:space="preserve">NvM_Calibration_TargetPosition</x:t>
  </x:si>
  <x:si>
    <x:t xml:space="preserve">99</x:t>
  </x:si>
  <x:si>
    <x:t xml:space="preserve">NvM_EDR_Data1</x:t>
  </x:si>
  <x:si>
    <x:t xml:space="preserve">4900</x:t>
  </x:si>
  <x:si>
    <x:t xml:space="preserve">EDR数据</x:t>
  </x:si>
  <x:si>
    <x:t xml:space="preserve">100</x:t>
  </x:si>
  <x:si>
    <x:t xml:space="preserve">NvM_EDR_Data2</x:t>
  </x:si>
  <x:si>
    <x:t xml:space="preserve">101</x:t>
  </x:si>
  <x:si>
    <x:t xml:space="preserve">NvM_EDR_WRITE_FLAG</x:t>
  </x:si>
  <x:si>
    <x:t xml:space="preserve">102</x:t>
  </x:si>
  <x:si>
    <x:t xml:space="preserve">NvM_FaultMask_Info</x:t>
  </x:si>
  <x:si>
    <x:t xml:space="preserve">103</x:t>
  </x:si>
  <x:si>
    <x:t xml:space="preserve">NvM_PFDem_ErrorInfo</x:t>
  </x:si>
  <x:si>
    <x:t xml:space="preserve">512</x:t>
  </x:si>
  <x:si>
    <x:t xml:space="preserve">104</x:t>
  </x:si>
  <x:si>
    <x:t xml:space="preserve">NvM_Security_Key</x:t>
  </x:si>
  <x:si>
    <x:t xml:space="preserve">类型</x:t>
  </x:si>
  <x:si>
    <x:t xml:space="preserve">名称</x:t>
  </x:si>
  <x:si>
    <x:t xml:space="preserve">建议优先级</x:t>
  </x:si>
  <x:si>
    <x:t xml:space="preserve">Vector</x:t>
  </x:si>
  <x:si>
    <x:t xml:space="preserve">用途/备注</x:t>
  </x:si>
  <x:si>
    <x:t xml:space="preserve">Cat1</x:t>
  </x:si>
  <x:si>
    <x:t xml:space="preserve">OsTrap_DataAbort</x:t>
  </x:si>
  <x:si>
    <x:t xml:space="preserve">CPU Data abort</x:t>
  </x:si>
  <x:si>
    <x:t xml:space="preserve">异常Trap</x:t>
  </x:si>
  <x:si>
    <x:t xml:space="preserve">OsTrap_PrefetchAbort</x:t>
  </x:si>
  <x:si>
    <x:t xml:space="preserve">CPU Prefetch abort</x:t>
  </x:si>
  <x:si>
    <x:t xml:space="preserve">OsTrap_UndefInstruction</x:t>
  </x:si>
  <x:si>
    <x:t xml:space="preserve">CPU Undefined instruction</x:t>
  </x:si>
  <x:si>
    <x:t xml:space="preserve">Cat2</x:t>
  </x:si>
  <x:si>
    <x:t xml:space="preserve">Spi_IrqUnit0TxRx</x:t>
  </x:si>
  <x:si>
    <x:t xml:space="preserve">CPU0 MSS_SPIA_INT0</x:t>
  </x:si>
  <x:si>
    <x:t xml:space="preserve">SPI Unit0 Tx/Rx，用于LP87745 PMIC/SBC链路</x:t>
  </x:si>
  <x:si>
    <x:t xml:space="preserve">Gpt_Ch1Isr</x:t>
  </x:si>
  <x:si>
    <x:t xml:space="preserve">CPU0 MSS_RTIA_INT1</x:t>
  </x:si>
  <x:si>
    <x:t xml:space="preserve">GPT Ch1</x:t>
  </x:si>
  <x:si>
    <x:t xml:space="preserve">Can_0_Int0ISR</x:t>
  </x:si>
  <x:si>
    <x:t xml:space="preserve">CPU0 MSS_MCANA_INT0</x:t>
  </x:si>
  <x:si>
    <x:t xml:space="preserve">CAN0中断</x:t>
  </x:si>
  <x:si>
    <x:t xml:space="preserve">Can_1_Int0ISR</x:t>
  </x:si>
  <x:si>
    <x:t xml:space="preserve">CPU0 MSS_MCANB_INT0</x:t>
  </x:si>
  <x:si>
    <x:t xml:space="preserve">CAN1中断</x:t>
  </x:si>
  <x:si>
    <x:t xml:space="preserve">Cdd_MailBox2FullIsr</x:t>
  </x:si>
  <x:si>
    <x:t xml:space="preserve">CPU0 MSS_CR5A_MBOX_READ_REQ</x:t>
  </x:si>
  <x:si>
    <x:t xml:space="preserve">Mailbox/IPC，与协处理核交互</x:t>
  </x:si>
  <x:si>
    <x:t xml:space="preserve">DSS_TPCC_B_func</x:t>
  </x:si>
  <x:si>
    <x:t xml:space="preserve">CPU0 DSS_TPCC_B_INTAGG</x:t>
  </x:si>
  <x:si>
    <x:t xml:space="preserve">DSS eDMA/TPCC中断</x:t>
  </x:si>
  <x:si>
    <x:t xml:space="preserve">MSS_TPCC_A_func</x:t>
  </x:si>
  <x:si>
    <x:t xml:space="preserve">CPU0 MSS_TPCC_A_INTAGG</x:t>
  </x:si>
  <x:si>
    <x:t xml:space="preserve">MSS eDMA/TPCC中断</x:t>
  </x:si>
  <x:si>
    <x:t xml:space="preserve">OsIsr_CR5A_FPU</x:t>
  </x:si>
  <x:si>
    <x:t xml:space="preserve">CPU0 MSS_CR5A_FPU_INT</x:t>
  </x:si>
  <x:si>
    <x:t xml:space="preserve">FPU中断</x:t>
  </x:si>
  <x:si>
    <x:t xml:space="preserve">RSS_TPCC_A_func</x:t>
  </x:si>
  <x:si>
    <x:t xml:space="preserve">CPU0 RCSS_TPCC_A_INTAGG</x:t>
  </x:si>
  <x:si>
    <x:t xml:space="preserve">RSS eDMA/TPCC中断</x:t>
  </x:si>
  <x:si>
    <x:t xml:space="preserve">Gpt_Ch0Isr</x:t>
  </x:si>
  <x:si>
    <x:t xml:space="preserve">CPU0 MSS_RTIA_INT0</x:t>
  </x:si>
  <x:si>
    <x:t xml:space="preserve">GPT Ch0，系统Tick相关</x:t>
  </x:si>
  <x:si>
    <x:t xml:space="preserve">序号</x:t>
  </x:si>
  <x:si>
    <x:t xml:space="preserve">任务名称</x:t>
  </x:si>
  <x:si>
    <x:t xml:space="preserve">子任务</x:t>
  </x:si>
  <x:si>
    <x:t xml:space="preserve">负责人</x:t>
  </x:si>
  <x:si>
    <x:t xml:space="preserve">依赖物</x:t>
  </x:si>
  <x:si>
    <x:t xml:space="preserve">deadline</x:t>
  </x:si>
  <x:si>
    <x:t xml:space="preserve">开始日期</x:t>
  </x:si>
  <x:si>
    <x:t xml:space="preserve">结束日期</x:t>
  </x:si>
  <x:si>
    <x:t xml:space="preserve">状态</x:t>
  </x:si>
  <x:si>
    <x:t xml:space="preserve">完成%</x:t>
  </x:si>
  <x:si>
    <x:t xml:space="preserve">T1:快速跑通主链路</x:t>
  </x:si>
  <x:si>
    <x:t xml:space="preserve">满慎燕</x:t>
  </x:si>
  <x:si>
    <x:t xml:space="preserve">依赖</x:t>
  </x:si>
  <x:si>
    <x:t xml:space="preserve">依赖提供deadline</x:t>
  </x:si>
  <x:si>
    <x:t xml:space="preserve">需求解析</x:t>
  </x:si>
  <x:si>
    <x:t xml:space="preserve">首版对应需求：Can矩阵/Task表/MCAL需求/存储blocklist/诊断Dpt</x:t>
  </x:si>
  <x:si>
    <x:t xml:space="preserve">MCAL配置</x:t>
  </x:si>
  <x:si>
    <x:t xml:space="preserve">MCU/DIO/PORT/CAN/eDMA/IPC/FLS/Gpt</x:t>
  </x:si>
  <x:si>
    <x:t xml:space="preserve">环境搭建，系统BringUp</x:t>
  </x:si>
  <x:si>
    <x:t xml:space="preserve">客户提供CDD：SBC/TCAN 1043</x:t>
  </x:si>
  <x:si>
    <x:t xml:space="preserve">未开始</x:t>
  </x:si>
  <x:si>
    <x:t xml:space="preserve">NeuSAR CP配置</x:t>
  </x:si>
  <x:si>
    <x:t xml:space="preserve">OS配置：OS SC1</x:t>
  </x:si>
  <x:si>
    <x:t xml:space="preserve">Can通信配置：Com/PduR/CanIf/CanSM//ComM/CanTP/E2EXF/ComXF</x:t>
  </x:si>
  <x:si>
    <x:t xml:space="preserve">系统服务配置：EcuM/BswM</x:t>
  </x:si>
  <x:si>
    <x:t xml:space="preserve">目前暂无其他需求，配合SBC能正常启动即可</x:t>
  </x:si>
  <x:si>
    <x:t xml:space="preserve">存储基本功能配置:NvM/MemIf/Fee </x:t>
  </x:si>
  <x:si>
    <x:t xml:space="preserve">存储需求：block列表</x:t>
  </x:si>
  <x:si>
    <x:t xml:space="preserve">诊断基础服务配置:DCM/DEM/FiM</x:t>
  </x:si>
  <x:si>
    <x:t xml:space="preserve">诊断Dpt需求</x:t>
  </x:si>
  <x:si>
    <x:t xml:space="preserve">Bsw集成</x:t>
  </x:si>
  <x:si>
    <x:t xml:space="preserve">CP+MCAL+CDD集成版本，供功能调试</x:t>
  </x:si>
  <x:si>
    <x:t xml:space="preserve">功能联调</x:t>
  </x:si>
  <x:si>
    <x:t xml:space="preserve">Task/中断正确调度</x:t>
  </x:si>
  <x:si>
    <x:t xml:space="preserve">与MCAL及CAN驱动集成，CAN通信正常。</x:t>
  </x:si>
  <x:si>
    <x:t xml:space="preserve">存储基本读写功能正常</x:t>
  </x:si>
  <x:si>
    <x:t xml:space="preserve">诊断基本服务通信正常</x:t>
  </x:si>
  <x:si>
    <x:t xml:space="preserve">Can通信正常</x:t>
  </x:si>
  <x:si>
    <x:t xml:space="preserve">与SBC联调，实现系统上下电、状态机、通信状态管理等功能</x:t>
  </x:si>
  <x:si>
    <x:t xml:space="preserve">客户提供SBC</x:t>
  </x:si>
  <x:si>
    <x:t xml:space="preserve">版本交付</x:t>
  </x:si>
  <x:si>
    <x:t xml:space="preserve">NeuSAR配置工程/MCAL配置工程/集成编译工程</x:t>
  </x:si>
  <x:si>
    <x:t xml:space="preserve">FLS/DIO/PORT/SPI/UART/ADC</x:t>
  </x:si>
  <x:si>
    <x:t xml:space="preserve">OS配置：OS SC2</x:t>
  </x:si>
  <x:si>
    <x:t xml:space="preserve">存储协议栈完整配置:NvM/MemIf/Fee </x:t>
  </x:si>
  <x:si>
    <x:t xml:space="preserve">诊断协议栈完整配置:DCM/DEM/FiM</x:t>
  </x:si>
  <x:si>
    <x:t xml:space="preserve">RTE配置</x:t>
  </x:si>
  <x:si>
    <x:t xml:space="preserve">客户接口信息（QA No.7）</x:t>
  </x:si>
  <x:si>
    <x:t xml:space="preserve">时钟同步配置：StbM/CanTsync</x:t>
  </x:si>
  <x:si>
    <x:t xml:space="preserve">时钟同步系统方案（QA No.14）</x:t>
  </x:si>
  <x:si>
    <x:t xml:space="preserve">看门狗配置：WdgM/WdgIf</x:t>
  </x:si>
  <x:si>
    <x:t xml:space="preserve">标定配置：XCP On Can</x:t>
  </x:si>
  <x:si>
    <x:t xml:space="preserve">时间保护功能生效</x:t>
  </x:si>
  <x:si>
    <x:t xml:space="preserve">存储读写功能正常</x:t>
  </x:si>
  <x:si>
    <x:t xml:space="preserve">诊断服务收发正常，故障上报正常</x:t>
  </x:si>
  <x:si>
    <x:t xml:space="preserve">与ASW联调接口对应功能</x:t>
  </x:si>
  <x:si>
    <x:t xml:space="preserve">时钟同步功能正常</x:t>
  </x:si>
  <x:si>
    <x:t xml:space="preserve">看门狗监视功能正常</x:t>
  </x:si>
  <x:si>
    <x:t xml:space="preserve">可实施XCP Ram变量标定</x:t>
  </x:si>
  <x:si>
    <x:t xml:space="preserve">全功能自测+自测报告</x:t>
  </x:si>
  <x:si>
    <x:t xml:space="preserve">全功能自测用例编写+自测实施</x:t>
  </x:si>
  <x:si>
    <x:t xml:space="preserve">NeuSAR配置工程/MCAL配置工程/集成编译工程/全功能自测报告</x:t>
  </x:si>
  <x:si>
    <x:t xml:space="preserve">Bootloader开发</x:t>
  </x:si>
  <x:si>
    <x:t xml:space="preserve">贺寅</x:t>
  </x:si>
</x:sst>
</file>

<file path=xl/styles.xml><?xml version="1.0" encoding="utf-8"?>
<x:styleSheet xmlns:x="http://schemas.openxmlformats.org/spreadsheetml/2006/main">
  <x:numFmts count="7">
    <x:numFmt numFmtId="164" formatCode="yyyy/m/d;@"/>
    <x:numFmt numFmtId="165" formatCode="yyyy/m/d"/>
    <x:numFmt numFmtId="166" formatCode="General"/>
    <x:numFmt numFmtId="167" formatCode="General"/>
    <x:numFmt numFmtId="168" formatCode="yyyy/m/d"/>
    <x:numFmt numFmtId="169" formatCode="0%"/>
    <x:numFmt numFmtId="200" formatCode="0"/>
  </x:numFmts>
  <x:fonts count="39">
    <x:font>
      <x:sz val="12"/>
      <x:color theme="1"/>
      <x:name val="Calibri"/>
    </x:font>
    <x:font>
      <x:sz val="10"/>
      <x:color rgb="FF000000"/>
      <x:name val="Calibri"/>
    </x:font>
    <x:font>
      <x:b/>
      <x:sz val="12"/>
      <x:color rgb="FF000000"/>
      <x:name val="等线"/>
    </x:font>
    <x:font>
      <x:sz val="12"/>
      <x:color rgb="FF000000"/>
      <x:name val="宋体"/>
    </x:font>
    <x:font>
      <x:sz val="12"/>
      <x:color rgb="FF000000"/>
      <x:name val="等线"/>
    </x:font>
    <x:font>
      <x:sz val="12"/>
      <x:color rgb="FF000000"/>
      <x:name val="宋体"/>
    </x:font>
    <x:font>
      <x:b/>
      <x:sz val="12"/>
      <x:color rgb="FFF54A45"/>
      <x:name val="宋体"/>
    </x:font>
    <x:font>
      <x:sz val="12"/>
      <x:color rgb="FFF54A45"/>
      <x:name val="宋体"/>
    </x:font>
    <x:font>
      <x:b/>
      <x:sz val="12"/>
      <x:color rgb="FF000000"/>
      <x:name val="等线"/>
    </x:font>
    <x:font>
      <x:b/>
      <x:sz val="12"/>
      <x:color rgb="FF000000"/>
      <x:name val="宋体"/>
    </x:font>
    <x:font>
      <x:sz val="10"/>
      <x:color rgb="FF000000"/>
      <x:name val="Calibri"/>
    </x:font>
    <x:font>
      <x:b/>
      <x:sz val="20"/>
      <x:color rgb="FFFFFFFF"/>
      <x:name val="宋体"/>
    </x:font>
    <x:font>
      <x:sz val="11"/>
      <x:color rgb="FF000000"/>
      <x:name val="宋体"/>
    </x:font>
    <x:font>
      <x:b/>
      <x:sz val="6"/>
      <x:color rgb="FFFFFFFF"/>
      <x:name val="宋体"/>
    </x:font>
    <x:font>
      <x:sz val="6"/>
      <x:color rgb="FFFFFFFF"/>
      <x:name val="宋体"/>
    </x:font>
    <x:font>
      <x:b/>
      <x:sz val="14"/>
      <x:color rgb="FFFFFFFF"/>
      <x:name val="宋体"/>
    </x:font>
    <x:font>
      <x:sz val="14"/>
      <x:color rgb="FF000000"/>
      <x:name val="宋体"/>
    </x:font>
    <x:font>
      <x:b/>
      <x:sz val="14"/>
      <x:color rgb="FFFF0000"/>
      <x:name val="宋体"/>
    </x:font>
    <x:font>
      <x:sz val="16"/>
      <x:color rgb="FFFFFFFF"/>
      <x:name val="宋体"/>
    </x:font>
    <x:font>
      <x:b/>
      <x:sz val="11"/>
      <x:color rgb="FF3F3F3F"/>
      <x:name val="宋体"/>
    </x:font>
    <x:font>
      <x:b/>
      <x:sz val="11"/>
      <x:color rgb="FFFF0000"/>
      <x:name val="宋体"/>
    </x:font>
    <x:font>
      <x:b/>
      <x:sz val="11"/>
      <x:color rgb="FFBFBFBF"/>
      <x:name val="宋体"/>
    </x:font>
    <x:font>
      <x:sz val="11"/>
      <x:color rgb="FF000000"/>
      <x:name val="宋体"/>
    </x:font>
    <x:font>
      <x:b/>
      <x:sz val="12"/>
      <x:color rgb="FF000000"/>
      <x:name val="Calibri"/>
    </x:font>
    <x:font>
      <x:sz val="10"/>
      <x:color rgb="FF000000"/>
      <x:name val="Calibri"/>
    </x:font>
    <x:font>
      <x:sz val="10"/>
      <x:color rgb="FF000000"/>
      <x:name val="等线"/>
    </x:font>
    <x:font>
      <x:b/>
      <x:sz val="12"/>
      <x:color rgb="FF000000"/>
      <x:name val="微软雅黑"/>
    </x:font>
    <x:font>
      <x:b/>
      <x:sz val="11"/>
      <x:color rgb="FFFFFFFF"/>
      <x:name val="宋体"/>
    </x:font>
    <x:font>
      <x:b/>
      <x:sz val="11"/>
      <x:color rgb="FF373C43"/>
      <x:name val="宋体"/>
    </x:font>
    <x:font>
      <x:sz val="11"/>
      <x:color rgb="FF373C43"/>
      <x:name val="宋体"/>
    </x:font>
    <x:font>
      <x:sz val="11"/>
      <x:color rgb="FFFF0000"/>
      <x:name val="宋体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sz val="9"/>
      <x:color rgb="FF1F2937"/>
      <x:name val="Calibri"/>
    </x:font>
    <x:font>
      <x:b/>
      <x:sz val="10"/>
      <x:color rgb="FFFFFFFF"/>
      <x:name val="Calibri"/>
    </x:font>
    <x:font>
      <x:b/>
      <x:sz val="12"/>
      <x:color rgb="FF1F2937"/>
      <x:name val="Calibri"/>
    </x:font>
    <x:font>
      <x:b/>
      <x:sz val="11"/>
      <x:color rgb="FF1F2937"/>
      <x:name val="Calibri"/>
    </x:font>
    <x:font>
      <x:b/>
      <x:sz val="12"/>
      <x:color rgb="FFFFFFFF"/>
      <x:name val="Calibri"/>
    </x:font>
    <x:font>
      <x:sz val="12"/>
      <x:color rgb="FF1F2937"/>
      <x:name val="Calibri"/>
    </x:font>
  </x:fonts>
  <x:fills count="24">
    <x:fill>
      <x:patternFill patternType="solid"/>
    </x:fill>
    <x:fill>
      <x:patternFill patternType="gray125"/>
    </x:fill>
    <x:fill>
      <x:patternFill patternType="solid">
        <x:fgColor rgb="FF8F959E"/>
      </x:patternFill>
    </x:fill>
    <x:fill>
      <x:patternFill patternType="solid">
        <x:fgColor rgb="FFB5C7EA"/>
      </x:patternFill>
    </x:fill>
    <x:fill>
      <x:patternFill patternType="solid">
        <x:fgColor rgb="FF002060"/>
      </x:patternFill>
    </x:fill>
    <x:fill>
      <x:patternFill patternType="solid">
        <x:fgColor rgb="FF006699"/>
      </x:patternFill>
    </x:fill>
    <x:fill>
      <x:patternFill patternType="solid">
        <x:fgColor rgb="FFFFFF00"/>
      </x:patternFill>
    </x:fill>
    <x:fill>
      <x:patternFill patternType="solid">
        <x:fgColor rgb="FF002060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  <x:fill>
      <x:patternFill patternType="solid">
        <x:fgColor rgb="FF002060"/>
      </x:patternFill>
    </x:fill>
    <x:fill>
      <x:patternFill patternType="solid">
        <x:fgColor rgb="FFFFFF00"/>
      </x:patternFill>
    </x:fill>
    <x:fill>
      <x:patternFill patternType="solid">
        <x:fgColor rgb="FF373C43"/>
      </x:patternFill>
    </x:fill>
    <x:fill>
      <x:patternFill patternType="solid">
        <x:fgColor rgb="FFDEE0E3"/>
      </x:patternFill>
    </x:fill>
    <x:fill>
      <x:patternFill patternType="solid">
        <x:fgColor rgb="FFF9F9F9"/>
      </x:patternFill>
    </x:fill>
    <x:fill>
      <x:patternFill patternType="solid">
        <x:fgColor rgb="FFD9F5D6"/>
      </x:patternFill>
    </x:fill>
    <x:fill>
      <x:patternFill patternType="solid">
        <x:fgColor rgb="FFD9F5D6"/>
      </x:patternFill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4E3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2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000000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2">
    <x:xf numFmtId="0" fontId="0" fillId="0" borderId="0" applyNumberFormat="0" applyFont="0" applyFill="0" applyBorder="0" applyAlignment="1" applyProtection="0"/>
    <x:xf numFmtId="0" fontId="19" fillId="8" borderId="11" applyNumberFormat="1" applyFont="1" applyFill="1" applyBorder="1" applyAlignment="1" applyProtection="1">
      <x:alignment vertical="center"/>
    </x:xf>
  </x:cellStyleXfs>
  <x:cellXfs count="191">
    <x:xf numFmtId="0" fontId="0" fillId="0" borderId="0" xfId="0" applyNumberFormat="0" applyFont="0" applyFill="0" applyBorder="0" applyAlignment="0">
      <x:alignment vertical="center"/>
    </x:xf>
    <x:xf numFmtId="0" fontId="2" fillId="2" borderId="1" xfId="0" applyNumberFormat="0" applyFont="1" applyFill="1" applyBorder="0" applyAlignment="1">
      <x:alignment horizontal="center" vertical="center"/>
    </x:xf>
    <x:xf numFmtId="0" fontId="2" fillId="2" borderId="1" xfId="0" applyNumberFormat="0" applyFont="1" applyFill="1" applyBorder="0" applyAlignment="1">
      <x:alignment horizontal="center" vertical="center" wrapText="1"/>
    </x:xf>
    <x:xf numFmtId="164" fontId="2" fillId="2" borderId="1" xfId="0" applyNumberFormat="1" applyFont="1" applyFill="1" applyBorder="0" applyAlignment="1">
      <x:alignment horizontal="center" vertical="center"/>
    </x:xf>
    <x:xf numFmtId="0" fontId="2" fillId="3" borderId="1" xfId="0" applyNumberFormat="0" applyFont="1" applyFill="1" applyBorder="0" applyAlignment="1">
      <x:alignment horizontal="center" vertical="center" wrapText="1"/>
    </x:xf>
    <x:xf numFmtId="165" fontId="2" fillId="3" borderId="1" xfId="0" applyNumberFormat="1" applyFont="1" applyFill="1" applyBorder="0" applyAlignment="1">
      <x:alignment horizontal="center" vertical="center"/>
    </x:xf>
    <x:xf numFmtId="0" fontId="2" fillId="3" borderId="1" xfId="0" applyNumberFormat="0" applyFont="1" applyFill="1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vertical="center" wrapText="1"/>
    </x:xf>
    <x:xf numFmtId="0" fontId="3" fillId="0" borderId="2" xfId="0" applyNumberFormat="0" applyFont="1" applyFill="0" applyBorder="0" applyAlignment="1">
      <x:alignment vertical="center"/>
    </x:xf>
    <x:xf numFmtId="165" fontId="3" fillId="0" borderId="2" xfId="0" applyNumberFormat="1" applyFont="1" applyFill="0" applyBorder="0" applyAlignment="1">
      <x:alignment horizontal="center" vertical="center"/>
    </x:xf>
    <x:xf numFmtId="164" fontId="4" fillId="0" borderId="2" xfId="0" applyNumberFormat="1" applyFont="1" applyFill="0" applyBorder="0" applyAlignment="1">
      <x:alignment horizontal="left" vertical="center" wrapText="1"/>
    </x:xf>
    <x:xf numFmtId="165" fontId="5" fillId="0" borderId="1" xfId="0" applyNumberFormat="1" applyFont="1" applyFill="0" applyBorder="0" applyAlignment="1">
      <x:alignment vertical="center"/>
    </x:xf>
    <x:xf numFmtId="0" fontId="5" fillId="0" borderId="1" xfId="0" applyNumberFormat="0" applyFont="1" applyFill="0" applyBorder="0" applyAlignment="1">
      <x:alignment vertical="center"/>
    </x:xf>
    <x:xf numFmtId="0" fontId="3" fillId="0" borderId="2" xfId="0" applyNumberFormat="0" applyFont="1" applyFill="0" applyBorder="0" applyAlignment="1">
      <x:alignment vertical="top" wrapText="1"/>
    </x:xf>
    <x:xf numFmtId="0" fontId="5" fillId="0" borderId="1" xfId="0" applyNumberFormat="0" applyFont="1" applyFill="0" applyBorder="0" applyAlignment="1">
      <x:alignment vertical="center" wrapText="1"/>
    </x:xf>
    <x:xf numFmtId="0" fontId="4" fillId="0" borderId="2" xfId="0" applyNumberFormat="0" applyFont="1" applyFill="0" applyBorder="0" applyAlignment="1">
      <x:alignment horizontal="left" vertical="center" wrapText="1"/>
    </x:xf>
    <x:xf numFmtId="0" fontId="3" fillId="0" borderId="2" xfId="0" applyNumberFormat="0" applyFont="1" applyFill="0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vertical="center" wrapText="1"/>
    </x:xf>
    <x:xf numFmtId="0" fontId="3" fillId="0" borderId="2" xfId="0" applyNumberFormat="0" applyFont="1" applyFill="0" applyBorder="0" applyAlignment="1">
      <x:alignment vertical="center"/>
    </x:xf>
    <x:xf numFmtId="0" fontId="4" fillId="0" borderId="2" xfId="0" applyNumberFormat="0" applyFont="1" applyFill="0" applyBorder="0" applyAlignment="1">
      <x:alignment horizontal="left" vertical="center" wrapText="1"/>
    </x:xf>
    <x:xf numFmtId="0" fontId="5" fillId="0" borderId="1" xfId="0" applyNumberFormat="0" applyFont="1" applyFill="0" applyBorder="0" applyAlignment="1">
      <x:alignment vertical="top" wrapText="1"/>
    </x:xf>
    <x:xf numFmtId="0" fontId="5" fillId="0" borderId="1" xfId="0" applyNumberFormat="0" applyFont="1" applyFill="0" applyBorder="0" applyAlignment="1">
      <x:alignment horizontal="center" vertical="center"/>
    </x:xf>
    <x:xf numFmtId="165" fontId="5" fillId="0" borderId="1" xfId="0" applyNumberFormat="1" applyFont="1" applyFill="0" applyBorder="0" applyAlignment="1">
      <x:alignment horizontal="center" vertical="center"/>
    </x:xf>
    <x:xf numFmtId="165" fontId="3" fillId="0" borderId="2" xfId="0" applyNumberFormat="1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vertical="center" wrapText="1"/>
    </x:xf>
    <x:xf numFmtId="0" fontId="5" fillId="0" borderId="1" xfId="0" applyNumberFormat="0" applyFont="1" applyFill="0" applyBorder="0" applyAlignment="1">
      <x:alignment vertical="center"/>
    </x:xf>
    <x:xf numFmtId="165" fontId="5" fillId="0" borderId="1" xfId="0" applyNumberFormat="1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vertical="center" wrapText="1"/>
    </x:xf>
    <x:xf numFmtId="0" fontId="5" fillId="0" borderId="1" xfId="0" applyNumberFormat="0" applyFont="1" applyFill="0" applyBorder="0" applyAlignment="1">
      <x:alignment vertical="center"/>
    </x:xf>
    <x:xf numFmtId="0" fontId="10" fillId="0" borderId="0" xfId="0" applyNumberFormat="0" applyFont="1" applyFill="0" applyBorder="0" applyAlignment="1">
      <x:alignment horizontal="center" vertical="center"/>
    </x:xf>
    <x:xf numFmtId="0" fontId="10" fillId="0" borderId="0" xfId="0" applyNumberFormat="0" applyFont="1" applyFill="0" applyBorder="0" applyAlignment="1">
      <x:alignment vertical="center" wrapText="1"/>
    </x:xf>
    <x:xf numFmtId="165" fontId="10" fillId="0" borderId="0" xfId="0" applyNumberFormat="1" applyFont="1" applyFill="0" applyBorder="0" applyAlignment="1">
      <x:alignment vertical="center"/>
    </x:xf>
    <x:xf numFmtId="0" fontId="11" fillId="4" borderId="0" xfId="0" applyNumberFormat="0" applyFont="1" applyFill="1" applyBorder="0" applyAlignment="1">
      <x:alignment horizontal="left" vertical="center"/>
    </x:xf>
    <x:xf numFmtId="0" fontId="12" fillId="0" borderId="0" xfId="0" applyNumberFormat="0" applyFont="1" applyFill="0" applyBorder="0" applyAlignment="1">
      <x:alignment horizontal="left" vertical="center"/>
    </x:xf>
    <x:xf numFmtId="0" fontId="13" fillId="0" borderId="0" xfId="0" applyNumberFormat="0" applyFont="1" applyFill="0" applyBorder="0" applyAlignment="1">
      <x:alignment vertical="center"/>
    </x:xf>
    <x:xf numFmtId="0" fontId="14" fillId="0" borderId="0" xfId="0" applyNumberFormat="0" applyFont="1" applyFill="0" applyBorder="0" applyAlignment="1">
      <x:alignment vertical="center"/>
    </x:xf>
    <x:xf numFmtId="0" fontId="15" fillId="5" borderId="3" xfId="0" applyNumberFormat="0" applyFont="1" applyFill="1" applyBorder="0" applyAlignment="1">
      <x:alignment horizontal="left" vertical="center" wrapText="1"/>
    </x:xf>
    <x:xf numFmtId="0" fontId="16" fillId="0" borderId="4" xfId="0" applyNumberFormat="0" applyFont="1" applyFill="0" applyBorder="0" applyAlignment="1">
      <x:alignment vertical="center" wrapText="1"/>
    </x:xf>
    <x:xf numFmtId="0" fontId="16" fillId="0" borderId="5" xfId="0" applyNumberFormat="0" applyFont="1" applyFill="0" applyBorder="0" applyAlignment="1">
      <x:alignment vertical="center" wrapText="1"/>
    </x:xf>
    <x:xf numFmtId="0" fontId="16" fillId="0" borderId="4" xfId="0" applyNumberFormat="0" applyFont="1" applyFill="0" applyBorder="0" applyAlignment="1">
      <x:alignment vertical="center" wrapText="1"/>
    </x:xf>
    <x:xf numFmtId="0" fontId="16" fillId="6" borderId="4" xfId="0" applyNumberFormat="0" applyFont="1" applyFill="1" applyBorder="0" applyAlignment="1">
      <x:alignment vertical="center" wrapText="1"/>
    </x:xf>
    <x:xf numFmtId="0" fontId="16" fillId="6" borderId="5" xfId="0" applyNumberFormat="0" applyFont="1" applyFill="1" applyBorder="0" applyAlignment="1">
      <x:alignment vertical="center" wrapText="1"/>
    </x:xf>
    <x:xf numFmtId="0" fontId="16" fillId="0" borderId="6" xfId="0" applyNumberFormat="0" applyFont="1" applyFill="0" applyBorder="0" applyAlignment="1">
      <x:alignment vertical="center"/>
    </x:xf>
    <x:xf numFmtId="0" fontId="16" fillId="0" borderId="6" xfId="0" applyNumberFormat="0" applyFont="1" applyFill="0" applyBorder="0" applyAlignment="1">
      <x:alignment horizontal="left" vertical="center"/>
    </x:xf>
    <x:xf numFmtId="0" fontId="16" fillId="0" borderId="6" xfId="0" applyNumberFormat="0" applyFont="1" applyFill="0" applyBorder="0" applyAlignment="1">
      <x:alignment horizontal="right" vertical="center"/>
    </x:xf>
    <x:xf numFmtId="0" fontId="17" fillId="6" borderId="6" xfId="0" applyNumberFormat="0" applyFont="1" applyFill="1" applyBorder="0" applyAlignment="1">
      <x:alignment vertical="center"/>
    </x:xf>
    <x:xf numFmtId="0" fontId="16" fillId="0" borderId="4" xfId="0" applyNumberFormat="0" applyFont="1" applyFill="0" applyBorder="0" applyAlignment="1">
      <x:alignment vertical="center"/>
    </x:xf>
    <x:xf numFmtId="0" fontId="15" fillId="5" borderId="7" xfId="0" applyNumberFormat="0" applyFont="1" applyFill="1" applyBorder="0" applyAlignment="1">
      <x:alignment horizontal="left" vertical="center" wrapText="1"/>
    </x:xf>
    <x:xf numFmtId="0" fontId="12" fillId="0" borderId="8" xfId="0" applyNumberFormat="0" applyFont="1" applyFill="0" applyBorder="0" applyAlignment="1">
      <x:alignment horizontal="left" vertical="center" wrapText="1"/>
    </x:xf>
    <x:xf numFmtId="0" fontId="12" fillId="0" borderId="9" xfId="0" applyNumberFormat="0" applyFont="1" applyFill="0" applyBorder="0" applyAlignment="1">
      <x:alignment horizontal="left" vertical="center" wrapText="1"/>
    </x:xf>
    <x:xf numFmtId="0" fontId="16" fillId="0" borderId="6" xfId="0" applyNumberFormat="0" applyFont="1" applyFill="0" applyBorder="0" applyAlignment="1">
      <x:alignment vertical="center" wrapText="1"/>
    </x:xf>
    <x:xf numFmtId="0" fontId="15" fillId="5" borderId="10" xfId="0" applyNumberFormat="0" applyFont="1" applyFill="1" applyBorder="0" applyAlignment="1">
      <x:alignment horizontal="left" vertical="center" wrapText="1"/>
    </x:xf>
    <x:xf numFmtId="0" fontId="11" fillId="7" borderId="0" xfId="0" applyNumberFormat="0" applyFont="1" applyFill="1" applyBorder="0" applyAlignment="1">
      <x:alignment horizontal="left" vertical="center"/>
    </x:xf>
    <x:xf numFmtId="0" fontId="18" fillId="7" borderId="0" xfId="0" applyNumberFormat="0" applyFont="1" applyFill="1" applyBorder="0" applyAlignment="1">
      <x:alignment vertical="center"/>
    </x:xf>
    <x:xf numFmtId="0" fontId="12" fillId="0" borderId="0" xfId="0" applyNumberFormat="0" applyFont="1" applyFill="0" applyBorder="0" applyAlignment="1">
      <x:alignment vertical="center"/>
    </x:xf>
    <x:xf numFmtId="0" fontId="15" fillId="7" borderId="0" xfId="0" applyNumberFormat="0" applyFont="1" applyFill="1" applyBorder="0" applyAlignment="1">
      <x:alignment horizontal="center" vertical="center"/>
    </x:xf>
    <x:xf numFmtId="0" fontId="19" fillId="8" borderId="11" xfId="1" applyNumberFormat="0" applyFont="0" applyFill="0" applyBorder="0" applyAlignment="0">
      <x:alignment horizontal="left" vertical="center" wrapText="1"/>
    </x:xf>
    <x:xf numFmtId="0" fontId="19" fillId="8" borderId="11" xfId="1" applyNumberFormat="0" applyFont="0" applyFill="0" applyBorder="0" applyAlignment="0">
      <x:alignment horizontal="center" vertical="center" wrapText="1"/>
    </x:xf>
    <x:xf numFmtId="0" fontId="19" fillId="9" borderId="11" xfId="1" applyNumberFormat="0" applyFont="0" applyFill="0" applyBorder="0" applyAlignment="0">
      <x:alignment horizontal="center" vertical="center" wrapText="1"/>
    </x:xf>
    <x:xf numFmtId="0" fontId="12" fillId="0" borderId="0" xfId="0" applyNumberFormat="0" applyFont="1" applyFill="0" applyBorder="0" applyAlignment="1">
      <x:alignment vertical="center"/>
    </x:xf>
    <x:xf numFmtId="0" fontId="19" fillId="9" borderId="11" xfId="1" applyNumberFormat="0" applyFont="0" applyFill="0" applyBorder="0" applyAlignment="0">
      <x:alignment horizontal="left" vertical="center" wrapText="1"/>
    </x:xf>
    <x:xf numFmtId="0" fontId="21" fillId="8" borderId="11" xfId="1" applyNumberFormat="0" applyFont="0" applyFill="0" applyBorder="0" applyAlignment="0">
      <x:alignment horizontal="left" vertical="center" wrapText="1"/>
    </x:xf>
    <x:xf numFmtId="0" fontId="21" fillId="8" borderId="11" xfId="1" applyNumberFormat="0" applyFont="0" applyFill="0" applyBorder="0" applyAlignment="0">
      <x:alignment horizontal="center" vertical="center" wrapText="1"/>
    </x:xf>
    <x:xf numFmtId="0" fontId="21" fillId="9" borderId="11" xfId="1" applyNumberFormat="0" applyFont="0" applyFill="0" applyBorder="0" applyAlignment="0">
      <x:alignment horizontal="center" vertical="center" wrapText="1"/>
    </x:xf>
    <x:xf numFmtId="0" fontId="20" fillId="8" borderId="11" xfId="1" applyNumberFormat="0" applyFont="0" applyFill="0" applyBorder="0" applyAlignment="0">
      <x:alignment horizontal="left" vertical="center" wrapText="1"/>
    </x:xf>
    <x:xf numFmtId="0" fontId="19" fillId="8" borderId="11" xfId="1" applyNumberFormat="0" applyFont="0" applyFill="0" applyBorder="0" applyAlignment="0">
      <x:alignment horizontal="left" vertical="center" wrapText="1"/>
    </x:xf>
    <x:xf numFmtId="0" fontId="12" fillId="0" borderId="0" xfId="0" applyNumberFormat="0" applyFont="1" applyFill="0" applyBorder="0" applyAlignment="1">
      <x:alignment vertical="center"/>
    </x:xf>
    <x:xf numFmtId="0" fontId="15" fillId="10" borderId="12" xfId="0" applyNumberFormat="0" applyFont="1" applyFill="1" applyBorder="0" applyAlignment="1">
      <x:alignment horizontal="left" vertical="center"/>
    </x:xf>
    <x:xf numFmtId="0" fontId="12" fillId="0" borderId="12" xfId="0" applyNumberFormat="0" applyFont="1" applyFill="0" applyBorder="0" applyAlignment="1">
      <x:alignment vertical="center"/>
    </x:xf>
    <x:xf numFmtId="0" fontId="12" fillId="0" borderId="12" xfId="0" applyNumberFormat="0" applyFont="1" applyFill="0" applyBorder="0" applyAlignment="1">
      <x:alignment vertical="center" wrapText="1"/>
    </x:xf>
    <x:xf numFmtId="0" fontId="12" fillId="0" borderId="12" xfId="0" applyNumberFormat="0" applyFont="1" applyFill="0" applyBorder="0" applyAlignment="1">
      <x:alignment horizontal="center" vertical="center"/>
    </x:xf>
    <x:xf numFmtId="0" fontId="12" fillId="0" borderId="12" xfId="0" applyNumberFormat="0" applyFont="1" applyFill="0" applyBorder="0" applyAlignment="1">
      <x:alignment horizontal="center" vertical="center" wrapText="1"/>
    </x:xf>
    <x:xf numFmtId="0" fontId="12" fillId="11" borderId="12" xfId="0" applyNumberFormat="0" applyFont="1" applyFill="1" applyBorder="0" applyAlignment="1">
      <x:alignment vertical="center"/>
    </x:xf>
    <x:xf numFmtId="0" fontId="12" fillId="11" borderId="12" xfId="0" applyNumberFormat="0" applyFont="1" applyFill="1" applyBorder="0" applyAlignment="1">
      <x:alignment vertical="center" wrapText="1"/>
    </x:xf>
    <x:xf numFmtId="0" fontId="12" fillId="11" borderId="12" xfId="0" applyNumberFormat="0" applyFont="1" applyFill="1" applyBorder="0" applyAlignment="1">
      <x:alignment vertical="center" wrapText="1"/>
    </x:xf>
    <x:xf numFmtId="0" fontId="20" fillId="11" borderId="12" xfId="0" applyNumberFormat="0" applyFont="1" applyFill="1" applyBorder="0" applyAlignment="1">
      <x:alignment vertical="center" wrapText="1"/>
    </x:xf>
    <x:xf numFmtId="0" fontId="12" fillId="0" borderId="0" xfId="0" applyNumberFormat="0" applyFont="1" applyFill="0" applyBorder="0" applyAlignment="1">
      <x:alignment horizontal="center" vertical="center"/>
    </x:xf>
    <x:xf numFmtId="0" fontId="12" fillId="0" borderId="0" xfId="0" applyNumberFormat="0" applyFont="1" applyFill="0" applyBorder="0" applyAlignment="1">
      <x:alignment vertical="center" wrapText="1"/>
    </x:xf>
    <x:xf numFmtId="0" fontId="23" fillId="0" borderId="0" xfId="0" applyNumberFormat="0" applyFont="1" applyFill="0" applyBorder="0" applyAlignment="1">
      <x:alignment vertical="center" wrapText="1"/>
    </x:xf>
    <x:xf numFmtId="0" fontId="24" fillId="0" borderId="0" xfId="0" applyNumberFormat="0" applyFont="1" applyFill="0" applyBorder="0" applyAlignment="1">
      <x:alignment vertical="center"/>
    </x:xf>
    <x:xf numFmtId="166" fontId="25" fillId="0" borderId="0" xfId="0" applyNumberFormat="1" applyFont="1" applyFill="0" applyBorder="0" applyAlignment="1">
      <x:alignment vertical="top" wrapText="1"/>
    </x:xf>
    <x:xf numFmtId="0" fontId="25" fillId="0" borderId="0" xfId="0" applyNumberFormat="0" applyFont="1" applyFill="0" applyBorder="0" applyAlignment="1">
      <x:alignment vertical="top" wrapText="1"/>
    </x:xf>
    <x:xf numFmtId="0" fontId="23" fillId="0" borderId="0" xfId="0" applyNumberFormat="0" applyFont="1" applyFill="0" applyBorder="0" applyAlignment="1">
      <x:alignment vertical="center" wrapText="1"/>
    </x:xf>
    <x:xf numFmtId="0" fontId="26" fillId="0" borderId="0" xfId="0" applyNumberFormat="0" applyFont="1" applyFill="0" applyBorder="0" applyAlignment="1">
      <x:alignment vertical="center" wrapText="1"/>
    </x:xf>
    <x:xf numFmtId="0" fontId="24" fillId="0" borderId="0" xfId="0" applyNumberFormat="0" applyFont="1" applyFill="0" applyBorder="0" applyAlignment="1">
      <x:alignment vertical="center"/>
    </x:xf>
    <x:xf numFmtId="0" fontId="25" fillId="0" borderId="0" xfId="0" applyNumberFormat="0" applyFont="1" applyFill="0" applyBorder="0" applyAlignment="1">
      <x:alignment vertical="top" wrapText="1"/>
    </x:xf>
    <x:xf numFmtId="167" fontId="25" fillId="0" borderId="0" xfId="0" applyNumberFormat="1" applyFont="1" applyFill="0" applyBorder="0" applyAlignment="1">
      <x:alignment vertical="top" wrapText="1"/>
    </x:xf>
    <x:xf numFmtId="0" fontId="27" fillId="12" borderId="0" xfId="0" applyNumberFormat="0" applyFont="1" applyFill="1" applyBorder="0" applyAlignment="1">
      <x:alignment horizontal="center" vertical="center"/>
    </x:xf>
    <x:xf numFmtId="0" fontId="27" fillId="12" borderId="0" xfId="0" applyNumberFormat="0" applyFont="1" applyFill="1" applyBorder="0" applyAlignment="1">
      <x:alignment horizontal="center" vertical="center"/>
    </x:xf>
    <x:xf numFmtId="168" fontId="27" fillId="12" borderId="0" xfId="0" applyNumberFormat="1" applyFont="1" applyFill="1" applyBorder="0" applyAlignment="1">
      <x:alignment horizontal="center" vertical="center"/>
    </x:xf>
    <x:xf numFmtId="168" fontId="27" fillId="12" borderId="0" xfId="0" applyNumberFormat="1" applyFont="1" applyFill="1" applyBorder="0" applyAlignment="1">
      <x:alignment horizontal="center" vertical="center"/>
    </x:xf>
    <x:xf numFmtId="169" fontId="27" fillId="12" borderId="0" xfId="0" applyNumberFormat="1" applyFont="1" applyFill="1" applyBorder="0" applyAlignment="1">
      <x:alignment horizontal="center" vertical="center"/>
    </x:xf>
    <x:xf numFmtId="0" fontId="12" fillId="0" borderId="0" xfId="0" applyNumberFormat="0" applyFont="1" applyFill="0" applyBorder="0" applyAlignment="1">
      <x:alignment vertical="center"/>
    </x:xf>
    <x:xf numFmtId="0" fontId="22" fillId="13" borderId="0" xfId="0" applyNumberFormat="0" applyFont="1" applyFill="1" applyBorder="0" applyAlignment="1">
      <x:alignment horizontal="center" vertical="center"/>
    </x:xf>
    <x:xf numFmtId="0" fontId="22" fillId="13" borderId="0" xfId="0" applyNumberFormat="0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/>
    </x:xf>
    <x:xf numFmtId="0" fontId="28" fillId="13" borderId="0" xfId="0" applyNumberFormat="0" applyFont="1" applyFill="1" applyBorder="0" applyAlignment="1">
      <x:alignment vertical="center"/>
    </x:xf>
    <x:xf numFmtId="169" fontId="22" fillId="13" borderId="0" xfId="0" applyNumberFormat="1" applyFont="1" applyFill="1" applyBorder="0" applyAlignment="1">
      <x:alignment vertical="center"/>
    </x:xf>
    <x:xf numFmtId="0" fontId="22" fillId="14" borderId="0" xfId="0" applyNumberFormat="0" applyFont="1" applyFill="1" applyBorder="0" applyAlignment="1">
      <x:alignment horizontal="center" vertical="center"/>
    </x:xf>
    <x:xf numFmtId="0" fontId="22" fillId="15" borderId="0" xfId="0" applyNumberFormat="0" applyFont="1" applyFill="1" applyBorder="0" applyAlignment="1">
      <x:alignment vertical="center"/>
    </x:xf>
    <x:xf numFmtId="168" fontId="22" fillId="15" borderId="0" xfId="0" applyNumberFormat="1" applyFont="1" applyFill="1" applyBorder="0" applyAlignment="1">
      <x:alignment vertical="center" wrapText="1"/>
    </x:xf>
    <x:xf numFmtId="168" fontId="22" fillId="15" borderId="0" xfId="0" applyNumberFormat="1" applyFont="1" applyFill="1" applyBorder="0" applyAlignment="1">
      <x:alignment vertical="center"/>
    </x:xf>
    <x:xf numFmtId="168" fontId="22" fillId="15" borderId="0" xfId="0" applyNumberFormat="1" applyFont="1" applyFill="1" applyBorder="0" applyAlignment="1">
      <x:alignment vertical="center"/>
    </x:xf>
    <x:xf numFmtId="0" fontId="29" fillId="16" borderId="0" xfId="0" applyNumberFormat="0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0" fontId="22" fillId="0" borderId="0" xfId="0" applyNumberFormat="0" applyFont="1" applyFill="0" applyBorder="0" applyAlignment="1">
      <x:alignment horizontal="center" vertical="center"/>
    </x:xf>
    <x:xf numFmtId="168" fontId="22" fillId="15" borderId="0" xfId="0" applyNumberFormat="1" applyFont="1" applyFill="1" applyBorder="0" applyAlignment="1">
      <x:alignment vertical="center" wrapText="1"/>
    </x:xf>
    <x:xf numFmtId="0" fontId="29" fillId="16" borderId="0" xfId="0" applyNumberFormat="0" applyFont="1" applyFill="1" applyBorder="0" applyAlignment="1">
      <x:alignment vertical="center"/>
    </x:xf>
    <x:xf numFmtId="0" fontId="22" fillId="15" borderId="0" xfId="0" applyNumberFormat="0" applyFont="1" applyFill="1" applyBorder="0" applyAlignment="1">
      <x:alignment vertical="center" wrapText="1"/>
    </x:xf>
    <x:xf numFmtId="168" fontId="30" fillId="15" borderId="0" xfId="0" applyNumberFormat="1" applyFont="1" applyFill="1" applyBorder="0" applyAlignment="1">
      <x:alignment vertical="center" wrapText="1"/>
    </x:xf>
    <x:xf numFmtId="0" fontId="12" fillId="13" borderId="0" xfId="0" applyNumberFormat="0" applyFont="1" applyFill="1" applyBorder="0" applyAlignment="1">
      <x:alignment horizontal="center" vertical="center"/>
    </x:xf>
    <x:xf numFmtId="0" fontId="12" fillId="13" borderId="0" xfId="0" applyNumberFormat="0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 wrapText="1"/>
    </x:xf>
    <x:xf numFmtId="0" fontId="12" fillId="0" borderId="0" xfId="0" applyNumberFormat="0" applyFont="1" applyFill="0" applyBorder="0" applyAlignment="1">
      <x:alignment horizontal="center" vertical="center"/>
    </x:xf>
    <x:xf numFmtId="0" fontId="22" fillId="16" borderId="0" xfId="0" applyNumberFormat="0" applyFont="1" applyFill="1" applyBorder="0" applyAlignment="1">
      <x:alignment vertical="center"/>
    </x:xf>
    <x:xf numFmtId="0" fontId="12" fillId="16" borderId="0" xfId="0" applyNumberFormat="0" applyFont="1" applyFill="1" applyBorder="0" applyAlignment="1">
      <x:alignment vertical="center" wrapText="1"/>
    </x:xf>
    <x:xf numFmtId="0" fontId="12" fillId="16" borderId="0" xfId="0" applyNumberFormat="0" applyFont="1" applyFill="1" applyBorder="0" applyAlignment="1">
      <x:alignment vertical="center"/>
    </x:xf>
    <x:xf numFmtId="168" fontId="12" fillId="16" borderId="0" xfId="0" applyNumberFormat="1" applyFont="1" applyFill="1" applyBorder="0" applyAlignment="1">
      <x:alignment vertical="center" wrapText="1"/>
    </x:xf>
    <x:xf numFmtId="168" fontId="12" fillId="16" borderId="0" xfId="0" applyNumberFormat="1" applyFont="1" applyFill="1" applyBorder="0" applyAlignment="1">
      <x:alignment vertical="center"/>
    </x:xf>
    <x:xf numFmtId="168" fontId="12" fillId="16" borderId="0" xfId="0" applyNumberFormat="1" applyFont="1" applyFill="1" applyBorder="0" applyAlignment="1">
      <x:alignment vertical="center"/>
    </x:xf>
    <x:xf numFmtId="0" fontId="12" fillId="16" borderId="0" xfId="0" applyNumberFormat="0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0" fontId="22" fillId="16" borderId="0" xfId="0" applyNumberFormat="0" applyFont="1" applyFill="1" applyBorder="0" applyAlignment="1">
      <x:alignment vertical="center" wrapText="1"/>
    </x:xf>
    <x:xf numFmtId="168" fontId="12" fillId="16" borderId="0" xfId="0" applyNumberFormat="1" applyFont="1" applyFill="1" applyBorder="0" applyAlignment="1">
      <x:alignment vertical="center" wrapText="1"/>
    </x:xf>
    <x:xf numFmtId="169" fontId="22" fillId="16" borderId="0" xfId="0" applyNumberFormat="1" applyFont="1" applyFill="1" applyBorder="0" applyAlignment="1">
      <x:alignment vertical="center"/>
    </x:xf>
    <x:xf numFmtId="0" fontId="12" fillId="0" borderId="0" xfId="0" applyNumberFormat="0" applyFont="1" applyFill="0" applyBorder="0" applyAlignment="1">
      <x:alignment horizontal="center" vertical="center"/>
    </x:xf>
    <x:xf numFmtId="168" fontId="12" fillId="0" borderId="0" xfId="0" applyNumberFormat="1" applyFont="1" applyFill="0" applyBorder="0" applyAlignment="1">
      <x:alignment vertical="center"/>
    </x:xf>
    <x:xf numFmtId="169" fontId="12" fillId="0" borderId="0" xfId="0" applyNumberFormat="1" applyFont="1" applyFill="0" applyBorder="0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3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33" fillId="19" borderId="0" xfId="0" applyNumberFormat="1" applyFont="1" applyFill="1" applyBorder="1" applyAlignment="1">
      <x:alignment vertical="center"/>
    </x:xf>
    <x:xf numFmtId="0" fontId="33" fillId="19" borderId="13" xfId="0" applyNumberFormat="1" applyFont="1" applyFill="1" applyBorder="1" applyAlignment="1">
      <x:alignment vertical="center"/>
    </x:xf>
    <x:xf numFmtId="0" fontId="33" fillId="19" borderId="14" xfId="0" applyNumberFormat="1" applyFont="1" applyFill="1" applyBorder="1" applyAlignment="1">
      <x:alignment vertical="center"/>
    </x:xf>
    <x:xf numFmtId="0" fontId="33" fillId="19" borderId="13" xfId="0" applyNumberFormat="1" applyFont="1" applyFill="1" applyBorder="1" applyAlignment="1">
      <x:alignment vertical="center" wrapText="1"/>
    </x:xf>
    <x:xf numFmtId="0" fontId="33" fillId="19" borderId="14" xfId="0" applyNumberFormat="1" applyFont="1" applyFill="1" applyBorder="1" applyAlignment="1">
      <x:alignment vertical="center" wrapText="1"/>
    </x:xf>
    <x:xf numFmtId="0" fontId="33" fillId="19" borderId="13" xfId="0" applyNumberFormat="1" applyFont="1" applyFill="1" applyBorder="1" applyAlignment="1">
      <x:alignment vertical="top" wrapText="1"/>
    </x:xf>
    <x:xf numFmtId="0" fontId="33" fillId="19" borderId="14" xfId="0" applyNumberFormat="1" applyFont="1" applyFill="1" applyBorder="1" applyAlignment="1">
      <x:alignment vertical="top" wrapText="1"/>
    </x:xf>
    <x:xf numFmtId="0" fontId="33" fillId="20" borderId="13" xfId="0" applyNumberFormat="1" applyFont="1" applyFill="1" applyBorder="1" applyAlignment="1">
      <x:alignment vertical="top" wrapText="1"/>
    </x:xf>
    <x:xf numFmtId="0" fontId="34" fillId="20" borderId="13" xfId="0" applyNumberFormat="1" applyFont="1" applyFill="1" applyBorder="1" applyAlignment="1">
      <x:alignment vertical="top" wrapText="1"/>
    </x:xf>
    <x:xf numFmtId="0" fontId="34" fillId="20" borderId="15" xfId="0" applyNumberFormat="1" applyFont="1" applyFill="1" applyBorder="1" applyAlignment="1">
      <x:alignment vertical="top" wrapText="1"/>
    </x:xf>
    <x:xf numFmtId="0" fontId="34" fillId="20" borderId="16" xfId="0" applyNumberFormat="1" applyFont="1" applyFill="1" applyBorder="1" applyAlignment="1">
      <x:alignment vertical="top" wrapText="1"/>
    </x:xf>
    <x:xf numFmtId="0" fontId="34" fillId="20" borderId="17" xfId="0" applyNumberFormat="1" applyFont="1" applyFill="1" applyBorder="1" applyAlignment="1">
      <x:alignment vertical="top" wrapText="1"/>
    </x:xf>
    <x:xf numFmtId="0" fontId="34" fillId="20" borderId="15" xfId="0" applyNumberFormat="1" applyFont="1" applyFill="1" applyBorder="1" applyAlignment="1">
      <x:alignment vertical="center" wrapText="1"/>
    </x:xf>
    <x:xf numFmtId="0" fontId="34" fillId="20" borderId="16" xfId="0" applyNumberFormat="1" applyFont="1" applyFill="1" applyBorder="1" applyAlignment="1">
      <x:alignment vertical="center" wrapText="1"/>
    </x:xf>
    <x:xf numFmtId="0" fontId="34" fillId="20" borderId="17" xfId="0" applyNumberFormat="1" applyFont="1" applyFill="1" applyBorder="1" applyAlignment="1">
      <x:alignment vertical="center" wrapText="1"/>
    </x:xf>
    <x:xf numFmtId="200" fontId="33" fillId="19" borderId="14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center"/>
    </x:xf>
    <x:xf numFmtId="0" fontId="35" fillId="21" borderId="0" xfId="0" applyNumberFormat="1" applyFont="1" applyFill="1" applyBorder="1" applyAlignment="1">
      <x:alignment vertical="center"/>
    </x:xf>
    <x:xf numFmtId="0" fontId="35" fillId="21" borderId="18" xfId="0" applyNumberFormat="1" applyFont="1" applyFill="1" applyBorder="1" applyAlignment="1">
      <x:alignment vertical="center"/>
    </x:xf>
    <x:xf numFmtId="0" fontId="35" fillId="21" borderId="14" xfId="0" applyNumberFormat="1" applyFont="1" applyFill="1" applyBorder="1" applyAlignment="1">
      <x:alignment vertical="center"/>
    </x:xf>
    <x:xf numFmtId="0" fontId="35" fillId="21" borderId="19" xfId="0" applyNumberFormat="1" applyFont="1" applyFill="1" applyBorder="1" applyAlignment="1">
      <x:alignment vertical="center"/>
    </x:xf>
    <x:xf numFmtId="0" fontId="36" fillId="21" borderId="0" xfId="0" applyNumberFormat="1" applyFont="1" applyFill="1" applyBorder="1" applyAlignment="1">
      <x:alignment vertical="center"/>
    </x:xf>
    <x:xf numFmtId="0" fontId="36" fillId="21" borderId="18" xfId="0" applyNumberFormat="1" applyFont="1" applyFill="1" applyBorder="1" applyAlignment="1">
      <x:alignment vertical="center"/>
    </x:xf>
    <x:xf numFmtId="0" fontId="36" fillId="21" borderId="14" xfId="0" applyNumberFormat="1" applyFont="1" applyFill="1" applyBorder="1" applyAlignment="1">
      <x:alignment vertical="center"/>
    </x:xf>
    <x:xf numFmtId="0" fontId="36" fillId="21" borderId="19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37" fillId="20" borderId="0" xfId="0" applyNumberFormat="1" applyFont="1" applyFill="1" applyBorder="1" applyAlignment="1">
      <x:alignment vertical="center"/>
    </x:xf>
    <x:xf numFmtId="0" fontId="37" fillId="20" borderId="0" xfId="0" applyNumberFormat="1" applyFont="1" applyFill="1" applyBorder="1" applyAlignment="1">
      <x:alignment vertical="center" wrapText="1"/>
    </x:xf>
    <x:xf numFmtId="0" fontId="38" fillId="19" borderId="0" xfId="0" applyNumberFormat="1" applyFont="1" applyFill="1" applyBorder="1" applyAlignment="1">
      <x:alignment vertical="center"/>
    </x:xf>
    <x:xf numFmtId="0" fontId="38" fillId="19" borderId="13" xfId="0" applyNumberFormat="1" applyFont="1" applyFill="1" applyBorder="1" applyAlignment="1">
      <x:alignment vertical="center"/>
    </x:xf>
    <x:xf numFmtId="0" fontId="38" fillId="19" borderId="14" xfId="0" applyNumberFormat="1" applyFont="1" applyFill="1" applyBorder="1" applyAlignment="1">
      <x:alignment vertical="center"/>
    </x:xf>
    <x:xf numFmtId="0" fontId="38" fillId="19" borderId="13" xfId="0" applyNumberFormat="1" applyFont="1" applyFill="1" applyBorder="1" applyAlignment="1">
      <x:alignment vertical="center" wrapText="1"/>
    </x:xf>
    <x:xf numFmtId="0" fontId="38" fillId="19" borderId="14" xfId="0" applyNumberFormat="1" applyFont="1" applyFill="1" applyBorder="1" applyAlignment="1">
      <x:alignment vertical="center" wrapText="1"/>
    </x:xf>
    <x:xf numFmtId="0" fontId="38" fillId="19" borderId="13" xfId="0" applyNumberFormat="1" applyFont="1" applyFill="1" applyBorder="1" applyAlignment="1">
      <x:alignment vertical="top" wrapText="1"/>
    </x:xf>
    <x:xf numFmtId="0" fontId="38" fillId="19" borderId="14" xfId="0" applyNumberFormat="1" applyFont="1" applyFill="1" applyBorder="1" applyAlignment="1">
      <x:alignment vertical="top" wrapText="1"/>
    </x:xf>
    <x:xf numFmtId="0" fontId="37" fillId="17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/>
    </x:xf>
    <x:xf numFmtId="0" fontId="37" fillId="22" borderId="0" xfId="0" applyNumberFormat="1" applyFont="1" applyFill="1" applyBorder="1" applyAlignment="1">
      <x:alignment vertical="center"/>
    </x:xf>
    <x:xf numFmtId="0" fontId="37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/>
    </x:xf>
    <x:xf numFmtId="0" fontId="35" fillId="23" borderId="0" xfId="0" applyNumberFormat="1" applyFont="1" applyFill="1" applyBorder="1" applyAlignment="1">
      <x:alignment vertical="center"/>
    </x:xf>
    <x:xf numFmtId="0" fontId="35" fillId="23" borderId="20" xfId="0" applyNumberFormat="1" applyFont="1" applyFill="1" applyBorder="1" applyAlignment="1">
      <x:alignment vertical="center"/>
    </x:xf>
    <x:xf numFmtId="0" fontId="35" fillId="23" borderId="21" xfId="0" applyNumberFormat="1" applyFont="1" applyFill="1" applyBorder="1" applyAlignment="1">
      <x:alignment vertical="center"/>
    </x:xf>
    <x:xf numFmtId="0" fontId="35" fillId="23" borderId="22" xfId="0" applyNumberFormat="1" applyFont="1" applyFill="1" applyBorder="1" applyAlignment="1">
      <x:alignment vertical="center"/>
    </x:xf>
    <x:xf numFmtId="0" fontId="35" fillId="23" borderId="23" xfId="0" applyNumberFormat="1" applyFont="1" applyFill="1" applyBorder="1" applyAlignment="1">
      <x:alignment vertical="center"/>
    </x:xf>
    <x:xf numFmtId="0" fontId="35" fillId="23" borderId="24" xfId="0" applyNumberFormat="1" applyFont="1" applyFill="1" applyBorder="1" applyAlignment="1">
      <x:alignment vertical="center"/>
    </x:xf>
    <x:xf numFmtId="0" fontId="35" fillId="23" borderId="25" xfId="0" applyNumberFormat="1" applyFont="1" applyFill="1" applyBorder="1" applyAlignment="1">
      <x:alignment vertical="center"/>
    </x:xf>
    <x:xf numFmtId="0" fontId="35" fillId="23" borderId="20" xfId="0" applyNumberFormat="1" applyFont="1" applyFill="1" applyBorder="1" applyAlignment="1">
      <x:alignment vertical="center" wrapText="1"/>
    </x:xf>
    <x:xf numFmtId="0" fontId="35" fillId="23" borderId="21" xfId="0" applyNumberFormat="1" applyFont="1" applyFill="1" applyBorder="1" applyAlignment="1">
      <x:alignment vertical="center" wrapText="1"/>
    </x:xf>
    <x:xf numFmtId="0" fontId="35" fillId="23" borderId="22" xfId="0" applyNumberFormat="1" applyFont="1" applyFill="1" applyBorder="1" applyAlignment="1">
      <x:alignment vertical="center" wrapText="1"/>
    </x:xf>
    <x:xf numFmtId="0" fontId="35" fillId="23" borderId="23" xfId="0" applyNumberFormat="1" applyFont="1" applyFill="1" applyBorder="1" applyAlignment="1">
      <x:alignment vertical="center" wrapText="1"/>
    </x:xf>
    <x:xf numFmtId="0" fontId="35" fillId="23" borderId="24" xfId="0" applyNumberFormat="1" applyFont="1" applyFill="1" applyBorder="1" applyAlignment="1">
      <x:alignment vertical="center" wrapText="1"/>
    </x:xf>
    <x:xf numFmtId="0" fontId="35" fillId="23" borderId="25" xfId="0" applyNumberFormat="1" applyFont="1" applyFill="1" applyBorder="1" applyAlignment="1">
      <x:alignment vertical="center" wrapText="1"/>
    </x:xf>
  </x:cellXfs>
  <x:cellStyles count="2">
    <x:cellStyle name="Normal" xfId="0"/>
    <x:cellStyle name="输出" xfId="1"/>
  </x:cellStyles>
  <x:dxfs count="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AF4E3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006100"/>
      </x:font>
      <x:fill>
        <x:patternFill patternType="solid">
          <x:bgColor rgb="FFEAF4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02e25154742eb" /><Relationship Type="http://schemas.openxmlformats.org/officeDocument/2006/relationships/theme" Target="/xl/theme/theme1.xml" Id="R142d1dd9a0224046" /><Relationship Type="http://schemas.openxmlformats.org/officeDocument/2006/relationships/sharedStrings" Target="/xl/sharedStrings.xml" Id="R7c3626cae5b14661" /><Relationship Type="http://schemas.openxmlformats.org/officeDocument/2006/relationships/worksheet" Target="/xl/worksheets/sheet1.xml" Id="R12e867eb19ba4b03" /><Relationship Type="http://schemas.openxmlformats.org/officeDocument/2006/relationships/worksheet" Target="/xl/worksheets/sheet2.xml" Id="Rc29c3b1435554ee8" /><Relationship Type="http://schemas.openxmlformats.org/officeDocument/2006/relationships/worksheet" Target="/xl/worksheets/sheet3.xml" Id="R7f8087ac391f4a7c" /><Relationship Type="http://schemas.openxmlformats.org/officeDocument/2006/relationships/worksheet" Target="/xl/worksheets/sheet4.xml" Id="Rda505623757c4abc" /><Relationship Type="http://schemas.openxmlformats.org/officeDocument/2006/relationships/worksheet" Target="/xl/worksheets/sheet5.xml" Id="Ra803a303f7d9442d" /><Relationship Type="http://schemas.openxmlformats.org/officeDocument/2006/relationships/worksheet" Target="/xl/worksheets/sheet6.xml" Id="R47c522bb27914836" /><Relationship Type="http://schemas.openxmlformats.org/officeDocument/2006/relationships/worksheet" Target="/xl/worksheets/sheet7.xml" Id="R0be06a6f70c84d40" /><Relationship Type="http://schemas.openxmlformats.org/officeDocument/2006/relationships/worksheet" Target="/xl/worksheets/sheet8.xml" Id="Raf1f2945f5df4c8a" /><Relationship Type="http://schemas.openxmlformats.org/officeDocument/2006/relationships/worksheet" Target="/xl/worksheets/sheet9.xml" Id="R7095393a42b34ae7" /><Relationship Type="http://schemas.openxmlformats.org/officeDocument/2006/relationships/worksheet" Target="/xl/worksheets/sheet10.xml" Id="Re696183eb1334131" /><Relationship Type="http://schemas.openxmlformats.org/officeDocument/2006/relationships/worksheet" Target="/xl/worksheets/sheet11.xml" Id="R204bc512c77841e1" /><Relationship Type="http://schemas.openxmlformats.org/officeDocument/2006/relationships/worksheet" Target="/xl/worksheets/sheet12.xml" Id="Rc95a937e102b4dcf" /><Relationship Type="http://schemas.openxmlformats.org/officeDocument/2006/relationships/worksheet" Target="/xl/worksheets/sheet13.xml" Id="R85c8c71851f5422b" /><Relationship Type="http://schemas.openxmlformats.org/officeDocument/2006/relationships/worksheet" Target="/xl/worksheets/sheet14.xml" Id="Rcb8ccbd36b354fa5" /><Relationship Type="http://schemas.openxmlformats.org/officeDocument/2006/relationships/worksheet" Target="/xl/worksheets/sheet15.xml" Id="R295450fab4b149b5" /><Relationship Type="http://schemas.openxmlformats.org/officeDocument/2006/relationships/worksheet" Target="/xl/worksheets/sheet16.xml" Id="R0f40714af7744358" /><Relationship Type="http://schemas.openxmlformats.org/officeDocument/2006/relationships/worksheet" Target="/xl/worksheets/sheet17.xml" Id="R51101d61874143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81ce412f3384fab" /><Relationship Type="http://schemas.openxmlformats.org/officeDocument/2006/relationships/image" Target="/xl/media/image2.jpg" Id="R13119e543191402b" /><Relationship Type="http://schemas.openxmlformats.org/officeDocument/2006/relationships/image" Target="/xl/media/image3.jpg" Id="Rcb134fc3a80a4008" /><Relationship Type="http://schemas.openxmlformats.org/officeDocument/2006/relationships/image" Target="/xl/media/image4.jpg" Id="R614df5637fdb486a" /><Relationship Type="http://schemas.openxmlformats.org/officeDocument/2006/relationships/image" Target="/xl/media/image5.jpg" Id="Rdfbc1cbd2c3b4640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200025</xdr:colOff>
      <xdr:row>21</xdr:row>
      <xdr:rowOff>285750</xdr:rowOff>
    </xdr:from>
    <xdr:to>
      <xdr:col>1</xdr:col>
      <xdr:colOff>1590675</xdr:colOff>
      <xdr:row>21</xdr:row>
      <xdr:rowOff>1143000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1ce412f3384f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19050</xdr:colOff>
      <xdr:row>12</xdr:row>
      <xdr:rowOff>1304925</xdr:rowOff>
    </xdr:from>
    <xdr:to>
      <xdr:col>1</xdr:col>
      <xdr:colOff>3962400</xdr:colOff>
      <xdr:row>12</xdr:row>
      <xdr:rowOff>2085975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119e543191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104775</xdr:colOff>
      <xdr:row>45</xdr:row>
      <xdr:rowOff>590550</xdr:rowOff>
    </xdr:from>
    <xdr:to>
      <xdr:col>1</xdr:col>
      <xdr:colOff>4629150</xdr:colOff>
      <xdr:row>45</xdr:row>
      <xdr:rowOff>990600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134fc3a80a40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114300</xdr:colOff>
      <xdr:row>2</xdr:row>
      <xdr:rowOff>247650</xdr:rowOff>
    </xdr:from>
    <xdr:to>
      <xdr:col>1</xdr:col>
      <xdr:colOff>1628775</xdr:colOff>
      <xdr:row>2</xdr:row>
      <xdr:rowOff>781050</xdr:rowOff>
    </xdr:to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df5637fdb48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1619250</xdr:colOff>
      <xdr:row>2</xdr:row>
      <xdr:rowOff>238125</xdr:rowOff>
    </xdr:from>
    <xdr:to>
      <xdr:col>1</xdr:col>
      <xdr:colOff>2543175</xdr:colOff>
      <xdr:row>2</xdr:row>
      <xdr:rowOff>962025</xdr:rowOff>
    </xdr:to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bc1cbd2c3b46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0" name="PlanReviewSummary" displayName="PlanReviewSummary" ref="A5:H13" headerRowCount="1" totalsRowCount="0" totalsRowShown="0">
  <x:autoFilter ref="A5:H13"/>
  <x:tableColumns count="8">
    <x:tableColumn id="1" name="评审维度"/>
    <x:tableColumn id="2" name="原计划状态"/>
    <x:tableColumn id="3" name="评审结果"/>
    <x:tableColumn id="4" name="必须调整"/>
    <x:tableColumn id="5" name="实际工程依据"/>
    <x:tableColumn id="6" name="对排期的影响"/>
    <x:tableColumn id="7" name="Gate"/>
    <x:tableColumn id="8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PhaseRecommendation" displayName="PhaseRecommendation" ref="A16:H21" headerRowCount="1" totalsRowCount="0" totalsRowShown="0">
  <x:autoFilter ref="A16:H21"/>
  <x:tableColumns count="8">
    <x:tableColumn id="1" name="阶段"/>
    <x:tableColumn id="2" name="核心结果"/>
    <x:tableColumn id="3" name="不可替代的Gate证据"/>
    <x:tableColumn id="4" name="建议工期"/>
    <x:tableColumn id="5" name="原计划"/>
    <x:tableColumn id="6" name="评审判断"/>
    <x:tableColumn id="7" name="主要风险"/>
    <x:tableColumn id="8" name="详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" name="AdjustedMilestones" displayName="AdjustedMilestones" ref="A5:K12" headerRowCount="1" totalsRowCount="0" totalsRowShown="0">
  <x:autoFilter ref="A5:K12"/>
  <x:tableColumns count="11">
    <x:tableColumn id="1" name="里程碑ID"/>
    <x:tableColumn id="2" name="里程碑"/>
    <x:tableColumn id="3" name="目标"/>
    <x:tableColumn id="4" name="范围/关键活动"/>
    <x:tableColumn id="5" name="前置输入"/>
    <x:tableColumn id="6" name="必须交付物"/>
    <x:tableColumn id="7" name="退出准则（合同Gate）"/>
    <x:tableColumn id="8" name="建议工期"/>
    <x:tableColumn id="9" name="对应原计划"/>
    <x:tableColumn id="10" name="评审结论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DetailedWBS" displayName="DetailedWBS" ref="A5:P95" headerRowCount="1" totalsRowCount="0" totalsRowShown="0">
  <x:autoFilter ref="A5:P95"/>
  <x:tableColumns count="16">
    <x:tableColumn id="1" name="WBS ID"/>
    <x:tableColumn id="2" name="阶段"/>
    <x:tableColumn id="3" name="工作流"/>
    <x:tableColumn id="4" name="任务名称"/>
    <x:tableColumn id="5" name="详细需求/工作内容"/>
    <x:tableColumn id="6" name="工程现状或取证事实"/>
    <x:tableColumn id="7" name="甲方/第三方输入"/>
    <x:tableColumn id="8" name="责任建议"/>
    <x:tableColumn id="9" name="前置依赖"/>
    <x:tableColumn id="10" name="交付物"/>
    <x:tableColumn id="11" name="验收方法与判据"/>
    <x:tableColumn id="12" name="优先级"/>
    <x:tableColumn id="13" name="建议工期(工作日)"/>
    <x:tableColumn id="14" name="状态"/>
    <x:tableColumn id="15" name="原计划映射"/>
    <x:tableColumn id="16" name="主要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AcceptanceMatrix" displayName="AcceptanceMatrix" ref="A5:L57" headerRowCount="1" totalsRowCount="0" totalsRowShown="0">
  <x:autoFilter ref="A5:L57"/>
  <x:tableColumns count="12">
    <x:tableColumn id="1" name="Test ID"/>
    <x:tableColumn id="2" name="阶段"/>
    <x:tableColumn id="3" name="领域"/>
    <x:tableColumn id="4" name="前置条件"/>
    <x:tableColumn id="5" name="刺激/步骤"/>
    <x:tableColumn id="6" name="观测点"/>
    <x:tableColumn id="7" name="通过判据"/>
    <x:tableColumn id="8" name="量化口径/来源"/>
    <x:tableColumn id="9" name="环境/工具"/>
    <x:tableColumn id="10" name="验收证据"/>
    <x:tableColumn id="11" name="关联WBS"/>
    <x:tableColumn id="12" name="责任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CleanRoomBoundary" displayName="CleanRoomBoundary" ref="A5:J21" headerRowCount="1" totalsRowCount="0" totalsRowShown="0">
  <x:autoFilter ref="A5:J21"/>
  <x:tableColumns count="10">
    <x:tableColumn id="1" name="ID"/>
    <x:tableColumn id="2" name="对象/资料"/>
    <x:tableColumn id="3" name="资料Owner"/>
    <x:tableColumn id="4" name="可给实现组的中立输入"/>
    <x:tableColumn id="5" name="禁止或受限内容"/>
    <x:tableColumn id="6" name="东软责任"/>
    <x:tableColumn id="7" name="甲方责任"/>
    <x:tableColumn id="8" name="版本/完整性要求"/>
    <x:tableColumn id="9" name="进入阶段"/>
    <x:tableColumn id="10" name="验收/关闭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NvmEvidenceTable" displayName="NvmEvidenceTable" ref="A5:W110" headerRowCount="1" totalsRowCount="0" totalsRowShown="0">
  <x:autoFilter ref="A5:W110"/>
  <x:tableColumns count="23">
    <x:tableColumn id="1" name="Block ID"/>
    <x:tableColumn id="2" name="Block名称"/>
    <x:tableColumn id="3" name="分类/用途"/>
    <x:tableColumn id="4" name="长度(Byte)"/>
    <x:tableColumn id="5" name="Fee逻辑Persistent ID"/>
    <x:tableColumn id="6" name="管理类型"/>
    <x:tableColumn id="7" name="NV副本数"/>
    <x:tableColumn id="8" name="ROM副本数"/>
    <x:tableColumn id="9" name="CRC"/>
    <x:tableColumn id="10" name="优先级"/>
    <x:tableColumn id="11" name="ReadAll"/>
    <x:tableColumn id="12" name="WriteAll"/>
    <x:tableColumn id="13" name="FirstInitAll"/>
    <x:tableColumn id="14" name="ResistantToChangedSW"/>
    <x:tableColumn id="15" name="ExplicitSync"/>
    <x:tableColumn id="16" name="WriteProtected"/>
    <x:tableColumn id="17" name="WriteOnce"/>
    <x:tableColumn id="18" name="RAM类型"/>
    <x:tableColumn id="19" name="ROM默认值"/>
    <x:tableColumn id="20" name="Fee Flag"/>
    <x:tableColumn id="21" name="物理存储说明"/>
    <x:tableColumn id="22" name="源码证据"/>
    <x:tableColumn id="23" name="专项验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DiagnosticBaseline" displayName="DiagnosticBaseline" ref="A5:K363" headerRowCount="1" totalsRowCount="0" totalsRowShown="0">
  <x:autoFilter ref="A5:K363"/>
  <x:tableColumns count="11">
    <x:tableColumn id="1" name="类型"/>
    <x:tableColumn id="2" name="标识"/>
    <x:tableColumn id="3" name="名称/用途"/>
    <x:tableColumn id="4" name="长度/时序"/>
    <x:tableColumn id="5" name="会话/权限"/>
    <x:tableColumn id="6" name="安全级"/>
    <x:tableColumn id="7" name="工程显式配置"/>
    <x:tableColumn id="8" name="需求化结论/待确认"/>
    <x:tableColumn id="9" name="东软交付要求"/>
    <x:tableColumn id="10" name="验收重点"/>
    <x:tableColumn id="11" name="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PlatformBaseline" displayName="PlatformBaseline" ref="A5:H1635" headerRowCount="1" totalsRowCount="0" totalsRowShown="0">
  <x:autoFilter ref="A5:H1635"/>
  <x:tableColumns count="8">
    <x:tableColumn id="1" name="领域"/>
    <x:tableColumn id="2" name="配置项"/>
    <x:tableColumn id="3" name="工程显式值/行为"/>
    <x:tableColumn id="4" name="需求化结论"/>
    <x:tableColumn id="5" name="阶段"/>
    <x:tableColumn id="6" name="东软交付"/>
    <x:tableColumn id="7" name="验收重点"/>
    <x:tableColumn id="8" name="证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RiskRegister" displayName="RiskRegister" ref="A5:J33" headerRowCount="1" totalsRowCount="0" totalsRowShown="0">
  <x:autoFilter ref="A5:J33"/>
  <x:tableColumns count="10">
    <x:tableColumn id="1" name="风险ID"/>
    <x:tableColumn id="2" name="级别"/>
    <x:tableColumn id="3" name="Gate"/>
    <x:tableColumn id="4" name="问题/矛盾"/>
    <x:tableColumn id="5" name="工程证据"/>
    <x:tableColumn id="6" name="影响"/>
    <x:tableColumn id="7" name="责任建议"/>
    <x:tableColumn id="8" name="关闭输入/动作"/>
    <x:tableColumn id="9" name="关闭判据"/>
    <x:tableColumn id="10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EvidenceIndex" displayName="EvidenceIndex" ref="A5:G71" headerRowCount="1" totalsRowCount="0" totalsRowShown="0">
  <x:autoFilter ref="A5:G71"/>
  <x:tableColumns count="7">
    <x:tableColumn id="1" name="证据ID"/>
    <x:tableColumn id="2" name="主题"/>
    <x:tableColumn id="3" name="可确认事实"/>
    <x:tableColumn id="4" name="绝对文件路径"/>
    <x:tableColumn id="5" name="行号/节点"/>
    <x:tableColumn id="6" name="证据口径"/>
    <x:tableColumn id="7" name="影响的WBS/风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flinkpro.feishu.cn/file/I8ZGbwXJhoJYywxw9opcrJ27n6g" TargetMode="External" Id="R2844fee54dde4949" /><Relationship Type="http://schemas.openxmlformats.org/officeDocument/2006/relationships/drawing" Target="/xl/drawings/drawing1.xml" Id="R570ce9ee705d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a2d7bfd238e94f14" /><Relationship Type="http://schemas.openxmlformats.org/officeDocument/2006/relationships/table" Target="/xl/tables/table2.xml" Id="R711527dd612a42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a5f480f240304b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bb32777e32624e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64eebe114dae4a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a947ac0022cb41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c9debb23c9a04f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b46f04b5da8349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ae4ecc19a9a14e5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0.xml" Id="Rfa5418831d31429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1.xml" Id="Rec92e861669f4e0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" max="1" width="9" hidden="0" customWidth="1"/>
    <x:col min="3" max="3" width="8" hidden="0" customWidth="1"/>
    <x:col min="5" max="5" width="8" hidden="0" customWidth="1"/>
    <x:col min="5" max="5" width="8" hidden="1" customWidth="1"/>
    <x:col min="9" max="9" width="9" hidden="0" customWidth="1"/>
    <x:col min="11" max="11" width="14" hidden="0" customWidth="1"/>
    <x:col min="2" max="2" width="63" hidden="0" customWidth="1"/>
    <x:col min="4" max="4" width="8" hidden="0" customWidth="1"/>
    <x:col min="4" max="4" width="8" hidden="1" customWidth="1"/>
    <x:col min="6" max="6" width="6" hidden="0" customWidth="1"/>
    <x:col min="7" max="7" width="9" hidden="0" customWidth="1"/>
    <x:col min="8" max="8" width="99" hidden="0" customWidth="1"/>
    <x:col min="10" max="10" width="6" hidden="0" customWidth="1"/>
  </x:cols>
  <x:sheetData>
    <x:row r="1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3" t="s">
        <x:v>6</x:v>
      </x:c>
      <x:c r="H1" s="4" t="s">
        <x:v>7</x:v>
      </x:c>
      <x:c r="I1" s="5" t="s">
        <x:v>8</x:v>
      </x:c>
      <x:c r="J1" s="6" t="s">
        <x:v>9</x:v>
      </x:c>
      <x:c r="K1" s="6" t="s">
        <x:v>10</x:v>
      </x:c>
    </x:row>
    <x:row r="2">
      <x:c r="A2" s="7">
        <x:v>1</x:v>
      </x:c>
      <x:c r="B2" s="8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10">
        <x:v>46212</x:v>
      </x:c>
      <x:c r="H2" s="11" t="s">
        <x:v>16</x:v>
      </x:c>
      <x:c r="I2" s="12">
        <x:v>46213</x:v>
      </x:c>
      <x:c r="J2" s="13" t="s">
        <x:v>17</x:v>
      </x:c>
      <x:c r="K2" s="13" t="s">
        <x:v>18</x:v>
      </x:c>
    </x:row>
    <x:row r="3" ht="70" customHeight="1">
      <x:c r="A3" s="7">
        <x:v>2</x:v>
      </x:c>
      <x:c r="B3" s="14" t="s">
        <x:v>19</x:v>
      </x:c>
      <x:c r="C3" s="9" t="s">
        <x:v>12</x:v>
      </x:c>
      <x:c r="D3" s="9" t="s">
        <x:v>13</x:v>
      </x:c>
      <x:c r="E3" s="9" t="s">
        <x:v>14</x:v>
      </x:c>
      <x:c r="F3" s="9" t="s">
        <x:v>15</x:v>
      </x:c>
      <x:c r="G3" s="10">
        <x:v>46212</x:v>
      </x:c>
      <x:c r="H3" s="15" t="s">
        <x:v>20</x:v>
      </x:c>
      <x:c r="I3" s="12">
        <x:v>46213</x:v>
      </x:c>
      <x:c r="J3" s="13" t="s">
        <x:v>17</x:v>
      </x:c>
      <x:c r="K3" s="13" t="s">
        <x:v>18</x:v>
      </x:c>
    </x:row>
    <x:row r="4">
      <x:c r="A4" s="7">
        <x:v>3</x:v>
      </x:c>
      <x:c r="B4" s="8" t="s">
        <x:v>21</x:v>
      </x:c>
      <x:c r="C4" s="9" t="s">
        <x:v>12</x:v>
      </x:c>
      <x:c r="D4" s="9" t="s">
        <x:v>13</x:v>
      </x:c>
      <x:c r="E4" s="9" t="s">
        <x:v>14</x:v>
      </x:c>
      <x:c r="F4" s="9" t="s">
        <x:v>15</x:v>
      </x:c>
      <x:c r="G4" s="10">
        <x:v>46212</x:v>
      </x:c>
      <x:c r="H4" s="16" t="s">
        <x:v>22</x:v>
      </x:c>
      <x:c r="I4" s="12">
        <x:v>46213</x:v>
      </x:c>
      <x:c r="J4" s="13" t="s">
        <x:v>17</x:v>
      </x:c>
      <x:c r="K4" s="13" t="s">
        <x:v>18</x:v>
      </x:c>
    </x:row>
    <x:row r="5">
      <x:c r="A5" s="7">
        <x:v>4</x:v>
      </x:c>
      <x:c r="B5" s="8" t="s">
        <x:v>23</x:v>
      </x:c>
      <x:c r="C5" s="9" t="s">
        <x:v>24</x:v>
      </x:c>
      <x:c r="D5" s="9" t="s">
        <x:v>13</x:v>
      </x:c>
      <x:c r="E5" s="9" t="s">
        <x:v>14</x:v>
      </x:c>
      <x:c r="F5" s="9" t="s">
        <x:v>15</x:v>
      </x:c>
      <x:c r="G5" s="10">
        <x:v>46212</x:v>
      </x:c>
      <x:c r="H5" s="16" t="s">
        <x:v>25</x:v>
      </x:c>
      <x:c r="I5" s="12">
        <x:v>46213</x:v>
      </x:c>
      <x:c r="J5" s="13" t="s">
        <x:v>17</x:v>
      </x:c>
      <x:c r="K5" s="13" t="s">
        <x:v>26</x:v>
      </x:c>
    </x:row>
    <x:row r="6">
      <x:c r="A6" s="17">
        <x:v>5</x:v>
      </x:c>
      <x:c r="B6" s="18" t="s">
        <x:v>27</x:v>
      </x:c>
      <x:c r="C6" s="9" t="s">
        <x:v>28</x:v>
      </x:c>
      <x:c r="D6" s="9" t="s">
        <x:v>13</x:v>
      </x:c>
      <x:c r="E6" s="9" t="s">
        <x:v>14</x:v>
      </x:c>
      <x:c r="F6" s="9" t="s">
        <x:v>29</x:v>
      </x:c>
      <x:c r="G6" s="10">
        <x:v>46212</x:v>
      </x:c>
      <x:c r="H6" s="16" t="s">
        <x:v>30</x:v>
      </x:c>
      <x:c r="I6" s="12">
        <x:v>46213</x:v>
      </x:c>
      <x:c r="J6" s="13" t="s">
        <x:v>17</x:v>
      </x:c>
      <x:c r="K6" s="13" t="s">
        <x:v>18</x:v>
      </x:c>
    </x:row>
    <x:row r="7">
      <x:c r="A7" s="17">
        <x:v>6</x:v>
      </x:c>
      <x:c r="B7" s="18" t="s">
        <x:v>31</x:v>
      </x:c>
      <x:c r="C7" s="9" t="s">
        <x:v>28</x:v>
      </x:c>
      <x:c r="D7" s="9" t="s">
        <x:v>13</x:v>
      </x:c>
      <x:c r="E7" s="9" t="s">
        <x:v>14</x:v>
      </x:c>
      <x:c r="F7" s="9" t="s">
        <x:v>29</x:v>
      </x:c>
      <x:c r="G7" s="10">
        <x:v>46212</x:v>
      </x:c>
      <x:c r="H7" s="16" t="s">
        <x:v>32</x:v>
      </x:c>
      <x:c r="I7" s="12">
        <x:v>46213</x:v>
      </x:c>
      <x:c r="J7" s="13" t="s">
        <x:v>17</x:v>
      </x:c>
      <x:c r="K7" s="13" t="s">
        <x:v>18</x:v>
      </x:c>
    </x:row>
    <x:row r="8">
      <x:c r="A8" s="17">
        <x:v>7</x:v>
      </x:c>
      <x:c r="B8" s="18" t="s">
        <x:v>33</x:v>
      </x:c>
      <x:c r="C8" s="19" t="s">
        <x:v>34</x:v>
      </x:c>
      <x:c r="D8" s="9" t="s">
        <x:v>13</x:v>
      </x:c>
      <x:c r="E8" s="9" t="s">
        <x:v>14</x:v>
      </x:c>
      <x:c r="F8" s="9" t="s">
        <x:v>29</x:v>
      </x:c>
      <x:c r="G8" s="10">
        <x:v>46212</x:v>
      </x:c>
      <x:c r="H8" s="16" t="s">
        <x:v>35</x:v>
      </x:c>
      <x:c r="I8" s="12">
        <x:v>46213</x:v>
      </x:c>
      <x:c r="J8" s="13" t="s">
        <x:v>17</x:v>
      </x:c>
      <x:c r="K8" s="13" t="s">
        <x:v>36</x:v>
      </x:c>
    </x:row>
    <x:row r="9">
      <x:c r="A9" s="17">
        <x:v>8</x:v>
      </x:c>
      <x:c r="B9" s="15" t="s">
        <x:v>37</x:v>
      </x:c>
      <x:c r="C9" s="13" t="s">
        <x:v>38</x:v>
      </x:c>
      <x:c r="D9" s="9" t="s">
        <x:v>13</x:v>
      </x:c>
      <x:c r="E9" s="9" t="s">
        <x:v>14</x:v>
      </x:c>
      <x:c r="F9" s="9" t="s">
        <x:v>29</x:v>
      </x:c>
      <x:c r="G9" s="10">
        <x:v>46212</x:v>
      </x:c>
      <x:c r="H9" s="16" t="s">
        <x:v>39</x:v>
      </x:c>
      <x:c r="I9" s="12">
        <x:v>46213</x:v>
      </x:c>
      <x:c r="J9" s="13" t="s">
        <x:v>17</x:v>
      </x:c>
      <x:c r="K9" s="13" t="s">
        <x:v>36</x:v>
      </x:c>
    </x:row>
    <x:row r="10">
      <x:c r="A10" s="17">
        <x:v>9</x:v>
      </x:c>
      <x:c r="B10" s="15" t="s">
        <x:v>40</x:v>
      </x:c>
      <x:c r="C10" s="13" t="s">
        <x:v>41</x:v>
      </x:c>
      <x:c r="D10" s="9" t="s">
        <x:v>13</x:v>
      </x:c>
      <x:c r="E10" s="9" t="s">
        <x:v>14</x:v>
      </x:c>
      <x:c r="F10" s="13" t="s">
        <x:v>42</x:v>
      </x:c>
      <x:c r="G10" s="10">
        <x:v>46212</x:v>
      </x:c>
      <x:c r="H10" s="15" t="s">
        <x:v>43</x:v>
      </x:c>
      <x:c r="I10" s="12">
        <x:v>46213</x:v>
      </x:c>
      <x:c r="J10" s="13" t="s">
        <x:v>17</x:v>
      </x:c>
      <x:c r="K10" s="13" t="s">
        <x:v>18</x:v>
      </x:c>
    </x:row>
    <x:row r="11">
      <x:c r="A11" s="17">
        <x:v>10</x:v>
      </x:c>
      <x:c r="B11" s="15" t="s">
        <x:v>44</x:v>
      </x:c>
      <x:c r="C11" s="13" t="s">
        <x:v>41</x:v>
      </x:c>
      <x:c r="D11" s="9" t="s">
        <x:v>13</x:v>
      </x:c>
      <x:c r="E11" s="9" t="s">
        <x:v>14</x:v>
      </x:c>
      <x:c r="F11" s="13" t="s">
        <x:v>42</x:v>
      </x:c>
      <x:c r="G11" s="10">
        <x:v>46212</x:v>
      </x:c>
      <x:c r="H11" s="16" t="s">
        <x:v>45</x:v>
      </x:c>
      <x:c r="I11" s="12">
        <x:v>46213</x:v>
      </x:c>
      <x:c r="J11" s="13" t="s">
        <x:v>17</x:v>
      </x:c>
      <x:c r="K11" s="13" t="s">
        <x:v>18</x:v>
      </x:c>
    </x:row>
    <x:row r="12">
      <x:c r="A12" s="17">
        <x:v>11</x:v>
      </x:c>
      <x:c r="B12" s="15" t="s">
        <x:v>46</x:v>
      </x:c>
      <x:c r="C12" s="13" t="s">
        <x:v>41</x:v>
      </x:c>
      <x:c r="D12" s="9" t="s">
        <x:v>13</x:v>
      </x:c>
      <x:c r="E12" s="9" t="s">
        <x:v>14</x:v>
      </x:c>
      <x:c r="F12" s="13" t="s">
        <x:v>42</x:v>
      </x:c>
      <x:c r="G12" s="10">
        <x:v>46212</x:v>
      </x:c>
      <x:c r="H12" s="20" t="s">
        <x:v>47</x:v>
      </x:c>
      <x:c r="I12" s="12">
        <x:v>46213</x:v>
      </x:c>
      <x:c r="J12" s="13" t="s">
        <x:v>17</x:v>
      </x:c>
      <x:c r="K12" s="13" t="s">
        <x:v>36</x:v>
      </x:c>
    </x:row>
    <x:row r="13" ht="153" customHeight="1">
      <x:c r="A13" s="17">
        <x:v>12</x:v>
      </x:c>
      <x:c r="B13" s="21" t="s">
        <x:v>48</x:v>
      </x:c>
      <x:c r="C13" s="13" t="s">
        <x:v>49</x:v>
      </x:c>
      <x:c r="D13" s="9" t="s">
        <x:v>13</x:v>
      </x:c>
      <x:c r="E13" s="9" t="s">
        <x:v>14</x:v>
      </x:c>
      <x:c r="F13" s="13" t="s">
        <x:v>42</x:v>
      </x:c>
      <x:c r="G13" s="10">
        <x:v>46212</x:v>
      </x:c>
      <x:c r="H13" s="20" t="s">
        <x:v>50</x:v>
      </x:c>
      <x:c r="I13" s="12">
        <x:v>46213</x:v>
      </x:c>
      <x:c r="J13" s="13" t="s">
        <x:v>17</x:v>
      </x:c>
      <x:c r="K13" s="13" t="s">
        <x:v>36</x:v>
      </x:c>
    </x:row>
    <x:row r="14">
      <x:c r="A14" s="17">
        <x:v>13</x:v>
      </x:c>
      <x:c r="B14" s="15" t="s">
        <x:v>51</x:v>
      </x:c>
      <x:c r="C14" s="13" t="s">
        <x:v>52</x:v>
      </x:c>
      <x:c r="D14" s="9" t="s">
        <x:v>13</x:v>
      </x:c>
      <x:c r="E14" s="9" t="s">
        <x:v>14</x:v>
      </x:c>
      <x:c r="F14" s="13" t="s">
        <x:v>42</x:v>
      </x:c>
      <x:c r="G14" s="10">
        <x:v>46212</x:v>
      </x:c>
      <x:c r="H14" s="16" t="s">
        <x:v>53</x:v>
      </x:c>
      <x:c r="I14" s="12">
        <x:v>46213</x:v>
      </x:c>
      <x:c r="J14" s="13" t="s">
        <x:v>17</x:v>
      </x:c>
      <x:c r="K14" s="13" t="s">
        <x:v>26</x:v>
      </x:c>
    </x:row>
    <x:row r="15">
      <x:c r="A15" s="22">
        <x:v>14</x:v>
      </x:c>
      <x:c r="B15" s="15" t="s">
        <x:v>54</x:v>
      </x:c>
      <x:c r="C15" s="13" t="s">
        <x:v>55</x:v>
      </x:c>
      <x:c r="D15" s="9" t="s">
        <x:v>13</x:v>
      </x:c>
      <x:c r="E15" s="9" t="s">
        <x:v>14</x:v>
      </x:c>
      <x:c r="F15" s="13" t="s">
        <x:v>56</x:v>
      </x:c>
      <x:c r="G15" s="10">
        <x:v>46212</x:v>
      </x:c>
      <x:c r="H15" s="16" t="s">
        <x:v>57</x:v>
      </x:c>
      <x:c r="I15" s="12">
        <x:v>46213</x:v>
      </x:c>
      <x:c r="J15" s="13" t="s">
        <x:v>17</x:v>
      </x:c>
      <x:c r="K15" s="13" t="s">
        <x:v>36</x:v>
      </x:c>
    </x:row>
    <x:row r="16">
      <x:c r="A16" s="22">
        <x:v>15</x:v>
      </x:c>
      <x:c r="B16" s="15" t="s">
        <x:v>58</x:v>
      </x:c>
      <x:c r="C16" s="13" t="s">
        <x:v>59</x:v>
      </x:c>
      <x:c r="D16" s="9" t="s">
        <x:v>13</x:v>
      </x:c>
      <x:c r="E16" s="9" t="s">
        <x:v>14</x:v>
      </x:c>
      <x:c r="F16" s="13" t="s">
        <x:v>60</x:v>
      </x:c>
      <x:c r="G16" s="23">
        <x:v>46212</x:v>
      </x:c>
      <x:c r="H16" s="20" t="s">
        <x:v>61</x:v>
      </x:c>
      <x:c r="I16" s="12">
        <x:v>46213</x:v>
      </x:c>
      <x:c r="J16" s="13" t="s">
        <x:v>17</x:v>
      </x:c>
      <x:c r="K16" s="13" t="s">
        <x:v>36</x:v>
      </x:c>
    </x:row>
    <x:row r="17">
      <x:c r="A17" s="22">
        <x:v>16</x:v>
      </x:c>
      <x:c r="B17" s="15" t="s">
        <x:v>62</x:v>
      </x:c>
      <x:c r="C17" s="13" t="s">
        <x:v>41</x:v>
      </x:c>
      <x:c r="D17" s="9" t="s">
        <x:v>13</x:v>
      </x:c>
      <x:c r="E17" s="9" t="s">
        <x:v>14</x:v>
      </x:c>
      <x:c r="F17" s="13" t="s">
        <x:v>60</x:v>
      </x:c>
      <x:c r="G17" s="23">
        <x:v>46212</x:v>
      </x:c>
      <x:c r="H17" s="15" t="s">
        <x:v>63</x:v>
      </x:c>
      <x:c r="I17" s="12">
        <x:v>46213</x:v>
      </x:c>
      <x:c r="J17" s="13" t="s">
        <x:v>17</x:v>
      </x:c>
      <x:c r="K17" s="13" t="s">
        <x:v>18</x:v>
      </x:c>
    </x:row>
    <x:row r="18">
      <x:c r="A18" s="22">
        <x:v>17</x:v>
      </x:c>
      <x:c r="B18" s="15" t="s">
        <x:v>64</x:v>
      </x:c>
      <x:c r="C18" s="13" t="s">
        <x:v>41</x:v>
      </x:c>
      <x:c r="D18" s="9" t="s">
        <x:v>13</x:v>
      </x:c>
      <x:c r="E18" s="9" t="s">
        <x:v>14</x:v>
      </x:c>
      <x:c r="F18" s="13" t="s">
        <x:v>60</x:v>
      </x:c>
      <x:c r="G18" s="23">
        <x:v>46212</x:v>
      </x:c>
      <x:c r="H18" s="15" t="s">
        <x:v>65</x:v>
      </x:c>
      <x:c r="I18" s="12">
        <x:v>46213</x:v>
      </x:c>
      <x:c r="J18" s="13" t="s">
        <x:v>17</x:v>
      </x:c>
      <x:c r="K18" s="13" t="s">
        <x:v>18</x:v>
      </x:c>
    </x:row>
    <x:row r="19">
      <x:c r="A19" s="22">
        <x:v>18</x:v>
      </x:c>
      <x:c r="B19" s="15" t="s">
        <x:v>66</x:v>
      </x:c>
      <x:c r="C19" s="13" t="s">
        <x:v>67</x:v>
      </x:c>
      <x:c r="D19" s="9" t="s">
        <x:v>13</x:v>
      </x:c>
      <x:c r="E19" s="9" t="s">
        <x:v>14</x:v>
      </x:c>
      <x:c r="F19" s="13" t="s">
        <x:v>60</x:v>
      </x:c>
      <x:c r="G19" s="23">
        <x:v>46212</x:v>
      </x:c>
      <x:c r="H19" s="15" t="s">
        <x:v>68</x:v>
      </x:c>
      <x:c r="I19" s="12">
        <x:v>46213</x:v>
      </x:c>
      <x:c r="J19" s="13" t="s">
        <x:v>17</x:v>
      </x:c>
      <x:c r="K19" s="13" t="s">
        <x:v>36</x:v>
      </x:c>
    </x:row>
    <x:row r="20">
      <x:c r="A20" s="22">
        <x:v>19</x:v>
      </x:c>
      <x:c r="B20" s="15" t="s">
        <x:v>69</x:v>
      </x:c>
      <x:c r="C20" s="13" t="s">
        <x:v>70</x:v>
      </x:c>
      <x:c r="D20" s="9" t="s">
        <x:v>13</x:v>
      </x:c>
      <x:c r="E20" s="9" t="s">
        <x:v>14</x:v>
      </x:c>
      <x:c r="F20" s="13" t="s">
        <x:v>60</x:v>
      </x:c>
      <x:c r="G20" s="23">
        <x:v>46212</x:v>
      </x:c>
      <x:c r="H20" s="15" t="s">
        <x:v>71</x:v>
      </x:c>
      <x:c r="I20" s="12">
        <x:v>46213</x:v>
      </x:c>
      <x:c r="J20" s="13" t="s">
        <x:v>17</x:v>
      </x:c>
      <x:c r="K20" s="13" t="s">
        <x:v>26</x:v>
      </x:c>
    </x:row>
    <x:row r="21">
      <x:c r="A21" s="22">
        <x:v>20</x:v>
      </x:c>
      <x:c r="B21" s="15" t="s">
        <x:v>72</x:v>
      </x:c>
      <x:c r="C21" s="13" t="s">
        <x:v>38</x:v>
      </x:c>
      <x:c r="D21" s="9" t="s">
        <x:v>13</x:v>
      </x:c>
      <x:c r="E21" s="9" t="s">
        <x:v>14</x:v>
      </x:c>
      <x:c r="F21" s="9" t="s">
        <x:v>29</x:v>
      </x:c>
      <x:c r="G21" s="24">
        <x:v>46213</x:v>
      </x:c>
      <x:c r="H21" s="25"/>
      <x:c r="I21" s="12">
        <x:v>46213</x:v>
      </x:c>
      <x:c r="J21" s="13" t="s">
        <x:v>17</x:v>
      </x:c>
      <x:c r="K21" s="13" t="s">
        <x:v>36</x:v>
      </x:c>
    </x:row>
    <x:row r="22" ht="87" customHeight="1">
      <x:c r="A22" s="22">
        <x:v>21</x:v>
      </x:c>
      <x:c r="B22" s="21" t="s">
        <x:v>73</x:v>
      </x:c>
      <x:c r="C22" s="9" t="s">
        <x:v>12</x:v>
      </x:c>
      <x:c r="D22" s="9" t="s">
        <x:v>74</x:v>
      </x:c>
      <x:c r="E22" s="9" t="s">
        <x:v>14</x:v>
      </x:c>
      <x:c r="F22" s="9" t="s">
        <x:v>15</x:v>
      </x:c>
      <x:c r="G22" s="24">
        <x:v>46213</x:v>
      </x:c>
      <x:c r="H22" s="15" t="s">
        <x:v>75</x:v>
      </x:c>
      <x:c r="I22" s="12">
        <x:v>46213</x:v>
      </x:c>
      <x:c r="J22" s="13" t="s">
        <x:v>17</x:v>
      </x:c>
      <x:c r="K22" s="13" t="s">
        <x:v>18</x:v>
      </x:c>
    </x:row>
    <x:row r="23">
      <x:c r="A23" s="22">
        <x:v>22</x:v>
      </x:c>
      <x:c r="B23" s="15" t="s">
        <x:v>76</x:v>
      </x:c>
      <x:c r="C23" s="9" t="s">
        <x:v>12</x:v>
      </x:c>
      <x:c r="D23" s="9" t="s">
        <x:v>13</x:v>
      </x:c>
      <x:c r="E23" s="9" t="s">
        <x:v>14</x:v>
      </x:c>
      <x:c r="F23" s="9" t="s">
        <x:v>15</x:v>
      </x:c>
      <x:c r="G23" s="24">
        <x:v>46213</x:v>
      </x:c>
      <x:c r="H23" s="15" t="s">
        <x:v>77</x:v>
      </x:c>
      <x:c r="I23" s="12">
        <x:v>46213</x:v>
      </x:c>
      <x:c r="J23" s="13" t="s">
        <x:v>17</x:v>
      </x:c>
      <x:c r="K23" s="13" t="s">
        <x:v>18</x:v>
      </x:c>
    </x:row>
    <x:row r="24">
      <x:c r="A24" s="22">
        <x:v>23</x:v>
      </x:c>
      <x:c r="B24" s="15" t="s">
        <x:v>78</x:v>
      </x:c>
      <x:c r="C24" s="13" t="s">
        <x:v>38</x:v>
      </x:c>
      <x:c r="D24" s="9" t="s">
        <x:v>13</x:v>
      </x:c>
      <x:c r="E24" s="9" t="s">
        <x:v>14</x:v>
      </x:c>
      <x:c r="F24" s="9" t="s">
        <x:v>29</x:v>
      </x:c>
      <x:c r="G24" s="24">
        <x:v>46213</x:v>
      </x:c>
      <x:c r="H24" s="25"/>
      <x:c r="I24" s="12">
        <x:v>46213</x:v>
      </x:c>
      <x:c r="J24" s="13" t="s">
        <x:v>17</x:v>
      </x:c>
      <x:c r="K24" s="13" t="s">
        <x:v>36</x:v>
      </x:c>
    </x:row>
    <x:row r="25">
      <x:c r="A25" s="22">
        <x:v>24</x:v>
      </x:c>
      <x:c r="B25" s="15" t="s">
        <x:v>79</x:v>
      </x:c>
      <x:c r="C25" s="13" t="s">
        <x:v>80</x:v>
      </x:c>
      <x:c r="D25" s="9" t="s">
        <x:v>13</x:v>
      </x:c>
      <x:c r="E25" s="9" t="s">
        <x:v>14</x:v>
      </x:c>
      <x:c r="F25" s="9" t="s">
        <x:v>29</x:v>
      </x:c>
      <x:c r="G25" s="24">
        <x:v>46214</x:v>
      </x:c>
      <x:c r="H25" s="25"/>
      <x:c r="I25" s="12"/>
      <x:c r="J25" s="13"/>
      <x:c r="K25" s="13" t="s">
        <x:v>36</x:v>
      </x:c>
    </x:row>
    <x:row r="26">
      <x:c r="A26" s="22">
        <x:v>25</x:v>
      </x:c>
      <x:c r="B26" s="15" t="s">
        <x:v>81</x:v>
      </x:c>
      <x:c r="C26" s="13" t="s">
        <x:v>41</x:v>
      </x:c>
      <x:c r="D26" s="26"/>
      <x:c r="E26" s="26"/>
      <x:c r="F26" s="13" t="s">
        <x:v>42</x:v>
      </x:c>
      <x:c r="G26" s="27"/>
      <x:c r="H26" s="25"/>
      <x:c r="I26" s="12"/>
      <x:c r="J26" s="13"/>
      <x:c r="K26" s="13" t="s">
        <x:v>36</x:v>
      </x:c>
    </x:row>
    <x:row r="27">
      <x:c r="A27" s="22">
        <x:v>26</x:v>
      </x:c>
      <x:c r="B27" s="15" t="s">
        <x:v>82</x:v>
      </x:c>
      <x:c r="C27" s="13" t="s">
        <x:v>41</x:v>
      </x:c>
      <x:c r="D27" s="13"/>
      <x:c r="E27" s="13"/>
      <x:c r="F27" s="13" t="s">
        <x:v>42</x:v>
      </x:c>
      <x:c r="G27" s="23"/>
      <x:c r="H27" s="15"/>
      <x:c r="I27" s="12"/>
      <x:c r="J27" s="13"/>
      <x:c r="K27" s="13" t="s">
        <x:v>36</x:v>
      </x:c>
    </x:row>
    <x:row r="28" ht="18" customHeight="1">
      <x:c r="A28" s="22">
        <x:v>27</x:v>
      </x:c>
      <x:c r="B28" s="15" t="s">
        <x:v>83</x:v>
      </x:c>
      <x:c r="C28" s="13" t="s">
        <x:v>41</x:v>
      </x:c>
      <x:c r="D28" s="13"/>
      <x:c r="E28" s="13"/>
      <x:c r="F28" s="13" t="s">
        <x:v>42</x:v>
      </x:c>
      <x:c r="G28" s="23"/>
      <x:c r="H28" s="15"/>
      <x:c r="I28" s="12"/>
      <x:c r="J28" s="13"/>
      <x:c r="K28" s="13" t="s">
        <x:v>36</x:v>
      </x:c>
    </x:row>
    <x:row r="29" ht="18" customHeight="1">
      <x:c r="A29" s="22">
        <x:v>28</x:v>
      </x:c>
      <x:c r="B29" s="15" t="s">
        <x:v>84</x:v>
      </x:c>
      <x:c r="C29" s="13" t="s">
        <x:v>41</x:v>
      </x:c>
      <x:c r="D29" s="13"/>
      <x:c r="E29" s="13"/>
      <x:c r="F29" s="13" t="s">
        <x:v>42</x:v>
      </x:c>
      <x:c r="G29" s="23"/>
      <x:c r="H29" s="15"/>
      <x:c r="I29" s="12"/>
      <x:c r="J29" s="13"/>
      <x:c r="K29" s="13" t="s">
        <x:v>36</x:v>
      </x:c>
    </x:row>
    <x:row r="30">
      <x:c r="A30" s="22">
        <x:v>29</x:v>
      </x:c>
      <x:c r="B30" s="15" t="s">
        <x:v>85</x:v>
      </x:c>
      <x:c r="C30" s="13" t="s">
        <x:v>41</x:v>
      </x:c>
      <x:c r="D30" s="13"/>
      <x:c r="E30" s="13"/>
      <x:c r="F30" s="13" t="s">
        <x:v>42</x:v>
      </x:c>
      <x:c r="G30" s="23"/>
      <x:c r="H30" s="15"/>
      <x:c r="I30" s="12"/>
      <x:c r="J30" s="13"/>
      <x:c r="K30" s="13" t="s">
        <x:v>36</x:v>
      </x:c>
    </x:row>
    <x:row r="31">
      <x:c r="A31" s="22">
        <x:v>30</x:v>
      </x:c>
      <x:c r="B31" s="15" t="s">
        <x:v>86</x:v>
      </x:c>
      <x:c r="C31" s="13" t="s">
        <x:v>41</x:v>
      </x:c>
      <x:c r="D31" s="13"/>
      <x:c r="E31" s="13"/>
      <x:c r="F31" s="13" t="s">
        <x:v>42</x:v>
      </x:c>
      <x:c r="G31" s="23"/>
      <x:c r="H31" s="15"/>
      <x:c r="I31" s="12"/>
      <x:c r="J31" s="13"/>
      <x:c r="K31" s="13" t="s">
        <x:v>36</x:v>
      </x:c>
    </x:row>
    <x:row r="32" ht="18" customHeight="1">
      <x:c r="A32" s="22">
        <x:v>31</x:v>
      </x:c>
      <x:c r="B32" s="15" t="s">
        <x:v>87</x:v>
      </x:c>
      <x:c r="C32" s="13" t="s">
        <x:v>41</x:v>
      </x:c>
      <x:c r="D32" s="13"/>
      <x:c r="E32" s="13"/>
      <x:c r="F32" s="13" t="s">
        <x:v>42</x:v>
      </x:c>
      <x:c r="G32" s="23"/>
      <x:c r="H32" s="15"/>
      <x:c r="I32" s="12"/>
      <x:c r="J32" s="13"/>
      <x:c r="K32" s="13" t="s">
        <x:v>36</x:v>
      </x:c>
    </x:row>
    <x:row r="33">
      <x:c r="A33" s="22">
        <x:v>32</x:v>
      </x:c>
      <x:c r="B33" s="15" t="s">
        <x:v>88</x:v>
      </x:c>
      <x:c r="C33" s="13" t="s">
        <x:v>67</x:v>
      </x:c>
      <x:c r="D33" s="26"/>
      <x:c r="E33" s="26"/>
      <x:c r="F33" s="13" t="s">
        <x:v>42</x:v>
      </x:c>
      <x:c r="G33" s="27"/>
      <x:c r="H33" s="25"/>
      <x:c r="I33" s="12"/>
      <x:c r="J33" s="13"/>
      <x:c r="K33" s="13" t="s">
        <x:v>36</x:v>
      </x:c>
    </x:row>
    <x:row r="34" ht="46" customHeight="1">
      <x:c r="A34" s="22">
        <x:v>33</x:v>
      </x:c>
      <x:c r="B34" s="15" t="s">
        <x:v>89</x:v>
      </x:c>
      <x:c r="C34" s="13" t="s">
        <x:v>67</x:v>
      </x:c>
      <x:c r="D34" s="13"/>
      <x:c r="E34" s="13"/>
      <x:c r="F34" s="13" t="s">
        <x:v>42</x:v>
      </x:c>
      <x:c r="G34" s="23"/>
      <x:c r="H34" s="15"/>
      <x:c r="I34" s="12"/>
      <x:c r="J34" s="13"/>
      <x:c r="K34" s="13" t="s">
        <x:v>36</x:v>
      </x:c>
    </x:row>
    <x:row r="35">
      <x:c r="A35" s="22">
        <x:v>34</x:v>
      </x:c>
      <x:c r="B35" s="15" t="s">
        <x:v>90</x:v>
      </x:c>
      <x:c r="C35" s="13" t="s">
        <x:v>67</x:v>
      </x:c>
      <x:c r="D35" s="13"/>
      <x:c r="E35" s="13"/>
      <x:c r="F35" s="13" t="s">
        <x:v>42</x:v>
      </x:c>
      <x:c r="G35" s="27"/>
      <x:c r="H35" s="25"/>
      <x:c r="I35" s="12"/>
      <x:c r="J35" s="13"/>
      <x:c r="K35" s="13" t="s">
        <x:v>36</x:v>
      </x:c>
    </x:row>
    <x:row r="36">
      <x:c r="A36" s="22">
        <x:v>35</x:v>
      </x:c>
      <x:c r="B36" s="15" t="s">
        <x:v>91</x:v>
      </x:c>
      <x:c r="C36" s="13" t="s">
        <x:v>41</x:v>
      </x:c>
      <x:c r="D36" s="13"/>
      <x:c r="E36" s="13"/>
      <x:c r="F36" s="13" t="s">
        <x:v>42</x:v>
      </x:c>
      <x:c r="G36" s="23"/>
      <x:c r="H36" s="15"/>
      <x:c r="I36" s="12"/>
      <x:c r="J36" s="13"/>
      <x:c r="K36" s="13" t="s">
        <x:v>36</x:v>
      </x:c>
    </x:row>
    <x:row r="37" ht="18" customHeight="1">
      <x:c r="A37" s="22">
        <x:v>36</x:v>
      </x:c>
      <x:c r="B37" s="15" t="s">
        <x:v>92</x:v>
      </x:c>
      <x:c r="C37" s="13" t="s">
        <x:v>41</x:v>
      </x:c>
      <x:c r="D37" s="13"/>
      <x:c r="E37" s="13"/>
      <x:c r="F37" s="13" t="s">
        <x:v>42</x:v>
      </x:c>
      <x:c r="G37" s="23"/>
      <x:c r="H37" s="15"/>
      <x:c r="I37" s="12"/>
      <x:c r="J37" s="13"/>
      <x:c r="K37" s="13" t="s">
        <x:v>36</x:v>
      </x:c>
    </x:row>
    <x:row r="38" ht="18" customHeight="1">
      <x:c r="A38" s="22">
        <x:v>37</x:v>
      </x:c>
      <x:c r="B38" s="15" t="s">
        <x:v>93</x:v>
      </x:c>
      <x:c r="C38" s="13" t="s">
        <x:v>41</x:v>
      </x:c>
      <x:c r="D38" s="13"/>
      <x:c r="E38" s="13"/>
      <x:c r="F38" s="13" t="s">
        <x:v>42</x:v>
      </x:c>
      <x:c r="G38" s="23"/>
      <x:c r="H38" s="15"/>
      <x:c r="I38" s="12"/>
      <x:c r="J38" s="13"/>
      <x:c r="K38" s="13" t="s">
        <x:v>36</x:v>
      </x:c>
    </x:row>
    <x:row r="39">
      <x:c r="A39" s="22">
        <x:v>38</x:v>
      </x:c>
      <x:c r="B39" s="15" t="s">
        <x:v>94</x:v>
      </x:c>
      <x:c r="C39" s="13" t="s">
        <x:v>67</x:v>
      </x:c>
      <x:c r="D39" s="13"/>
      <x:c r="E39" s="13"/>
      <x:c r="F39" s="13" t="s">
        <x:v>42</x:v>
      </x:c>
      <x:c r="G39" s="23"/>
      <x:c r="H39" s="15"/>
      <x:c r="I39" s="12"/>
      <x:c r="J39" s="13"/>
      <x:c r="K39" s="13" t="s">
        <x:v>36</x:v>
      </x:c>
    </x:row>
    <x:row r="40" ht="18" customHeight="1">
      <x:c r="A40" s="22">
        <x:v>39</x:v>
      </x:c>
      <x:c r="B40" s="15" t="s">
        <x:v>95</x:v>
      </x:c>
      <x:c r="C40" s="13" t="s">
        <x:v>67</x:v>
      </x:c>
      <x:c r="D40" s="13"/>
      <x:c r="E40" s="13"/>
      <x:c r="F40" s="13" t="s">
        <x:v>42</x:v>
      </x:c>
      <x:c r="G40" s="23"/>
      <x:c r="H40" s="15"/>
      <x:c r="I40" s="12"/>
      <x:c r="J40" s="13"/>
      <x:c r="K40" s="13" t="s">
        <x:v>36</x:v>
      </x:c>
    </x:row>
    <x:row r="41" ht="18" customHeight="1">
      <x:c r="A41" s="22">
        <x:v>40</x:v>
      </x:c>
      <x:c r="B41" s="15" t="s">
        <x:v>96</x:v>
      </x:c>
      <x:c r="C41" s="13" t="s">
        <x:v>67</x:v>
      </x:c>
      <x:c r="D41" s="13"/>
      <x:c r="E41" s="13"/>
      <x:c r="F41" s="13" t="s">
        <x:v>42</x:v>
      </x:c>
      <x:c r="G41" s="23"/>
      <x:c r="H41" s="15"/>
      <x:c r="I41" s="12"/>
      <x:c r="J41" s="13"/>
      <x:c r="K41" s="13" t="s">
        <x:v>36</x:v>
      </x:c>
    </x:row>
    <x:row r="42" ht="18" customHeight="1">
      <x:c r="A42" s="22">
        <x:v>41</x:v>
      </x:c>
      <x:c r="B42" s="15" t="s">
        <x:v>97</x:v>
      </x:c>
      <x:c r="C42" s="13" t="s">
        <x:v>67</x:v>
      </x:c>
      <x:c r="D42" s="13"/>
      <x:c r="E42" s="13"/>
      <x:c r="F42" s="13" t="s">
        <x:v>42</x:v>
      </x:c>
      <x:c r="G42" s="23"/>
      <x:c r="H42" s="15"/>
      <x:c r="I42" s="12"/>
      <x:c r="J42" s="13"/>
      <x:c r="K42" s="13" t="s">
        <x:v>36</x:v>
      </x:c>
    </x:row>
    <x:row r="43" ht="18" customHeight="1">
      <x:c r="A43" s="22">
        <x:v>42</x:v>
      </x:c>
      <x:c r="B43" s="15" t="s">
        <x:v>98</x:v>
      </x:c>
      <x:c r="C43" s="13" t="s">
        <x:v>41</x:v>
      </x:c>
      <x:c r="D43" s="13"/>
      <x:c r="E43" s="13"/>
      <x:c r="F43" s="13" t="s">
        <x:v>42</x:v>
      </x:c>
      <x:c r="G43" s="23"/>
      <x:c r="H43" s="15"/>
      <x:c r="I43" s="12"/>
      <x:c r="J43" s="13"/>
      <x:c r="K43" s="13" t="s">
        <x:v>36</x:v>
      </x:c>
    </x:row>
    <x:row r="44" ht="18" customHeight="1">
      <x:c r="A44" s="22">
        <x:v>43</x:v>
      </x:c>
      <x:c r="B44" s="15" t="s">
        <x:v>99</x:v>
      </x:c>
      <x:c r="C44" s="13" t="s">
        <x:v>67</x:v>
      </x:c>
      <x:c r="D44" s="13"/>
      <x:c r="E44" s="13"/>
      <x:c r="F44" s="13" t="s">
        <x:v>42</x:v>
      </x:c>
      <x:c r="G44" s="23"/>
      <x:c r="H44" s="15"/>
      <x:c r="I44" s="12"/>
      <x:c r="J44" s="13"/>
      <x:c r="K44" s="13" t="s">
        <x:v>36</x:v>
      </x:c>
    </x:row>
    <x:row r="45" ht="18" customHeight="1">
      <x:c r="A45" s="22">
        <x:v>44</x:v>
      </x:c>
      <x:c r="B45" s="15" t="s">
        <x:v>100</x:v>
      </x:c>
      <x:c r="C45" s="13" t="s">
        <x:v>67</x:v>
      </x:c>
      <x:c r="D45" s="13"/>
      <x:c r="E45" s="13"/>
      <x:c r="F45" s="13" t="s">
        <x:v>42</x:v>
      </x:c>
      <x:c r="G45" s="23"/>
      <x:c r="H45" s="15"/>
      <x:c r="I45" s="12"/>
      <x:c r="J45" s="13"/>
      <x:c r="K45" s="13" t="s">
        <x:v>36</x:v>
      </x:c>
    </x:row>
    <x:row r="46" ht="89" customHeight="1">
      <x:c r="A46" s="22">
        <x:v>45</x:v>
      </x:c>
      <x:c r="B46" s="21" t="s">
        <x:v>101</x:v>
      </x:c>
      <x:c r="C46" s="13" t="s">
        <x:v>102</x:v>
      </x:c>
      <x:c r="D46" s="13"/>
      <x:c r="E46" s="13"/>
      <x:c r="F46" s="13" t="s">
        <x:v>60</x:v>
      </x:c>
      <x:c r="G46" s="23"/>
      <x:c r="H46" s="15"/>
      <x:c r="I46" s="12"/>
      <x:c r="J46" s="13"/>
      <x:c r="K46" s="13" t="s">
        <x:v>36</x:v>
      </x:c>
    </x:row>
    <x:row r="47">
      <x:c r="A47" s="22">
        <x:v>46</x:v>
      </x:c>
      <x:c r="B47" s="15" t="s">
        <x:v>103</x:v>
      </x:c>
      <x:c r="C47" s="13" t="s">
        <x:v>102</x:v>
      </x:c>
      <x:c r="D47" s="13"/>
      <x:c r="E47" s="13"/>
      <x:c r="F47" s="13" t="s">
        <x:v>60</x:v>
      </x:c>
      <x:c r="G47" s="23"/>
      <x:c r="H47" s="15"/>
      <x:c r="I47" s="12"/>
      <x:c r="J47" s="13"/>
      <x:c r="K47" s="13" t="s">
        <x:v>36</x:v>
      </x:c>
    </x:row>
    <x:row r="48">
      <x:c r="A48" s="22">
        <x:v>47</x:v>
      </x:c>
      <x:c r="B48" s="15" t="s">
        <x:v>104</x:v>
      </x:c>
      <x:c r="C48" s="13" t="s">
        <x:v>102</x:v>
      </x:c>
      <x:c r="D48" s="13"/>
      <x:c r="E48" s="13"/>
      <x:c r="F48" s="13" t="s">
        <x:v>60</x:v>
      </x:c>
      <x:c r="G48" s="23"/>
      <x:c r="H48" s="15"/>
      <x:c r="I48" s="12"/>
      <x:c r="J48" s="13"/>
      <x:c r="K48" s="13" t="s">
        <x:v>36</x:v>
      </x:c>
    </x:row>
    <x:row r="49">
      <x:c r="A49" s="22">
        <x:v>48</x:v>
      </x:c>
      <x:c r="B49" s="15" t="s">
        <x:v>105</x:v>
      </x:c>
      <x:c r="C49" s="13" t="s">
        <x:v>102</x:v>
      </x:c>
      <x:c r="D49" s="13"/>
      <x:c r="E49" s="13"/>
      <x:c r="F49" s="13" t="s">
        <x:v>60</x:v>
      </x:c>
      <x:c r="G49" s="27"/>
      <x:c r="H49" s="25"/>
      <x:c r="I49" s="12"/>
      <x:c r="J49" s="13"/>
      <x:c r="K49" s="13" t="s">
        <x:v>36</x:v>
      </x:c>
    </x:row>
    <x:row r="50">
      <x:c r="A50" s="22">
        <x:v>49</x:v>
      </x:c>
      <x:c r="B50" s="15" t="s">
        <x:v>106</x:v>
      </x:c>
      <x:c r="C50" s="13" t="s">
        <x:v>102</x:v>
      </x:c>
      <x:c r="D50" s="13"/>
      <x:c r="E50" s="13"/>
      <x:c r="F50" s="13" t="s">
        <x:v>60</x:v>
      </x:c>
      <x:c r="G50" s="23"/>
      <x:c r="H50" s="15"/>
      <x:c r="I50" s="12"/>
      <x:c r="J50" s="13"/>
      <x:c r="K50" s="13" t="s">
        <x:v>36</x:v>
      </x:c>
    </x:row>
    <x:row r="51">
      <x:c r="A51" s="22">
        <x:v>50</x:v>
      </x:c>
      <x:c r="B51" s="15" t="s">
        <x:v>107</x:v>
      </x:c>
      <x:c r="C51" s="13" t="s">
        <x:v>102</x:v>
      </x:c>
      <x:c r="D51" s="13"/>
      <x:c r="E51" s="13"/>
      <x:c r="F51" s="13" t="s">
        <x:v>60</x:v>
      </x:c>
      <x:c r="G51" s="23"/>
      <x:c r="H51" s="15"/>
      <x:c r="I51" s="12"/>
      <x:c r="J51" s="13"/>
      <x:c r="K51" s="13" t="s">
        <x:v>36</x:v>
      </x:c>
    </x:row>
    <x:row r="52" ht="58" customHeight="1">
      <x:c r="A52" s="28">
        <x:v>51</x:v>
      </x:c>
      <x:c r="B52" s="29" t="s">
        <x:v>108</x:v>
      </x:c>
      <x:c r="C52" s="30" t="s">
        <x:v>12</x:v>
      </x:c>
      <x:c r="D52" s="13"/>
      <x:c r="E52" s="13"/>
      <x:c r="F52" s="30" t="s">
        <x:v>15</x:v>
      </x:c>
      <x:c r="G52" s="23"/>
      <x:c r="H52" s="15"/>
      <x:c r="I52" s="12"/>
      <x:c r="J52" s="13"/>
      <x:c r="K52" s="13" t="s">
        <x:v>36</x:v>
      </x:c>
    </x:row>
    <x:row r="53">
      <x:c r="A53" s="22"/>
      <x:c r="B53" s="15"/>
      <x:c r="C53" s="13"/>
      <x:c r="D53" s="13"/>
      <x:c r="E53" s="13"/>
      <x:c r="F53" s="13"/>
      <x:c r="G53" s="23"/>
      <x:c r="H53" s="15"/>
      <x:c r="I53" s="12"/>
      <x:c r="J53" s="13"/>
      <x:c r="K53" s="13" t="s">
        <x:v>36</x:v>
      </x:c>
    </x:row>
    <x:row r="54">
      <x:c r="A54" s="22"/>
      <x:c r="B54" s="15"/>
      <x:c r="C54" s="13"/>
      <x:c r="D54" s="13"/>
      <x:c r="E54" s="13"/>
      <x:c r="F54" s="13"/>
      <x:c r="G54" s="23"/>
      <x:c r="H54" s="15"/>
      <x:c r="I54" s="12"/>
      <x:c r="J54" s="13"/>
      <x:c r="K54" s="13" t="s">
        <x:v>36</x:v>
      </x:c>
    </x:row>
    <x:row r="55">
      <x:c r="A55" s="22"/>
      <x:c r="B55" s="15"/>
      <x:c r="C55" s="13"/>
      <x:c r="D55" s="13"/>
      <x:c r="E55" s="13"/>
      <x:c r="F55" s="13"/>
      <x:c r="G55" s="23"/>
      <x:c r="H55" s="15"/>
      <x:c r="I55" s="12"/>
      <x:c r="J55" s="13"/>
      <x:c r="K55" s="13" t="s">
        <x:v>36</x:v>
      </x:c>
    </x:row>
    <x:row r="56">
      <x:c r="A56" s="22"/>
      <x:c r="B56" s="15"/>
      <x:c r="C56" s="13"/>
      <x:c r="D56" s="13"/>
      <x:c r="E56" s="13"/>
      <x:c r="F56" s="13"/>
      <x:c r="G56" s="23"/>
      <x:c r="H56" s="15"/>
      <x:c r="I56" s="12"/>
      <x:c r="J56" s="13"/>
      <x:c r="K56" s="13" t="s">
        <x:v>36</x:v>
      </x:c>
    </x:row>
    <x:row r="57">
      <x:c r="A57" s="22"/>
      <x:c r="B57" s="15"/>
      <x:c r="C57" s="13"/>
      <x:c r="D57" s="13"/>
      <x:c r="E57" s="13"/>
      <x:c r="F57" s="13"/>
      <x:c r="G57" s="23"/>
      <x:c r="H57" s="15"/>
      <x:c r="I57" s="12"/>
      <x:c r="J57" s="13"/>
      <x:c r="K57" s="13" t="s">
        <x:v>36</x:v>
      </x:c>
    </x:row>
    <x:row r="58">
      <x:c r="A58" s="22"/>
      <x:c r="B58" s="15"/>
      <x:c r="C58" s="13"/>
      <x:c r="D58" s="13"/>
      <x:c r="E58" s="13"/>
      <x:c r="F58" s="13"/>
      <x:c r="G58" s="23"/>
      <x:c r="H58" s="15"/>
      <x:c r="I58" s="12"/>
      <x:c r="J58" s="13"/>
      <x:c r="K58" s="13" t="s">
        <x:v>36</x:v>
      </x:c>
    </x:row>
    <x:row r="59">
      <x:c r="A59" s="22"/>
      <x:c r="B59" s="15"/>
      <x:c r="C59" s="13"/>
      <x:c r="D59" s="13"/>
      <x:c r="E59" s="13"/>
      <x:c r="F59" s="13"/>
      <x:c r="G59" s="23"/>
      <x:c r="H59" s="15"/>
      <x:c r="I59" s="12"/>
      <x:c r="J59" s="13"/>
      <x:c r="K59" s="13" t="s">
        <x:v>36</x:v>
      </x:c>
    </x:row>
    <x:row r="60">
      <x:c r="A60" s="22"/>
      <x:c r="B60" s="15"/>
      <x:c r="C60" s="13"/>
      <x:c r="D60" s="13"/>
      <x:c r="E60" s="13"/>
      <x:c r="F60" s="13"/>
      <x:c r="G60" s="23"/>
      <x:c r="H60" s="15"/>
      <x:c r="I60" s="12"/>
      <x:c r="J60" s="13"/>
      <x:c r="K60" s="13" t="s">
        <x:v>36</x:v>
      </x:c>
    </x:row>
    <x:row r="61">
      <x:c r="A61" s="22"/>
      <x:c r="B61" s="15"/>
      <x:c r="C61" s="13"/>
      <x:c r="D61" s="13"/>
      <x:c r="E61" s="13"/>
      <x:c r="F61" s="13"/>
      <x:c r="G61" s="23"/>
      <x:c r="H61" s="15"/>
      <x:c r="I61" s="12"/>
      <x:c r="J61" s="13"/>
      <x:c r="K61" s="13" t="s">
        <x:v>36</x:v>
      </x:c>
    </x:row>
    <x:row r="62">
      <x:c r="A62" s="22"/>
      <x:c r="B62" s="15"/>
      <x:c r="C62" s="13"/>
      <x:c r="D62" s="13"/>
      <x:c r="E62" s="13"/>
      <x:c r="F62" s="13"/>
      <x:c r="G62" s="23"/>
      <x:c r="H62" s="15"/>
      <x:c r="I62" s="12"/>
      <x:c r="J62" s="13"/>
      <x:c r="K62" s="13" t="s">
        <x:v>36</x:v>
      </x:c>
    </x:row>
    <x:row r="63">
      <x:c r="A63" s="22"/>
      <x:c r="B63" s="15"/>
      <x:c r="C63" s="13"/>
      <x:c r="D63" s="13"/>
      <x:c r="E63" s="13"/>
      <x:c r="F63" s="13"/>
      <x:c r="G63" s="23"/>
      <x:c r="H63" s="15"/>
      <x:c r="I63" s="12"/>
      <x:c r="J63" s="13"/>
      <x:c r="K63" s="13" t="s">
        <x:v>36</x:v>
      </x:c>
    </x:row>
    <x:row r="64">
      <x:c r="A64" s="22"/>
      <x:c r="B64" s="15"/>
      <x:c r="C64" s="13"/>
      <x:c r="D64" s="13"/>
      <x:c r="E64" s="13"/>
      <x:c r="F64" s="13"/>
      <x:c r="G64" s="23"/>
      <x:c r="H64" s="15"/>
      <x:c r="I64" s="12"/>
      <x:c r="J64" s="13"/>
      <x:c r="K64" s="13" t="s">
        <x:v>36</x:v>
      </x:c>
    </x:row>
    <x:row r="65">
      <x:c r="A65" s="22"/>
      <x:c r="B65" s="15"/>
      <x:c r="C65" s="13"/>
      <x:c r="D65" s="13"/>
      <x:c r="E65" s="13"/>
      <x:c r="F65" s="13"/>
      <x:c r="G65" s="23"/>
      <x:c r="H65" s="15"/>
      <x:c r="I65" s="12"/>
      <x:c r="J65" s="13"/>
      <x:c r="K65" s="13" t="s">
        <x:v>36</x:v>
      </x:c>
    </x:row>
    <x:row r="66">
      <x:c r="A66" s="22"/>
      <x:c r="B66" s="15"/>
      <x:c r="C66" s="13"/>
      <x:c r="D66" s="13"/>
      <x:c r="E66" s="13"/>
      <x:c r="F66" s="13"/>
      <x:c r="G66" s="23"/>
      <x:c r="H66" s="15"/>
      <x:c r="I66" s="12"/>
      <x:c r="J66" s="13"/>
      <x:c r="K66" s="13" t="s">
        <x:v>36</x:v>
      </x:c>
    </x:row>
    <x:row r="67">
      <x:c r="A67" s="22"/>
      <x:c r="B67" s="15"/>
      <x:c r="C67" s="13"/>
      <x:c r="D67" s="13"/>
      <x:c r="E67" s="13"/>
      <x:c r="F67" s="13"/>
      <x:c r="G67" s="23"/>
      <x:c r="H67" s="15"/>
      <x:c r="I67" s="12"/>
      <x:c r="J67" s="13"/>
      <x:c r="K67" s="13" t="s">
        <x:v>36</x:v>
      </x:c>
    </x:row>
    <x:row r="68">
      <x:c r="A68" s="22"/>
      <x:c r="B68" s="15"/>
      <x:c r="C68" s="13"/>
      <x:c r="D68" s="13"/>
      <x:c r="E68" s="13"/>
      <x:c r="F68" s="13"/>
      <x:c r="G68" s="23"/>
      <x:c r="H68" s="15"/>
      <x:c r="I68" s="12"/>
      <x:c r="J68" s="13"/>
      <x:c r="K68" s="13" t="s">
        <x:v>36</x:v>
      </x:c>
    </x:row>
    <x:row r="69">
      <x:c r="A69" s="22"/>
      <x:c r="B69" s="15"/>
      <x:c r="C69" s="13"/>
      <x:c r="D69" s="13"/>
      <x:c r="E69" s="13"/>
      <x:c r="F69" s="13"/>
      <x:c r="G69" s="23"/>
      <x:c r="H69" s="15"/>
      <x:c r="I69" s="12"/>
      <x:c r="J69" s="13"/>
      <x:c r="K69" s="13" t="s">
        <x:v>36</x:v>
      </x:c>
    </x:row>
    <x:row r="70">
      <x:c r="A70" s="22"/>
      <x:c r="B70" s="15"/>
      <x:c r="C70" s="13"/>
      <x:c r="D70" s="13"/>
      <x:c r="E70" s="13"/>
      <x:c r="F70" s="13"/>
      <x:c r="G70" s="23"/>
      <x:c r="H70" s="15"/>
      <x:c r="I70" s="12"/>
      <x:c r="J70" s="13"/>
      <x:c r="K70" s="13" t="s">
        <x:v>36</x:v>
      </x:c>
    </x:row>
    <x:row r="71">
      <x:c r="A71" s="22"/>
      <x:c r="B71" s="15"/>
      <x:c r="C71" s="13"/>
      <x:c r="D71" s="13"/>
      <x:c r="E71" s="13"/>
      <x:c r="F71" s="13"/>
      <x:c r="G71" s="23"/>
      <x:c r="H71" s="15"/>
      <x:c r="I71" s="12"/>
      <x:c r="J71" s="13"/>
      <x:c r="K71" s="13" t="s">
        <x:v>36</x:v>
      </x:c>
    </x:row>
    <x:row r="72">
      <x:c r="A72" s="22"/>
      <x:c r="B72" s="15"/>
      <x:c r="C72" s="13"/>
      <x:c r="D72" s="13"/>
      <x:c r="E72" s="13"/>
      <x:c r="F72" s="13"/>
      <x:c r="G72" s="23"/>
      <x:c r="H72" s="15"/>
      <x:c r="I72" s="12"/>
      <x:c r="J72" s="13"/>
      <x:c r="K72" s="13" t="s">
        <x:v>36</x:v>
      </x:c>
    </x:row>
    <x:row r="73">
      <x:c r="A73" s="22"/>
      <x:c r="B73" s="15"/>
      <x:c r="C73" s="13"/>
      <x:c r="D73" s="13"/>
      <x:c r="E73" s="13"/>
      <x:c r="F73" s="13"/>
      <x:c r="G73" s="23"/>
      <x:c r="H73" s="15"/>
      <x:c r="I73" s="12"/>
      <x:c r="J73" s="13"/>
      <x:c r="K73" s="13" t="s">
        <x:v>36</x:v>
      </x:c>
    </x:row>
    <x:row r="74">
      <x:c r="A74" s="31"/>
      <x:c r="B74" s="32"/>
      <x:c r="G74" s="31"/>
      <x:c r="H74" s="32"/>
      <x:c r="I74" s="33"/>
    </x:row>
    <x:row r="75">
      <x:c r="A75" s="31"/>
      <x:c r="B75" s="32"/>
      <x:c r="G75" s="31"/>
      <x:c r="H75" s="32"/>
      <x:c r="I75" s="33"/>
    </x:row>
    <x:row r="76">
      <x:c r="A76" s="31"/>
      <x:c r="B76" s="32"/>
      <x:c r="G76" s="31"/>
      <x:c r="H76" s="32"/>
      <x:c r="I76" s="33"/>
    </x:row>
    <x:row r="77">
      <x:c r="A77" s="31"/>
      <x:c r="B77" s="32"/>
      <x:c r="G77" s="31"/>
      <x:c r="H77" s="32"/>
      <x:c r="I77" s="33"/>
    </x:row>
    <x:row r="78">
      <x:c r="A78" s="31"/>
      <x:c r="B78" s="32"/>
      <x:c r="G78" s="31"/>
      <x:c r="H78" s="32"/>
      <x:c r="I78" s="33"/>
    </x:row>
    <x:row r="79">
      <x:c r="A79" s="31"/>
      <x:c r="B79" s="32"/>
      <x:c r="G79" s="31"/>
      <x:c r="H79" s="32"/>
      <x:c r="I79" s="33"/>
    </x:row>
    <x:row r="80">
      <x:c r="A80" s="31"/>
      <x:c r="B80" s="32"/>
      <x:c r="G80" s="31"/>
      <x:c r="H80" s="32"/>
      <x:c r="I80" s="33"/>
    </x:row>
    <x:row r="81">
      <x:c r="A81" s="31"/>
      <x:c r="B81" s="32"/>
      <x:c r="G81" s="31"/>
      <x:c r="H81" s="32"/>
      <x:c r="I81" s="33"/>
    </x:row>
    <x:row r="82">
      <x:c r="A82" s="31"/>
      <x:c r="B82" s="32"/>
      <x:c r="G82" s="31"/>
      <x:c r="H82" s="32"/>
      <x:c r="I82" s="33"/>
    </x:row>
    <x:row r="83">
      <x:c r="A83" s="31"/>
      <x:c r="B83" s="32"/>
      <x:c r="G83" s="31"/>
      <x:c r="H83" s="32"/>
      <x:c r="I83" s="33"/>
    </x:row>
    <x:row r="84">
      <x:c r="A84" s="31"/>
      <x:c r="B84" s="32"/>
      <x:c r="G84" s="31"/>
      <x:c r="H84" s="32"/>
      <x:c r="I84" s="33"/>
    </x:row>
    <x:row r="85">
      <x:c r="A85" s="31"/>
      <x:c r="B85" s="32"/>
      <x:c r="G85" s="31"/>
      <x:c r="H85" s="32"/>
      <x:c r="I85" s="33"/>
    </x:row>
    <x:row r="86">
      <x:c r="A86" s="31"/>
      <x:c r="B86" s="32"/>
      <x:c r="G86" s="31"/>
      <x:c r="H86" s="32"/>
      <x:c r="I86" s="33"/>
    </x:row>
    <x:row r="87">
      <x:c r="A87" s="31"/>
      <x:c r="B87" s="32"/>
      <x:c r="G87" s="31"/>
      <x:c r="H87" s="32"/>
      <x:c r="I87" s="33"/>
    </x:row>
    <x:row r="88">
      <x:c r="A88" s="31"/>
      <x:c r="B88" s="32"/>
      <x:c r="G88" s="31"/>
      <x:c r="H88" s="32"/>
      <x:c r="I88" s="33"/>
    </x:row>
    <x:row r="89">
      <x:c r="A89" s="31"/>
      <x:c r="B89" s="32"/>
      <x:c r="G89" s="31"/>
      <x:c r="H89" s="32"/>
      <x:c r="I89" s="33"/>
    </x:row>
    <x:row r="90">
      <x:c r="A90" s="31"/>
      <x:c r="B90" s="32"/>
      <x:c r="G90" s="31"/>
      <x:c r="H90" s="32"/>
      <x:c r="I90" s="33"/>
    </x:row>
    <x:row r="91">
      <x:c r="A91" s="31"/>
      <x:c r="B91" s="32"/>
      <x:c r="G91" s="31"/>
      <x:c r="H91" s="32"/>
      <x:c r="I91" s="33"/>
    </x:row>
    <x:row r="92">
      <x:c r="A92" s="31"/>
      <x:c r="B92" s="32"/>
      <x:c r="G92" s="31"/>
      <x:c r="H92" s="32"/>
      <x:c r="I92" s="33"/>
    </x:row>
    <x:row r="93">
      <x:c r="A93" s="31"/>
      <x:c r="B93" s="32"/>
      <x:c r="G93" s="31"/>
      <x:c r="H93" s="32"/>
      <x:c r="I93" s="33"/>
    </x:row>
    <x:row r="94">
      <x:c r="A94" s="31"/>
      <x:c r="B94" s="32"/>
      <x:c r="G94" s="31"/>
      <x:c r="H94" s="32"/>
      <x:c r="I94" s="33"/>
    </x:row>
    <x:row r="95">
      <x:c r="A95" s="31"/>
      <x:c r="B95" s="32"/>
      <x:c r="G95" s="31"/>
      <x:c r="H95" s="32"/>
      <x:c r="I95" s="33"/>
    </x:row>
    <x:row r="96">
      <x:c r="A96" s="31"/>
      <x:c r="B96" s="32"/>
      <x:c r="G96" s="31"/>
      <x:c r="H96" s="32"/>
      <x:c r="I96" s="33"/>
    </x:row>
    <x:row r="97">
      <x:c r="A97" s="31"/>
      <x:c r="B97" s="32"/>
      <x:c r="G97" s="31"/>
      <x:c r="H97" s="32"/>
      <x:c r="I97" s="33"/>
    </x:row>
    <x:row r="98">
      <x:c r="A98" s="31"/>
      <x:c r="B98" s="32"/>
      <x:c r="G98" s="31"/>
      <x:c r="H98" s="32"/>
      <x:c r="I98" s="33"/>
    </x:row>
    <x:row r="99">
      <x:c r="A99" s="31"/>
      <x:c r="B99" s="32"/>
      <x:c r="G99" s="31"/>
      <x:c r="H99" s="32"/>
      <x:c r="I99" s="33"/>
    </x:row>
    <x:row r="100">
      <x:c r="A100" s="31"/>
      <x:c r="B100" s="32"/>
      <x:c r="G100" s="31"/>
      <x:c r="H100" s="32"/>
      <x:c r="I100" s="33"/>
    </x:row>
    <x:row r="101">
      <x:c r="A101" s="31"/>
      <x:c r="B101" s="32"/>
      <x:c r="G101" s="31"/>
      <x:c r="H101" s="32"/>
      <x:c r="I101" s="33"/>
    </x:row>
    <x:row r="102">
      <x:c r="A102" s="31"/>
      <x:c r="B102" s="32"/>
      <x:c r="G102" s="31"/>
      <x:c r="H102" s="32"/>
      <x:c r="I102" s="33"/>
    </x:row>
    <x:row r="103">
      <x:c r="A103" s="31"/>
      <x:c r="B103" s="32"/>
      <x:c r="G103" s="31"/>
      <x:c r="H103" s="32"/>
      <x:c r="I103" s="33"/>
    </x:row>
    <x:row r="104">
      <x:c r="A104" s="31"/>
      <x:c r="B104" s="32"/>
      <x:c r="G104" s="31"/>
      <x:c r="H104" s="32"/>
      <x:c r="I104" s="33"/>
    </x:row>
    <x:row r="105">
      <x:c r="A105" s="31"/>
      <x:c r="B105" s="32"/>
      <x:c r="G105" s="31"/>
      <x:c r="H105" s="32"/>
      <x:c r="I105" s="33"/>
    </x:row>
    <x:row r="106">
      <x:c r="A106" s="31"/>
      <x:c r="B106" s="32"/>
      <x:c r="G106" s="31"/>
      <x:c r="H106" s="32"/>
      <x:c r="I106" s="33"/>
    </x:row>
    <x:row r="107">
      <x:c r="A107" s="31"/>
      <x:c r="B107" s="32"/>
      <x:c r="G107" s="31"/>
      <x:c r="H107" s="32"/>
      <x:c r="I107" s="33"/>
    </x:row>
    <x:row r="108">
      <x:c r="A108" s="31"/>
      <x:c r="B108" s="32"/>
      <x:c r="G108" s="31"/>
      <x:c r="H108" s="32"/>
      <x:c r="I108" s="33"/>
    </x:row>
    <x:row r="109">
      <x:c r="A109" s="31"/>
      <x:c r="B109" s="32"/>
      <x:c r="G109" s="31"/>
      <x:c r="H109" s="32"/>
      <x:c r="I109" s="33"/>
    </x:row>
    <x:row r="110">
      <x:c r="A110" s="31"/>
      <x:c r="B110" s="32"/>
      <x:c r="G110" s="31"/>
      <x:c r="H110" s="32"/>
      <x:c r="I110" s="33"/>
    </x:row>
    <x:row r="111">
      <x:c r="A111" s="31"/>
      <x:c r="B111" s="32"/>
      <x:c r="G111" s="31"/>
      <x:c r="H111" s="32"/>
      <x:c r="I111" s="33"/>
    </x:row>
    <x:row r="112">
      <x:c r="A112" s="31"/>
      <x:c r="B112" s="32"/>
      <x:c r="G112" s="31"/>
      <x:c r="H112" s="32"/>
      <x:c r="I112" s="33"/>
    </x:row>
    <x:row r="113">
      <x:c r="A113" s="31"/>
      <x:c r="B113" s="32"/>
      <x:c r="G113" s="31"/>
      <x:c r="H113" s="32"/>
      <x:c r="I113" s="33"/>
    </x:row>
    <x:row r="114">
      <x:c r="A114" s="31"/>
      <x:c r="B114" s="32"/>
      <x:c r="G114" s="31"/>
      <x:c r="H114" s="32"/>
      <x:c r="I114" s="33"/>
    </x:row>
    <x:row r="115">
      <x:c r="A115" s="31"/>
      <x:c r="B115" s="32"/>
      <x:c r="G115" s="31"/>
      <x:c r="H115" s="32"/>
      <x:c r="I115" s="33"/>
    </x:row>
    <x:row r="116">
      <x:c r="A116" s="31"/>
      <x:c r="B116" s="32"/>
      <x:c r="G116" s="31"/>
      <x:c r="H116" s="32"/>
      <x:c r="I116" s="33"/>
    </x:row>
    <x:row r="117">
      <x:c r="A117" s="31"/>
      <x:c r="B117" s="32"/>
      <x:c r="G117" s="31"/>
      <x:c r="H117" s="32"/>
      <x:c r="I117" s="33"/>
    </x:row>
    <x:row r="118">
      <x:c r="A118" s="31"/>
      <x:c r="B118" s="32"/>
      <x:c r="G118" s="31"/>
      <x:c r="H118" s="32"/>
      <x:c r="I118" s="33"/>
    </x:row>
    <x:row r="119">
      <x:c r="A119" s="31"/>
      <x:c r="B119" s="32"/>
      <x:c r="G119" s="31"/>
      <x:c r="H119" s="32"/>
      <x:c r="I119" s="33"/>
    </x:row>
    <x:row r="120">
      <x:c r="A120" s="31"/>
      <x:c r="B120" s="32"/>
      <x:c r="G120" s="31"/>
      <x:c r="H120" s="32"/>
      <x:c r="I120" s="33"/>
    </x:row>
    <x:row r="121">
      <x:c r="A121" s="31"/>
      <x:c r="B121" s="32"/>
      <x:c r="G121" s="31"/>
      <x:c r="H121" s="32"/>
      <x:c r="I121" s="33"/>
    </x:row>
    <x:row r="122">
      <x:c r="A122" s="31"/>
      <x:c r="B122" s="32"/>
      <x:c r="G122" s="31"/>
      <x:c r="H122" s="32"/>
      <x:c r="I122" s="33"/>
    </x:row>
    <x:row r="123">
      <x:c r="A123" s="31"/>
      <x:c r="B123" s="32"/>
      <x:c r="G123" s="31"/>
      <x:c r="H123" s="32"/>
      <x:c r="I123" s="33"/>
    </x:row>
    <x:row r="124">
      <x:c r="A124" s="31"/>
      <x:c r="B124" s="32"/>
      <x:c r="G124" s="31"/>
      <x:c r="H124" s="32"/>
      <x:c r="I124" s="33"/>
    </x:row>
    <x:row r="125">
      <x:c r="A125" s="31"/>
      <x:c r="B125" s="32"/>
      <x:c r="G125" s="31"/>
      <x:c r="H125" s="32"/>
      <x:c r="I125" s="33"/>
    </x:row>
    <x:row r="126">
      <x:c r="A126" s="31"/>
      <x:c r="B126" s="32"/>
      <x:c r="G126" s="31"/>
      <x:c r="H126" s="32"/>
      <x:c r="I126" s="33"/>
    </x:row>
    <x:row r="127">
      <x:c r="A127" s="31"/>
      <x:c r="B127" s="32"/>
      <x:c r="G127" s="31"/>
      <x:c r="H127" s="32"/>
      <x:c r="I127" s="33"/>
    </x:row>
    <x:row r="128">
      <x:c r="A128" s="31"/>
      <x:c r="B128" s="32"/>
      <x:c r="G128" s="31"/>
      <x:c r="H128" s="32"/>
      <x:c r="I128" s="33"/>
    </x:row>
    <x:row r="129">
      <x:c r="A129" s="31"/>
      <x:c r="B129" s="32"/>
      <x:c r="G129" s="31"/>
      <x:c r="H129" s="32"/>
      <x:c r="I129" s="33"/>
    </x:row>
    <x:row r="130">
      <x:c r="A130" s="31"/>
      <x:c r="B130" s="32"/>
      <x:c r="G130" s="31"/>
      <x:c r="H130" s="32"/>
      <x:c r="I130" s="33"/>
    </x:row>
    <x:row r="131">
      <x:c r="A131" s="31"/>
      <x:c r="B131" s="32"/>
      <x:c r="G131" s="31"/>
      <x:c r="H131" s="32"/>
      <x:c r="I131" s="33"/>
    </x:row>
    <x:row r="132">
      <x:c r="A132" s="31"/>
      <x:c r="B132" s="32"/>
      <x:c r="G132" s="31"/>
      <x:c r="H132" s="32"/>
      <x:c r="I132" s="33"/>
    </x:row>
    <x:row r="133">
      <x:c r="A133" s="31"/>
      <x:c r="B133" s="32"/>
      <x:c r="G133" s="31"/>
      <x:c r="H133" s="32"/>
      <x:c r="I133" s="33"/>
    </x:row>
    <x:row r="134">
      <x:c r="A134" s="31"/>
      <x:c r="B134" s="32"/>
      <x:c r="G134" s="31"/>
      <x:c r="H134" s="32"/>
      <x:c r="I134" s="33"/>
    </x:row>
    <x:row r="135">
      <x:c r="A135" s="31"/>
      <x:c r="B135" s="32"/>
      <x:c r="G135" s="31"/>
      <x:c r="H135" s="32"/>
      <x:c r="I135" s="33"/>
    </x:row>
    <x:row r="136">
      <x:c r="A136" s="31"/>
      <x:c r="B136" s="32"/>
      <x:c r="G136" s="31"/>
      <x:c r="H136" s="32"/>
      <x:c r="I136" s="33"/>
    </x:row>
    <x:row r="137">
      <x:c r="A137" s="31"/>
      <x:c r="B137" s="32"/>
      <x:c r="G137" s="31"/>
      <x:c r="H137" s="32"/>
      <x:c r="I137" s="33"/>
    </x:row>
    <x:row r="138">
      <x:c r="A138" s="31"/>
      <x:c r="B138" s="32"/>
      <x:c r="G138" s="31"/>
      <x:c r="H138" s="32"/>
      <x:c r="I138" s="33"/>
    </x:row>
    <x:row r="139">
      <x:c r="A139" s="31"/>
      <x:c r="B139" s="32"/>
      <x:c r="G139" s="31"/>
      <x:c r="H139" s="32"/>
      <x:c r="I139" s="33"/>
    </x:row>
    <x:row r="140">
      <x:c r="A140" s="31"/>
      <x:c r="B140" s="32"/>
      <x:c r="G140" s="31"/>
      <x:c r="H140" s="32"/>
      <x:c r="I140" s="33"/>
    </x:row>
    <x:row r="141">
      <x:c r="A141" s="31"/>
      <x:c r="B141" s="32"/>
      <x:c r="G141" s="31"/>
      <x:c r="H141" s="32"/>
      <x:c r="I141" s="33"/>
    </x:row>
    <x:row r="142">
      <x:c r="A142" s="31"/>
      <x:c r="B142" s="32"/>
      <x:c r="G142" s="31"/>
      <x:c r="H142" s="32"/>
      <x:c r="I142" s="33"/>
    </x:row>
    <x:row r="143">
      <x:c r="A143" s="31"/>
      <x:c r="B143" s="32"/>
      <x:c r="G143" s="31"/>
      <x:c r="H143" s="32"/>
      <x:c r="I143" s="33"/>
    </x:row>
    <x:row r="144">
      <x:c r="A144" s="31"/>
      <x:c r="B144" s="32"/>
      <x:c r="G144" s="31"/>
      <x:c r="H144" s="32"/>
      <x:c r="I144" s="33"/>
    </x:row>
    <x:row r="145">
      <x:c r="A145" s="31"/>
      <x:c r="B145" s="32"/>
      <x:c r="G145" s="31"/>
      <x:c r="H145" s="32"/>
      <x:c r="I145" s="33"/>
    </x:row>
    <x:row r="146">
      <x:c r="A146" s="31"/>
      <x:c r="B146" s="32"/>
      <x:c r="G146" s="31"/>
      <x:c r="H146" s="32"/>
      <x:c r="I146" s="33"/>
    </x:row>
    <x:row r="147">
      <x:c r="A147" s="31"/>
      <x:c r="B147" s="32"/>
      <x:c r="G147" s="31"/>
      <x:c r="H147" s="32"/>
      <x:c r="I147" s="33"/>
    </x:row>
    <x:row r="148">
      <x:c r="A148" s="31"/>
      <x:c r="B148" s="32"/>
      <x:c r="G148" s="31"/>
      <x:c r="H148" s="32"/>
      <x:c r="I148" s="33"/>
    </x:row>
    <x:row r="149">
      <x:c r="A149" s="31"/>
      <x:c r="B149" s="32"/>
      <x:c r="G149" s="31"/>
      <x:c r="H149" s="32"/>
      <x:c r="I149" s="33"/>
    </x:row>
    <x:row r="150">
      <x:c r="A150" s="31"/>
      <x:c r="B150" s="32"/>
      <x:c r="G150" s="31"/>
      <x:c r="H150" s="32"/>
      <x:c r="I150" s="33"/>
    </x:row>
    <x:row r="151">
      <x:c r="A151" s="31"/>
      <x:c r="B151" s="32"/>
      <x:c r="G151" s="31"/>
      <x:c r="H151" s="32"/>
      <x:c r="I151" s="33"/>
    </x:row>
    <x:row r="152">
      <x:c r="A152" s="31"/>
      <x:c r="B152" s="32"/>
      <x:c r="G152" s="31"/>
      <x:c r="H152" s="32"/>
      <x:c r="I152" s="33"/>
    </x:row>
    <x:row r="153">
      <x:c r="A153" s="31"/>
      <x:c r="B153" s="32"/>
      <x:c r="G153" s="31"/>
      <x:c r="H153" s="32"/>
      <x:c r="I153" s="33"/>
    </x:row>
    <x:row r="154">
      <x:c r="A154" s="31"/>
      <x:c r="B154" s="32"/>
      <x:c r="G154" s="31"/>
      <x:c r="H154" s="32"/>
      <x:c r="I154" s="33"/>
    </x:row>
    <x:row r="155">
      <x:c r="A155" s="31"/>
      <x:c r="B155" s="32"/>
      <x:c r="G155" s="31"/>
      <x:c r="H155" s="32"/>
      <x:c r="I155" s="33"/>
    </x:row>
    <x:row r="156">
      <x:c r="A156" s="31"/>
      <x:c r="B156" s="32"/>
      <x:c r="G156" s="31"/>
      <x:c r="H156" s="32"/>
      <x:c r="I156" s="33"/>
    </x:row>
    <x:row r="157">
      <x:c r="A157" s="31"/>
      <x:c r="B157" s="32"/>
      <x:c r="G157" s="31"/>
      <x:c r="H157" s="32"/>
      <x:c r="I157" s="33"/>
    </x:row>
    <x:row r="158">
      <x:c r="A158" s="31"/>
      <x:c r="B158" s="32"/>
      <x:c r="G158" s="31"/>
      <x:c r="H158" s="32"/>
      <x:c r="I158" s="33"/>
    </x:row>
    <x:row r="159">
      <x:c r="A159" s="31"/>
      <x:c r="B159" s="32"/>
      <x:c r="G159" s="31"/>
      <x:c r="H159" s="32"/>
      <x:c r="I159" s="33"/>
    </x:row>
    <x:row r="160">
      <x:c r="A160" s="31"/>
      <x:c r="B160" s="32"/>
      <x:c r="G160" s="31"/>
      <x:c r="H160" s="32"/>
      <x:c r="I160" s="33"/>
    </x:row>
    <x:row r="161">
      <x:c r="A161" s="31"/>
      <x:c r="B161" s="32"/>
      <x:c r="G161" s="31"/>
      <x:c r="H161" s="32"/>
      <x:c r="I161" s="33"/>
    </x:row>
    <x:row r="162">
      <x:c r="A162" s="31"/>
      <x:c r="B162" s="32"/>
      <x:c r="G162" s="31"/>
      <x:c r="H162" s="32"/>
      <x:c r="I162" s="33"/>
    </x:row>
    <x:row r="163">
      <x:c r="A163" s="31"/>
      <x:c r="B163" s="32"/>
      <x:c r="G163" s="31"/>
      <x:c r="H163" s="32"/>
      <x:c r="I163" s="33"/>
    </x:row>
    <x:row r="164">
      <x:c r="A164" s="31"/>
      <x:c r="B164" s="32"/>
      <x:c r="G164" s="31"/>
      <x:c r="H164" s="32"/>
      <x:c r="I164" s="33"/>
    </x:row>
    <x:row r="165">
      <x:c r="A165" s="31"/>
      <x:c r="B165" s="32"/>
      <x:c r="G165" s="31"/>
      <x:c r="H165" s="32"/>
      <x:c r="I165" s="33"/>
    </x:row>
    <x:row r="166">
      <x:c r="A166" s="31"/>
      <x:c r="B166" s="32"/>
      <x:c r="G166" s="31"/>
      <x:c r="H166" s="32"/>
      <x:c r="I166" s="33"/>
    </x:row>
    <x:row r="167">
      <x:c r="A167" s="31"/>
      <x:c r="B167" s="32"/>
      <x:c r="G167" s="31"/>
      <x:c r="H167" s="32"/>
      <x:c r="I167" s="33"/>
    </x:row>
    <x:row r="168">
      <x:c r="A168" s="31"/>
      <x:c r="B168" s="32"/>
      <x:c r="G168" s="31"/>
      <x:c r="H168" s="32"/>
      <x:c r="I168" s="33"/>
    </x:row>
    <x:row r="169">
      <x:c r="A169" s="31"/>
      <x:c r="B169" s="32"/>
      <x:c r="G169" s="31"/>
      <x:c r="H169" s="32"/>
      <x:c r="I169" s="33"/>
    </x:row>
    <x:row r="170">
      <x:c r="A170" s="31"/>
      <x:c r="B170" s="32"/>
      <x:c r="G170" s="31"/>
      <x:c r="H170" s="32"/>
      <x:c r="I170" s="33"/>
    </x:row>
    <x:row r="171">
      <x:c r="A171" s="31"/>
      <x:c r="B171" s="32"/>
      <x:c r="G171" s="31"/>
      <x:c r="H171" s="32"/>
      <x:c r="I171" s="33"/>
    </x:row>
    <x:row r="172">
      <x:c r="A172" s="31"/>
      <x:c r="B172" s="32"/>
      <x:c r="G172" s="31"/>
      <x:c r="H172" s="32"/>
      <x:c r="I172" s="33"/>
    </x:row>
    <x:row r="173">
      <x:c r="A173" s="31"/>
      <x:c r="B173" s="32"/>
      <x:c r="G173" s="31"/>
      <x:c r="H173" s="32"/>
      <x:c r="I173" s="33"/>
    </x:row>
    <x:row r="174">
      <x:c r="A174" s="31"/>
      <x:c r="B174" s="32"/>
      <x:c r="G174" s="31"/>
      <x:c r="H174" s="32"/>
      <x:c r="I174" s="33"/>
    </x:row>
    <x:row r="175">
      <x:c r="A175" s="31"/>
      <x:c r="B175" s="32"/>
      <x:c r="G175" s="31"/>
      <x:c r="H175" s="32"/>
      <x:c r="I175" s="33"/>
    </x:row>
    <x:row r="176">
      <x:c r="A176" s="31"/>
      <x:c r="B176" s="32"/>
      <x:c r="G176" s="31"/>
      <x:c r="H176" s="32"/>
      <x:c r="I176" s="33"/>
    </x:row>
    <x:row r="177">
      <x:c r="A177" s="31"/>
      <x:c r="B177" s="32"/>
      <x:c r="G177" s="31"/>
      <x:c r="H177" s="32"/>
      <x:c r="I177" s="33"/>
    </x:row>
    <x:row r="178">
      <x:c r="A178" s="31"/>
      <x:c r="B178" s="32"/>
      <x:c r="G178" s="31"/>
      <x:c r="H178" s="32"/>
      <x:c r="I178" s="33"/>
    </x:row>
    <x:row r="179">
      <x:c r="A179" s="31"/>
      <x:c r="B179" s="32"/>
      <x:c r="G179" s="31"/>
      <x:c r="H179" s="32"/>
      <x:c r="I179" s="33"/>
    </x:row>
    <x:row r="180">
      <x:c r="A180" s="31"/>
      <x:c r="B180" s="32"/>
      <x:c r="G180" s="31"/>
      <x:c r="H180" s="32"/>
      <x:c r="I180" s="33"/>
    </x:row>
    <x:row r="181">
      <x:c r="A181" s="31"/>
      <x:c r="B181" s="32"/>
      <x:c r="G181" s="31"/>
      <x:c r="H181" s="32"/>
      <x:c r="I181" s="33"/>
    </x:row>
    <x:row r="182">
      <x:c r="A182" s="31"/>
      <x:c r="B182" s="32"/>
      <x:c r="G182" s="31"/>
      <x:c r="H182" s="32"/>
      <x:c r="I182" s="33"/>
    </x:row>
    <x:row r="183">
      <x:c r="A183" s="31"/>
      <x:c r="B183" s="32"/>
      <x:c r="G183" s="31"/>
      <x:c r="H183" s="32"/>
      <x:c r="I183" s="33"/>
    </x:row>
    <x:row r="184">
      <x:c r="A184" s="31"/>
      <x:c r="B184" s="32"/>
      <x:c r="G184" s="31"/>
      <x:c r="H184" s="32"/>
      <x:c r="I184" s="33"/>
    </x:row>
    <x:row r="185">
      <x:c r="A185" s="31"/>
      <x:c r="B185" s="32"/>
      <x:c r="G185" s="31"/>
      <x:c r="H185" s="32"/>
      <x:c r="I185" s="33"/>
    </x:row>
    <x:row r="186">
      <x:c r="A186" s="31"/>
      <x:c r="B186" s="32"/>
      <x:c r="G186" s="31"/>
      <x:c r="H186" s="32"/>
      <x:c r="I186" s="33"/>
    </x:row>
    <x:row r="187">
      <x:c r="A187" s="31"/>
      <x:c r="B187" s="32"/>
      <x:c r="G187" s="31"/>
      <x:c r="H187" s="32"/>
      <x:c r="I187" s="33"/>
    </x:row>
    <x:row r="188">
      <x:c r="A188" s="31"/>
      <x:c r="B188" s="32"/>
      <x:c r="G188" s="31"/>
      <x:c r="H188" s="32"/>
      <x:c r="I188" s="33"/>
    </x:row>
    <x:row r="189">
      <x:c r="A189" s="31"/>
      <x:c r="B189" s="32"/>
      <x:c r="G189" s="31"/>
      <x:c r="H189" s="32"/>
      <x:c r="I189" s="33"/>
    </x:row>
    <x:row r="190">
      <x:c r="A190" s="31"/>
      <x:c r="B190" s="32"/>
      <x:c r="G190" s="31"/>
      <x:c r="H190" s="32"/>
      <x:c r="I190" s="33"/>
    </x:row>
    <x:row r="191">
      <x:c r="A191" s="31"/>
      <x:c r="B191" s="32"/>
      <x:c r="G191" s="31"/>
      <x:c r="H191" s="32"/>
      <x:c r="I191" s="33"/>
    </x:row>
    <x:row r="192">
      <x:c r="A192" s="31"/>
      <x:c r="B192" s="32"/>
      <x:c r="G192" s="31"/>
      <x:c r="H192" s="32"/>
      <x:c r="I192" s="33"/>
    </x:row>
    <x:row r="193">
      <x:c r="A193" s="31"/>
      <x:c r="B193" s="32"/>
      <x:c r="G193" s="31"/>
      <x:c r="H193" s="32"/>
      <x:c r="I193" s="33"/>
    </x:row>
    <x:row r="194">
      <x:c r="A194" s="31"/>
      <x:c r="B194" s="32"/>
      <x:c r="G194" s="31"/>
      <x:c r="H194" s="32"/>
      <x:c r="I194" s="33"/>
    </x:row>
    <x:row r="195">
      <x:c r="A195" s="31"/>
      <x:c r="B195" s="32"/>
      <x:c r="G195" s="31"/>
      <x:c r="H195" s="32"/>
      <x:c r="I195" s="33"/>
    </x:row>
    <x:row r="196">
      <x:c r="A196" s="31"/>
      <x:c r="B196" s="32"/>
      <x:c r="G196" s="31"/>
      <x:c r="H196" s="32"/>
      <x:c r="I196" s="33"/>
    </x:row>
    <x:row r="197">
      <x:c r="A197" s="31"/>
      <x:c r="B197" s="32"/>
      <x:c r="G197" s="31"/>
      <x:c r="H197" s="32"/>
      <x:c r="I197" s="33"/>
    </x:row>
    <x:row r="198">
      <x:c r="A198" s="31"/>
      <x:c r="B198" s="32"/>
      <x:c r="G198" s="31"/>
      <x:c r="H198" s="32"/>
      <x:c r="I198" s="33"/>
    </x:row>
    <x:row r="199">
      <x:c r="A199" s="31"/>
      <x:c r="B199" s="32"/>
      <x:c r="G199" s="31"/>
      <x:c r="H199" s="32"/>
      <x:c r="I199" s="33"/>
    </x:row>
    <x:row r="200">
      <x:c r="A200" s="31"/>
      <x:c r="B200" s="32"/>
      <x:c r="G200" s="31"/>
      <x:c r="H200" s="32"/>
      <x:c r="I200" s="33"/>
    </x:row>
    <x:row r="201">
      <x:c r="A201" s="31"/>
      <x:c r="B201" s="32"/>
      <x:c r="G201" s="31"/>
      <x:c r="H201" s="32"/>
      <x:c r="I201" s="33"/>
    </x:row>
    <x:row r="202">
      <x:c r="A202" s="31"/>
      <x:c r="B202" s="32"/>
      <x:c r="G202" s="31"/>
      <x:c r="H202" s="32"/>
      <x:c r="I202" s="33"/>
    </x:row>
    <x:row r="203">
      <x:c r="A203" s="31"/>
      <x:c r="B203" s="32"/>
      <x:c r="G203" s="31"/>
      <x:c r="H203" s="32"/>
      <x:c r="I203" s="33"/>
    </x:row>
    <x:row r="204">
      <x:c r="A204" s="31"/>
      <x:c r="B204" s="32"/>
      <x:c r="G204" s="31"/>
      <x:c r="H204" s="32"/>
      <x:c r="I204" s="33"/>
    </x:row>
    <x:row r="205">
      <x:c r="A205" s="31"/>
      <x:c r="B205" s="32"/>
      <x:c r="G205" s="31"/>
      <x:c r="H205" s="32"/>
      <x:c r="I205" s="33"/>
    </x:row>
    <x:row r="206">
      <x:c r="A206" s="31"/>
      <x:c r="B206" s="32"/>
      <x:c r="G206" s="31"/>
      <x:c r="H206" s="32"/>
      <x:c r="I206" s="33"/>
    </x:row>
    <x:row r="207">
      <x:c r="A207" s="31"/>
      <x:c r="B207" s="32"/>
      <x:c r="G207" s="31"/>
      <x:c r="H207" s="32"/>
      <x:c r="I207" s="33"/>
    </x:row>
    <x:row r="208">
      <x:c r="A208" s="31"/>
      <x:c r="B208" s="32"/>
      <x:c r="G208" s="31"/>
      <x:c r="H208" s="32"/>
      <x:c r="I208" s="33"/>
    </x:row>
    <x:row r="209">
      <x:c r="A209" s="31"/>
      <x:c r="B209" s="32"/>
      <x:c r="G209" s="31"/>
      <x:c r="H209" s="32"/>
      <x:c r="I209" s="33"/>
    </x:row>
    <x:row r="210">
      <x:c r="A210" s="31"/>
      <x:c r="B210" s="32"/>
      <x:c r="G210" s="31"/>
      <x:c r="H210" s="32"/>
      <x:c r="I210" s="33"/>
    </x:row>
    <x:row r="211">
      <x:c r="A211" s="31"/>
      <x:c r="B211" s="32"/>
      <x:c r="G211" s="31"/>
      <x:c r="H211" s="32"/>
      <x:c r="I211" s="33"/>
    </x:row>
    <x:row r="212">
      <x:c r="A212" s="31"/>
      <x:c r="B212" s="32"/>
      <x:c r="G212" s="31"/>
      <x:c r="H212" s="32"/>
      <x:c r="I212" s="33"/>
    </x:row>
    <x:row r="213">
      <x:c r="A213" s="31"/>
      <x:c r="B213" s="32"/>
      <x:c r="G213" s="31"/>
      <x:c r="H213" s="32"/>
      <x:c r="I213" s="33"/>
    </x:row>
    <x:row r="214">
      <x:c r="A214" s="31"/>
      <x:c r="B214" s="32"/>
      <x:c r="G214" s="31"/>
      <x:c r="H214" s="32"/>
      <x:c r="I214" s="33"/>
    </x:row>
    <x:row r="215">
      <x:c r="A215" s="31"/>
      <x:c r="B215" s="32"/>
      <x:c r="G215" s="31"/>
      <x:c r="H215" s="32"/>
      <x:c r="I215" s="33"/>
    </x:row>
    <x:row r="216">
      <x:c r="A216" s="31"/>
      <x:c r="B216" s="32"/>
      <x:c r="G216" s="31"/>
      <x:c r="H216" s="32"/>
      <x:c r="I216" s="33"/>
    </x:row>
    <x:row r="217">
      <x:c r="A217" s="31"/>
      <x:c r="B217" s="32"/>
      <x:c r="G217" s="31"/>
      <x:c r="H217" s="32"/>
      <x:c r="I217" s="33"/>
    </x:row>
    <x:row r="218">
      <x:c r="A218" s="31"/>
      <x:c r="B218" s="32"/>
      <x:c r="G218" s="31"/>
      <x:c r="H218" s="32"/>
      <x:c r="I218" s="33"/>
    </x:row>
    <x:row r="219">
      <x:c r="A219" s="31"/>
      <x:c r="B219" s="32"/>
      <x:c r="G219" s="31"/>
      <x:c r="H219" s="32"/>
      <x:c r="I219" s="33"/>
    </x:row>
  </x:sheetData>
  <x:dataValidations count="5">
    <x:dataValidation type="list" errorStyle="stop" allowBlank="1" showErrorMessage="1" sqref="D2:D25">
      <x:formula1>"一般,阻塞"</x:formula1>
    </x:dataValidation>
    <x:dataValidation type="list" errorStyle="stop" allowBlank="1" showErrorMessage="1" sqref="E2:E25">
      <x:formula1>"睿驰,威孚,三方"</x:formula1>
    </x:dataValidation>
    <x:dataValidation type="list" errorStyle="stop" allowBlank="1" showErrorMessage="1" sqref="K2:K73">
      <x:formula1>"处理中,待确认,已关闭"</x:formula1>
    </x:dataValidation>
    <x:dataValidation type="list" errorStyle="stop" allowBlank="1" showErrorMessage="1" sqref="D26:D73">
      <x:formula1>"一般,阻塞"</x:formula1>
    </x:dataValidation>
    <x:dataValidation type="list" errorStyle="stop" allowBlank="1" showErrorMessage="1" sqref="E26:E73">
      <x:formula1>"睿驰,威孚,三方"</x:formula1>
    </x:dataValidation>
  </x:dataValidations>
  <x:hyperlinks>
    <x:hyperlink xmlns:r="http://schemas.openxmlformats.org/officeDocument/2006/relationships" ref="H22" r:id="R2844fee54dde4949"/>
  </x:hyperlinks>
  <x:pageMargins left="0.7" right="0.7" top="0.75" bottom="0.75" header="0.3" footer="0.3"/>
  <x:drawing xmlns:r="http://schemas.openxmlformats.org/officeDocument/2006/relationships" r:id="R570ce9ee705d47fb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6" max="6" width="95" hidden="0" customWidth="1"/>
    <x:col min="1" max="1" width="32" hidden="0" customWidth="1"/>
    <x:col min="2" max="2" width="21" hidden="0" customWidth="1"/>
    <x:col min="3" max="3" width="23" hidden="0" customWidth="1"/>
    <x:col min="4" max="4" width="28" hidden="0" customWidth="1"/>
    <x:col min="5" max="5" width="36" hidden="0" customWidth="1"/>
  </x:cols>
  <x:sheetData>
    <x:row r="1" ht="28" customHeight="1">
      <x:c r="A1" s="34" t="s">
        <x:v>109</x:v>
      </x:c>
      <x:c r="B1" s="35"/>
      <x:c r="C1" s="35"/>
      <x:c r="D1" s="35"/>
      <x:c r="E1" s="35"/>
      <x:c r="F1" s="35"/>
    </x:row>
    <x:row r="2" ht="15" customHeight="1">
      <x:c r="A2" s="36"/>
      <x:c r="B2" s="37"/>
      <x:c r="C2" s="37"/>
      <x:c r="D2" s="37"/>
      <x:c r="E2" s="37"/>
      <x:c r="F2" s="37"/>
    </x:row>
    <x:row r="3" ht="19" customHeight="1">
      <x:c r="A3" s="38" t="s">
        <x:v>110</x:v>
      </x:c>
      <x:c r="B3" s="39" t="s">
        <x:v>111</x:v>
      </x:c>
      <x:c r="C3" s="40"/>
      <x:c r="D3" s="40"/>
      <x:c r="E3" s="40"/>
      <x:c r="F3" s="40"/>
    </x:row>
    <x:row r="4" ht="19" customHeight="1">
      <x:c r="A4" s="38" t="s">
        <x:v>112</x:v>
      </x:c>
      <x:c r="B4" s="41" t="s">
        <x:v>113</x:v>
      </x:c>
      <x:c r="C4" s="40"/>
      <x:c r="D4" s="40"/>
      <x:c r="E4" s="40"/>
      <x:c r="F4" s="40"/>
    </x:row>
    <x:row r="5" ht="19" customHeight="1">
      <x:c r="A5" s="38" t="s">
        <x:v>114</x:v>
      </x:c>
      <x:c r="B5" s="39" t="s">
        <x:v>115</x:v>
      </x:c>
      <x:c r="C5" s="40"/>
      <x:c r="D5" s="40"/>
      <x:c r="E5" s="40"/>
      <x:c r="F5" s="40"/>
    </x:row>
    <x:row r="6" ht="19" customHeight="1">
      <x:c r="A6" s="38" t="s">
        <x:v>116</x:v>
      </x:c>
      <x:c r="B6" s="42" t="s">
        <x:v>117</x:v>
      </x:c>
      <x:c r="C6" s="43"/>
      <x:c r="D6" s="43"/>
      <x:c r="E6" s="43"/>
      <x:c r="F6" s="43"/>
    </x:row>
    <x:row r="7" ht="19" customHeight="1">
      <x:c r="A7" s="38" t="s">
        <x:v>118</x:v>
      </x:c>
      <x:c r="B7" s="39" t="s">
        <x:v>119</x:v>
      </x:c>
      <x:c r="C7" s="40"/>
      <x:c r="D7" s="40"/>
      <x:c r="E7" s="40"/>
      <x:c r="F7" s="40"/>
    </x:row>
    <x:row r="8" ht="19" customHeight="1">
      <x:c r="A8" s="38" t="s">
        <x:v>120</x:v>
      </x:c>
      <x:c r="B8" s="44" t="s">
        <x:v>12</x:v>
      </x:c>
      <x:c r="C8" s="45" t="s">
        <x:v>121</x:v>
      </x:c>
      <x:c r="D8" s="46" t="s">
        <x:v>122</x:v>
      </x:c>
      <x:c r="E8" s="47" t="s">
        <x:v>123</x:v>
      </x:c>
      <x:c r="F8" s="48" t="s">
        <x:v>124</x:v>
      </x:c>
    </x:row>
    <x:row r="9" ht="19" customHeight="1">
      <x:c r="A9" s="38"/>
      <x:c r="B9" s="44" t="s">
        <x:v>125</x:v>
      </x:c>
      <x:c r="C9" s="45" t="s">
        <x:v>121</x:v>
      </x:c>
      <x:c r="D9" s="46" t="s">
        <x:v>122</x:v>
      </x:c>
      <x:c r="E9" s="47" t="s">
        <x:v>123</x:v>
      </x:c>
      <x:c r="F9" s="48" t="s">
        <x:v>124</x:v>
      </x:c>
    </x:row>
    <x:row r="10" ht="19" customHeight="1">
      <x:c r="A10" s="49" t="s">
        <x:v>126</x:v>
      </x:c>
      <x:c r="B10" s="44" t="s">
        <x:v>127</x:v>
      </x:c>
      <x:c r="C10" s="44"/>
      <x:c r="D10" s="46" t="s">
        <x:v>128</x:v>
      </x:c>
      <x:c r="E10" s="47" t="s">
        <x:v>129</x:v>
      </x:c>
      <x:c r="F10" s="48" t="s">
        <x:v>124</x:v>
      </x:c>
    </x:row>
    <x:row r="11" ht="19" customHeight="1">
      <x:c r="A11" s="50"/>
      <x:c r="B11" s="44" t="s">
        <x:v>130</x:v>
      </x:c>
      <x:c r="C11" s="44"/>
      <x:c r="D11" s="46" t="s">
        <x:v>128</x:v>
      </x:c>
      <x:c r="E11" s="47" t="s">
        <x:v>131</x:v>
      </x:c>
      <x:c r="F11" s="48" t="s">
        <x:v>132</x:v>
      </x:c>
    </x:row>
    <x:row r="12" ht="19" customHeight="1">
      <x:c r="A12" s="50"/>
      <x:c r="B12" s="44" t="s">
        <x:v>133</x:v>
      </x:c>
      <x:c r="C12" s="44"/>
      <x:c r="D12" s="46" t="s">
        <x:v>128</x:v>
      </x:c>
      <x:c r="E12" s="47" t="s">
        <x:v>134</x:v>
      </x:c>
      <x:c r="F12" s="48" t="s">
        <x:v>124</x:v>
      </x:c>
    </x:row>
    <x:row r="13" ht="19" customHeight="1">
      <x:c r="A13" s="50"/>
      <x:c r="B13" s="44" t="s">
        <x:v>135</x:v>
      </x:c>
      <x:c r="C13" s="44"/>
      <x:c r="D13" s="46" t="s">
        <x:v>128</x:v>
      </x:c>
      <x:c r="E13" s="44" t="s">
        <x:v>131</x:v>
      </x:c>
      <x:c r="F13" s="48" t="s">
        <x:v>132</x:v>
      </x:c>
    </x:row>
    <x:row r="14" ht="19" customHeight="1">
      <x:c r="A14" s="51"/>
      <x:c r="B14" s="44" t="s">
        <x:v>136</x:v>
      </x:c>
      <x:c r="C14" s="44"/>
      <x:c r="D14" s="46" t="s">
        <x:v>128</x:v>
      </x:c>
      <x:c r="E14" s="44" t="s">
        <x:v>131</x:v>
      </x:c>
      <x:c r="F14" s="48" t="s">
        <x:v>132</x:v>
      </x:c>
    </x:row>
    <x:row r="15" ht="38" customHeight="1">
      <x:c r="A15" s="38" t="s">
        <x:v>137</x:v>
      </x:c>
      <x:c r="B15" s="52" t="s">
        <x:v>138</x:v>
      </x:c>
      <x:c r="C15" s="52"/>
      <x:c r="D15" s="52"/>
      <x:c r="E15" s="52"/>
      <x:c r="F15" s="39"/>
    </x:row>
    <x:row r="16" ht="38" customHeight="1">
      <x:c r="A16" s="53" t="s">
        <x:v>139</x:v>
      </x:c>
      <x:c r="B16" s="52" t="s">
        <x:v>140</x:v>
      </x:c>
      <x:c r="C16" s="52"/>
      <x:c r="D16" s="52"/>
      <x:c r="E16" s="52"/>
      <x:c r="F16" s="39"/>
    </x:row>
  </x:sheetData>
  <x:mergeCells>
    <x:mergeCell ref="A1:F1"/>
    <x:mergeCell ref="B3:F3"/>
    <x:mergeCell ref="B4:F4"/>
    <x:mergeCell ref="B5:F5"/>
    <x:mergeCell ref="B6:F6"/>
    <x:mergeCell ref="B7:F7"/>
    <x:mergeCell ref="B15:F15"/>
    <x:mergeCell ref="B16:F16"/>
    <x:mergeCell ref="A10:A14"/>
  </x:mergeCells>
  <x:dataValidations count="5">
    <x:dataValidation type="list" errorStyle="stop" allowBlank="1" showErrorMessage="1" sqref="B5:B5 C5:C5 D5:D5 E5:E5 F5:F5">
      <x:formula1>"NeuSAR cCore 3.0_AUTOSAR V4.2.2/4.4,NeuSAR cCore 4.0_AUTOSAR R21-11"</x:formula1>
    </x:dataValidation>
    <x:dataValidation type="list" errorStyle="stop" allowBlank="1" showErrorMessage="1" sqref="C8:C9">
      <x:formula1>"NO,TBD,1路,2路,3路,4路,5路,6路,7路,8路,9路,10路"</x:formula1>
    </x:dataValidation>
    <x:dataValidation type="list" errorStyle="stop" allowBlank="1" showErrorMessage="1" sqref="F8:F14">
      <x:formula1>"TBD,CDD驱动由睿驰开发,CDD驱动由用户自主开发"</x:formula1>
    </x:dataValidation>
    <x:dataValidation type="list" errorStyle="stop" allowBlank="1" showErrorMessage="1" sqref="B15:B15 C15:C15 D15:D15 E15:E15 F15:F15">
      <x:formula1>"采用AUTOSAR应用层软件架构设计工具生成的符合AUTOSAR标准架构的应用层软件,采用手写代码或其他方式生成的非AUTOSAR标准架构的应用层软件"</x:formula1>
    </x:dataValidation>
    <x:dataValidation type="list" errorStyle="stop" allowBlank="1" showErrorMessage="1" sqref="B16:B16 C16:C16 D16:D16 E16:E16 F16:F16">
      <x:formula1>"提供芯片原厂商的MCAL软件,提供芯片原厂商SDK驱动包"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" max="1" width="80" hidden="0" customWidth="1"/>
    <x:col min="2" max="2" width="23" hidden="0" customWidth="1"/>
    <x:col min="3" max="3" width="23" hidden="0" customWidth="1"/>
  </x:cols>
  <x:sheetData>
    <x:row r="1" ht="28" customHeight="1">
      <x:c r="A1" s="54" t="s">
        <x:v>141</x:v>
      </x:c>
      <x:c r="B1" s="55"/>
      <x:c r="C1" s="55"/>
    </x:row>
    <x:row r="2" ht="15" customHeight="1">
      <x:c r="A2" s="56"/>
      <x:c r="B2" s="56"/>
      <x:c r="C2" s="56"/>
    </x:row>
    <x:row r="3" ht="19" customHeight="1">
      <x:c r="A3" s="57" t="s">
        <x:v>142</x:v>
      </x:c>
      <x:c r="B3" s="57" t="s">
        <x:v>143</x:v>
      </x:c>
      <x:c r="C3" s="57" t="s">
        <x:v>144</x:v>
      </x:c>
    </x:row>
    <x:row r="4" ht="15" customHeight="1">
      <x:c r="A4" s="58" t="s">
        <x:v>145</x:v>
      </x:c>
      <x:c r="B4" s="59" t="s">
        <x:v>146</x:v>
      </x:c>
      <x:c r="C4" s="60" t="s">
        <x:v>147</x:v>
      </x:c>
    </x:row>
    <x:row r="5" ht="15" customHeight="1">
      <x:c r="A5" s="58" t="s">
        <x:v>148</x:v>
      </x:c>
      <x:c r="B5" s="59">
        <x:v>4</x:v>
      </x:c>
      <x:c r="C5" s="60" t="s">
        <x:v>147</x:v>
      </x:c>
      <x:c r="D5" s="61" t="s">
        <x:v>149</x:v>
      </x:c>
    </x:row>
    <x:row r="6" ht="15" customHeight="1">
      <x:c r="A6" s="58" t="s">
        <x:v>150</x:v>
      </x:c>
      <x:c r="B6" s="59">
        <x:v>4</x:v>
      </x:c>
      <x:c r="C6" s="60" t="s">
        <x:v>147</x:v>
      </x:c>
      <x:c r="D6" s="61" t="s">
        <x:v>151</x:v>
      </x:c>
    </x:row>
    <x:row r="7" ht="15" customHeight="1">
      <x:c r="A7" s="58" t="s">
        <x:v>152</x:v>
      </x:c>
      <x:c r="B7" s="59">
        <x:v>1</x:v>
      </x:c>
      <x:c r="C7" s="60" t="s">
        <x:v>147</x:v>
      </x:c>
      <x:c r="D7" s="61" t="s">
        <x:v>153</x:v>
      </x:c>
    </x:row>
    <x:row r="8" ht="15" customHeight="1">
      <x:c r="A8" s="58" t="s">
        <x:v>154</x:v>
      </x:c>
      <x:c r="B8" s="59">
        <x:v>1</x:v>
      </x:c>
      <x:c r="C8" s="60" t="s">
        <x:v>147</x:v>
      </x:c>
      <x:c r="D8" s="61" t="s">
        <x:v>155</x:v>
      </x:c>
    </x:row>
    <x:row r="9" ht="15" customHeight="1">
      <x:c r="A9" s="58" t="s">
        <x:v>156</x:v>
      </x:c>
      <x:c r="B9" s="59">
        <x:v>1</x:v>
      </x:c>
      <x:c r="C9" s="60" t="s">
        <x:v>147</x:v>
      </x:c>
      <x:c r="D9" s="61" t="s">
        <x:v>157</x:v>
      </x:c>
    </x:row>
    <x:row r="10" ht="15" customHeight="1">
      <x:c r="A10" s="58" t="s">
        <x:v>158</x:v>
      </x:c>
      <x:c r="B10" s="59">
        <x:v>1</x:v>
      </x:c>
      <x:c r="C10" s="60" t="s">
        <x:v>147</x:v>
      </x:c>
      <x:c r="D10" s="61" t="s">
        <x:v>159</x:v>
      </x:c>
    </x:row>
    <x:row r="11" ht="15" customHeight="1">
      <x:c r="A11" s="58" t="s">
        <x:v>160</x:v>
      </x:c>
      <x:c r="B11" s="59">
        <x:v>1</x:v>
      </x:c>
      <x:c r="C11" s="60" t="s">
        <x:v>147</x:v>
      </x:c>
      <x:c r="D11" s="61" t="s">
        <x:v>161</x:v>
      </x:c>
    </x:row>
    <x:row r="12" ht="15" customHeight="1">
      <x:c r="A12" s="58" t="s">
        <x:v>162</x:v>
      </x:c>
      <x:c r="B12" s="59">
        <x:v>1</x:v>
      </x:c>
      <x:c r="C12" s="60" t="s">
        <x:v>147</x:v>
      </x:c>
      <x:c r="D12" s="61" t="s">
        <x:v>163</x:v>
      </x:c>
    </x:row>
    <x:row r="13" ht="15" customHeight="1">
      <x:c r="A13" s="58" t="s">
        <x:v>164</x:v>
      </x:c>
      <x:c r="B13" s="59">
        <x:v>1</x:v>
      </x:c>
      <x:c r="C13" s="60" t="s">
        <x:v>147</x:v>
      </x:c>
      <x:c r="D13" s="61" t="s">
        <x:v>165</x:v>
      </x:c>
    </x:row>
    <x:row r="14" ht="15" customHeight="1">
      <x:c r="A14" s="58" t="s">
        <x:v>166</x:v>
      </x:c>
      <x:c r="B14" s="59">
        <x:v>1</x:v>
      </x:c>
      <x:c r="C14" s="60" t="s">
        <x:v>147</x:v>
      </x:c>
      <x:c r="D14" s="61" t="s">
        <x:v>167</x:v>
      </x:c>
    </x:row>
    <x:row r="15" ht="15" customHeight="1">
      <x:c r="A15" s="58" t="s">
        <x:v>168</x:v>
      </x:c>
      <x:c r="B15" s="59">
        <x:v>1</x:v>
      </x:c>
      <x:c r="C15" s="60" t="s">
        <x:v>147</x:v>
      </x:c>
      <x:c r="D15" s="61" t="s">
        <x:v>163</x:v>
      </x:c>
    </x:row>
    <x:row r="16" ht="15" customHeight="1">
      <x:c r="A16" s="58" t="s">
        <x:v>169</x:v>
      </x:c>
      <x:c r="B16" s="59">
        <x:v>1</x:v>
      </x:c>
      <x:c r="C16" s="60" t="s">
        <x:v>147</x:v>
      </x:c>
      <x:c r="D16" s="61" t="s">
        <x:v>170</x:v>
      </x:c>
    </x:row>
    <x:row r="17" ht="30" hidden="1" customHeight="1">
      <x:c r="A17" s="62" t="s">
        <x:v>171</x:v>
      </x:c>
      <x:c r="B17" s="60">
        <x:v>1</x:v>
      </x:c>
      <x:c r="C17" s="60" t="s">
        <x:v>147</x:v>
      </x:c>
    </x:row>
    <x:row r="18" ht="15" hidden="1" customHeight="1">
      <x:c r="A18" s="62" t="s">
        <x:v>172</x:v>
      </x:c>
      <x:c r="B18" s="60">
        <x:v>1</x:v>
      </x:c>
      <x:c r="C18" s="60" t="s">
        <x:v>147</x:v>
      </x:c>
    </x:row>
    <x:row r="19" ht="15" hidden="1" customHeight="1">
      <x:c r="A19" s="63" t="s">
        <x:v>173</x:v>
      </x:c>
      <x:c r="B19" s="64">
        <x:v>1</x:v>
      </x:c>
      <x:c r="C19" s="65" t="s">
        <x:v>147</x:v>
      </x:c>
    </x:row>
    <x:row r="20" ht="15" hidden="1" customHeight="1">
      <x:c r="A20" s="58" t="s">
        <x:v>174</x:v>
      </x:c>
      <x:c r="B20" s="59">
        <x:v>1</x:v>
      </x:c>
      <x:c r="C20" s="60" t="s">
        <x:v>147</x:v>
      </x:c>
    </x:row>
    <x:row r="21" ht="15" customHeight="1">
      <x:c r="A21" s="66" t="s">
        <x:v>175</x:v>
      </x:c>
      <x:c r="B21" s="59">
        <x:v>1</x:v>
      </x:c>
      <x:c r="C21" s="60" t="s">
        <x:v>147</x:v>
      </x:c>
      <x:c r="D21" s="61" t="s">
        <x:v>157</x:v>
      </x:c>
    </x:row>
    <x:row r="22" ht="15" customHeight="1">
      <x:c r="A22" s="58" t="s">
        <x:v>176</x:v>
      </x:c>
      <x:c r="B22" s="59">
        <x:v>1</x:v>
      </x:c>
      <x:c r="C22" s="60" t="s">
        <x:v>147</x:v>
      </x:c>
      <x:c r="D22" s="61" t="s">
        <x:v>177</x:v>
      </x:c>
    </x:row>
    <x:row r="23" ht="15" customHeight="1">
      <x:c r="A23" s="67" t="s">
        <x:v>178</x:v>
      </x:c>
      <x:c r="B23" s="59">
        <x:v>1</x:v>
      </x:c>
      <x:c r="C23" s="60" t="s">
        <x:v>147</x:v>
      </x:c>
      <x:c r="D23" s="68" t="s">
        <x:v>179</x:v>
      </x:c>
    </x:row>
    <x:row r="24" ht="15" customHeight="1">
      <x:c r="A24" s="58" t="s">
        <x:v>180</x:v>
      </x:c>
      <x:c r="B24" s="59">
        <x:v>1</x:v>
      </x:c>
      <x:c r="C24" s="60" t="s">
        <x:v>147</x:v>
      </x:c>
      <x:c r="D24" s="61" t="s">
        <x:v>181</x:v>
      </x:c>
    </x:row>
    <x:row r="25" ht="15" customHeight="1">
      <x:c r="A25" s="58" t="s">
        <x:v>182</x:v>
      </x:c>
      <x:c r="B25" s="59">
        <x:v>1</x:v>
      </x:c>
      <x:c r="C25" s="60" t="s">
        <x:v>147</x:v>
      </x:c>
      <x:c r="D25" s="61" t="s">
        <x:v>181</x:v>
      </x:c>
    </x:row>
    <x:row r="26" ht="15" customHeight="1">
      <x:c r="A26" s="58" t="s">
        <x:v>183</x:v>
      </x:c>
      <x:c r="B26" s="59">
        <x:v>1</x:v>
      </x:c>
      <x:c r="C26" s="60" t="s">
        <x:v>147</x:v>
      </x:c>
      <x:c r="D26" s="61" t="s">
        <x:v>184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5" max="5" width="29" hidden="0" customWidth="1"/>
    <x:col min="1" max="1" width="22" hidden="0" customWidth="1"/>
    <x:col min="2" max="2" width="71" hidden="0" customWidth="1"/>
    <x:col min="3" max="3" width="30" hidden="0" customWidth="1"/>
    <x:col min="4" max="4" width="24" hidden="0" customWidth="1"/>
  </x:cols>
  <x:sheetData>
    <x:row r="1" ht="19" customHeight="1">
      <x:c r="A1" s="69" t="s">
        <x:v>185</x:v>
      </x:c>
      <x:c r="B1" s="69" t="s">
        <x:v>186</x:v>
      </x:c>
      <x:c r="C1" s="69" t="s">
        <x:v>187</x:v>
      </x:c>
      <x:c r="D1" s="69" t="s">
        <x:v>188</x:v>
      </x:c>
      <x:c r="E1" s="69" t="s">
        <x:v>189</x:v>
      </x:c>
    </x:row>
    <x:row r="2" ht="74" customHeight="1">
      <x:c r="A2" s="70" t="s">
        <x:v>190</x:v>
      </x:c>
      <x:c r="B2" s="71" t="s">
        <x:v>191</x:v>
      </x:c>
      <x:c r="C2" s="71" t="s">
        <x:v>192</x:v>
      </x:c>
      <x:c r="D2" s="72" t="s">
        <x:v>193</x:v>
      </x:c>
      <x:c r="E2" s="73"/>
    </x:row>
    <x:row r="3" ht="295" customHeight="1">
      <x:c r="A3" s="74" t="s">
        <x:v>194</x:v>
      </x:c>
      <x:c r="B3" s="75" t="s">
        <x:v>195</x:v>
      </x:c>
      <x:c r="C3" s="75" t="s">
        <x:v>196</x:v>
      </x:c>
      <x:c r="D3" s="72" t="s">
        <x:v>197</x:v>
      </x:c>
      <x:c r="E3" s="75" t="s">
        <x:v>198</x:v>
      </x:c>
    </x:row>
    <x:row r="4" ht="354" customHeight="1">
      <x:c r="A4" s="74" t="s">
        <x:v>199</x:v>
      </x:c>
      <x:c r="B4" s="76" t="s">
        <x:v>200</x:v>
      </x:c>
      <x:c r="C4" s="75" t="s">
        <x:v>201</x:v>
      </x:c>
      <x:c r="D4" s="72" t="s">
        <x:v>202</x:v>
      </x:c>
      <x:c r="E4" s="76" t="s">
        <x:v>203</x:v>
      </x:c>
    </x:row>
    <x:row r="5" ht="59" customHeight="1">
      <x:c r="A5" s="70" t="s">
        <x:v>204</x:v>
      </x:c>
      <x:c r="B5" s="71" t="s">
        <x:v>205</x:v>
      </x:c>
      <x:c r="C5" s="71" t="s">
        <x:v>206</x:v>
      </x:c>
      <x:c r="D5" s="72" t="s">
        <x:v>207</x:v>
      </x:c>
      <x:c r="E5" s="77" t="s">
        <x:v>208</x:v>
      </x:c>
    </x:row>
    <x:row r="6" ht="45" customHeight="1">
      <x:c r="A6" s="70" t="s">
        <x:v>209</x:v>
      </x:c>
      <x:c r="B6" s="71" t="s">
        <x:v>210</x:v>
      </x:c>
      <x:c r="C6" s="71" t="s">
        <x:v>211</x:v>
      </x:c>
      <x:c r="D6" s="72" t="s">
        <x:v>212</x:v>
      </x:c>
      <x:c r="E6" s="71"/>
    </x:row>
    <x:row r="7" ht="30" customHeight="1">
      <x:c r="A7" s="70" t="s">
        <x:v>213</x:v>
      </x:c>
      <x:c r="B7" s="71" t="s">
        <x:v>214</x:v>
      </x:c>
      <x:c r="C7" s="70" t="s">
        <x:v>215</x:v>
      </x:c>
      <x:c r="D7" s="72" t="s">
        <x:v>132</x:v>
      </x:c>
      <x:c r="E7" s="71" t="s">
        <x:v>216</x:v>
      </x:c>
    </x:row>
    <x:row r="8" ht="59" customHeight="1">
      <x:c r="A8" s="70" t="s">
        <x:v>217</x:v>
      </x:c>
      <x:c r="B8" s="71" t="s">
        <x:v>218</x:v>
      </x:c>
      <x:c r="C8" s="70" t="s">
        <x:v>219</x:v>
      </x:c>
      <x:c r="D8" s="72" t="s">
        <x:v>220</x:v>
      </x:c>
      <x:c r="E8" s="71" t="s">
        <x:v>221</x:v>
      </x:c>
    </x:row>
    <x:row r="9" ht="19" customHeight="1">
      <x:c r="D9" s="78"/>
      <x:c r="E9" s="79"/>
    </x:row>
    <x:row r="10" ht="19" customHeight="1">
      <x:c r="D10" s="78"/>
      <x:c r="E10" s="79"/>
    </x:row>
    <x:row r="11" ht="19" customHeight="1">
      <x:c r="D11" s="78"/>
      <x:c r="E11" s="79"/>
    </x:row>
    <x:row r="12" ht="19" customHeight="1">
      <x:c r="D12" s="78"/>
      <x:c r="E12" s="79"/>
    </x:row>
    <x:row r="13" ht="19" customHeight="1">
      <x:c r="D13" s="78"/>
      <x:c r="E13" s="79"/>
    </x:row>
    <x:row r="14" ht="19" customHeight="1">
      <x:c r="D14" s="78"/>
      <x:c r="E14" s="79"/>
    </x:row>
    <x:row r="15" ht="19" customHeight="1">
      <x:c r="D15" s="78"/>
      <x:c r="E15" s="79"/>
    </x:row>
    <x:row r="16" ht="19" customHeight="1">
      <x:c r="D16" s="78"/>
      <x:c r="E16" s="79"/>
    </x:row>
    <x:row r="17" ht="19" customHeight="1">
      <x:c r="D17" s="78"/>
      <x:c r="E17" s="79"/>
    </x:row>
    <x:row r="18" ht="19" customHeight="1">
      <x:c r="D18" s="78"/>
      <x:c r="E18" s="79"/>
    </x:row>
    <x:row r="19" ht="19" customHeight="1">
      <x:c r="D19" s="78"/>
      <x:c r="E19" s="79"/>
    </x:row>
    <x:row r="20" ht="19" customHeight="1">
      <x:c r="D20" s="78"/>
      <x:c r="E20" s="79"/>
    </x:row>
    <x:row r="21" ht="19" customHeight="1">
      <x:c r="D21" s="78"/>
      <x:c r="E21" s="79"/>
    </x:row>
    <x:row r="22" ht="19" customHeight="1">
      <x:c r="D22" s="78"/>
      <x:c r="E22" s="79"/>
    </x:row>
    <x:row r="23" ht="19" customHeight="1">
      <x:c r="D23" s="78"/>
      <x:c r="E23" s="79"/>
    </x:row>
    <x:row r="24" ht="19" customHeight="1">
      <x:c r="D24" s="78"/>
      <x:c r="E24" s="79"/>
    </x:row>
    <x:row r="25" ht="19" customHeight="1">
      <x:c r="D25" s="78"/>
      <x:c r="E25" s="79"/>
    </x:row>
    <x:row r="26" ht="19" customHeight="1">
      <x:c r="D26" s="78"/>
      <x:c r="E26" s="79"/>
    </x:row>
    <x:row r="27" ht="19" customHeight="1">
      <x:c r="D27" s="78"/>
      <x:c r="E27" s="79"/>
    </x:row>
    <x:row r="28" ht="19" customHeight="1">
      <x:c r="D28" s="78"/>
      <x:c r="E28" s="79"/>
    </x:row>
    <x:row r="29" ht="19" customHeight="1">
      <x:c r="D29" s="78"/>
      <x:c r="E29" s="79"/>
    </x:row>
    <x:row r="30" ht="19" customHeight="1">
      <x:c r="D30" s="78"/>
      <x:c r="E30" s="79"/>
    </x:row>
    <x:row r="31" ht="19" customHeight="1">
      <x:c r="D31" s="78"/>
      <x:c r="E31" s="79"/>
    </x:row>
    <x:row r="32" ht="19" customHeight="1">
      <x:c r="D32" s="78"/>
      <x:c r="E32" s="79"/>
    </x:row>
    <x:row r="33" ht="19" customHeight="1">
      <x:c r="D33" s="78"/>
      <x:c r="E33" s="79"/>
    </x:row>
    <x:row r="34" ht="19" customHeight="1">
      <x:c r="D34" s="78"/>
      <x:c r="E34" s="79"/>
    </x:row>
    <x:row r="35" ht="19" customHeight="1">
      <x:c r="D35" s="78"/>
      <x:c r="E35" s="79"/>
    </x:row>
    <x:row r="36" ht="19" customHeight="1">
      <x:c r="D36" s="78"/>
      <x:c r="E36" s="79"/>
    </x:row>
    <x:row r="37" ht="19" customHeight="1">
      <x:c r="D37" s="78"/>
      <x:c r="E37" s="79"/>
    </x:row>
    <x:row r="38" ht="19" customHeight="1">
      <x:c r="D38" s="78"/>
      <x:c r="E38" s="79"/>
    </x:row>
    <x:row r="39" ht="19" customHeight="1">
      <x:c r="D39" s="78"/>
      <x:c r="E39" s="79"/>
    </x:row>
    <x:row r="40" ht="19" customHeight="1">
      <x:c r="D40" s="78"/>
      <x:c r="E40" s="79"/>
    </x:row>
    <x:row r="41" ht="19" customHeight="1">
      <x:c r="D41" s="78"/>
      <x:c r="E41" s="79"/>
    </x:row>
    <x:row r="42" ht="19" customHeight="1">
      <x:c r="D42" s="78"/>
      <x:c r="E42" s="79"/>
    </x:row>
    <x:row r="43" ht="19" customHeight="1">
      <x:c r="D43" s="78"/>
      <x:c r="E43" s="79"/>
    </x:row>
    <x:row r="44" ht="19" customHeight="1">
      <x:c r="D44" s="78"/>
      <x:c r="E44" s="79"/>
    </x:row>
    <x:row r="45" ht="19" customHeight="1">
      <x:c r="D45" s="78"/>
      <x:c r="E45" s="79"/>
    </x:row>
    <x:row r="46" ht="19" customHeight="1">
      <x:c r="D46" s="78"/>
      <x:c r="E46" s="79"/>
    </x:row>
    <x:row r="47" ht="19" customHeight="1">
      <x:c r="D47" s="78"/>
      <x:c r="E47" s="79"/>
    </x:row>
    <x:row r="48" ht="19" customHeight="1">
      <x:c r="D48" s="78"/>
      <x:c r="E48" s="79"/>
    </x:row>
    <x:row r="49" ht="19" customHeight="1">
      <x:c r="D49" s="78"/>
      <x:c r="E49" s="79"/>
    </x:row>
    <x:row r="50" ht="19" customHeight="1">
      <x:c r="D50" s="78"/>
      <x:c r="E50" s="79"/>
    </x:row>
    <x:row r="51" ht="19" customHeight="1">
      <x:c r="D51" s="78"/>
      <x:c r="E51" s="79"/>
    </x:row>
    <x:row r="52" ht="19" customHeight="1">
      <x:c r="D52" s="78"/>
      <x:c r="E52" s="79"/>
    </x:row>
    <x:row r="53" ht="19" customHeight="1">
      <x:c r="D53" s="78"/>
      <x:c r="E53" s="79"/>
    </x:row>
    <x:row r="54" ht="19" customHeight="1">
      <x:c r="D54" s="78"/>
      <x:c r="E54" s="79"/>
    </x:row>
    <x:row r="55" ht="19" customHeight="1">
      <x:c r="D55" s="78"/>
      <x:c r="E55" s="79"/>
    </x:row>
    <x:row r="56" ht="19" customHeight="1">
      <x:c r="D56" s="78"/>
      <x:c r="E56" s="79"/>
    </x:row>
    <x:row r="57" ht="19" customHeight="1">
      <x:c r="D57" s="78"/>
      <x:c r="E57" s="79"/>
    </x:row>
    <x:row r="58" ht="19" customHeight="1">
      <x:c r="D58" s="78"/>
      <x:c r="E58" s="79"/>
    </x:row>
    <x:row r="59" ht="19" customHeight="1">
      <x:c r="D59" s="78"/>
      <x:c r="E59" s="79"/>
    </x:row>
    <x:row r="60" ht="19" customHeight="1">
      <x:c r="D60" s="78"/>
      <x:c r="E60" s="79"/>
    </x:row>
    <x:row r="61" ht="19" customHeight="1">
      <x:c r="D61" s="78"/>
      <x:c r="E61" s="79"/>
    </x:row>
    <x:row r="62" ht="19" customHeight="1">
      <x:c r="D62" s="78"/>
      <x:c r="E62" s="79"/>
    </x:row>
    <x:row r="63" ht="19" customHeight="1">
      <x:c r="D63" s="78"/>
      <x:c r="E63" s="79"/>
    </x:row>
    <x:row r="64" ht="19" customHeight="1">
      <x:c r="D64" s="78"/>
      <x:c r="E64" s="79"/>
    </x:row>
    <x:row r="65" ht="19" customHeight="1">
      <x:c r="D65" s="78"/>
      <x:c r="E65" s="79"/>
    </x:row>
    <x:row r="66" ht="19" customHeight="1">
      <x:c r="D66" s="78"/>
      <x:c r="E66" s="79"/>
    </x:row>
    <x:row r="67" ht="19" customHeight="1">
      <x:c r="D67" s="78"/>
      <x:c r="E67" s="79"/>
    </x:row>
    <x:row r="68" ht="19" customHeight="1">
      <x:c r="D68" s="78"/>
      <x:c r="E68" s="79"/>
    </x:row>
    <x:row r="69" ht="19" customHeight="1">
      <x:c r="D69" s="78"/>
      <x:c r="E69" s="79"/>
    </x:row>
    <x:row r="70" ht="19" customHeight="1">
      <x:c r="D70" s="78"/>
      <x:c r="E70" s="79"/>
    </x:row>
    <x:row r="71" ht="19" customHeight="1">
      <x:c r="D71" s="78"/>
      <x:c r="E71" s="79"/>
    </x:row>
    <x:row r="72" ht="19" customHeight="1">
      <x:c r="D72" s="78"/>
      <x:c r="E72" s="79"/>
    </x:row>
    <x:row r="73" ht="19" customHeight="1">
      <x:c r="D73" s="78"/>
      <x:c r="E73" s="79"/>
    </x:row>
    <x:row r="74" ht="19" customHeight="1">
      <x:c r="D74" s="78"/>
      <x:c r="E74" s="79"/>
    </x:row>
    <x:row r="75" ht="19" customHeight="1">
      <x:c r="D75" s="78"/>
      <x:c r="E75" s="79"/>
    </x:row>
    <x:row r="76" ht="19" customHeight="1">
      <x:c r="D76" s="78"/>
      <x:c r="E76" s="79"/>
    </x:row>
    <x:row r="77" ht="19" customHeight="1">
      <x:c r="D77" s="78"/>
      <x:c r="E77" s="79"/>
    </x:row>
    <x:row r="78" ht="19" customHeight="1">
      <x:c r="D78" s="78"/>
      <x:c r="E78" s="79"/>
    </x:row>
    <x:row r="79" ht="19" customHeight="1">
      <x:c r="D79" s="78"/>
      <x:c r="E79" s="79"/>
    </x:row>
    <x:row r="80" ht="19" customHeight="1">
      <x:c r="D80" s="78"/>
      <x:c r="E80" s="79"/>
    </x:row>
    <x:row r="81" ht="19" customHeight="1">
      <x:c r="D81" s="78"/>
      <x:c r="E81" s="79"/>
    </x:row>
    <x:row r="82" ht="19" customHeight="1">
      <x:c r="D82" s="78"/>
      <x:c r="E82" s="79"/>
    </x:row>
    <x:row r="83" ht="19" customHeight="1">
      <x:c r="D83" s="78"/>
      <x:c r="E83" s="79"/>
    </x:row>
    <x:row r="84" ht="19" customHeight="1">
      <x:c r="D84" s="78"/>
      <x:c r="E84" s="79"/>
    </x:row>
    <x:row r="85" ht="19" customHeight="1">
      <x:c r="D85" s="78"/>
      <x:c r="E85" s="79"/>
    </x:row>
    <x:row r="86" ht="19" customHeight="1">
      <x:c r="D86" s="78"/>
      <x:c r="E86" s="79"/>
    </x:row>
    <x:row r="87" ht="19" customHeight="1">
      <x:c r="D87" s="78"/>
      <x:c r="E87" s="79"/>
    </x:row>
    <x:row r="88" ht="19" customHeight="1">
      <x:c r="D88" s="78"/>
      <x:c r="E88" s="79"/>
    </x:row>
    <x:row r="89" ht="19" customHeight="1">
      <x:c r="D89" s="78"/>
      <x:c r="E89" s="79"/>
    </x:row>
    <x:row r="90" ht="19" customHeight="1">
      <x:c r="D90" s="78"/>
      <x:c r="E90" s="79"/>
    </x:row>
    <x:row r="91" ht="19" customHeight="1">
      <x:c r="D91" s="78"/>
      <x:c r="E91" s="79"/>
    </x:row>
    <x:row r="92" ht="19" customHeight="1">
      <x:c r="D92" s="78"/>
      <x:c r="E92" s="79"/>
    </x:row>
    <x:row r="93" ht="19" customHeight="1">
      <x:c r="D93" s="78"/>
      <x:c r="E93" s="79"/>
    </x:row>
    <x:row r="94" ht="19" customHeight="1">
      <x:c r="D94" s="78"/>
      <x:c r="E94" s="79"/>
    </x:row>
    <x:row r="95" ht="19" customHeight="1">
      <x:c r="D95" s="78"/>
      <x:c r="E95" s="79"/>
    </x:row>
    <x:row r="96" ht="19" customHeight="1">
      <x:c r="D96" s="78"/>
      <x:c r="E96" s="79"/>
    </x:row>
    <x:row r="97" ht="19" customHeight="1">
      <x:c r="D97" s="78"/>
      <x:c r="E97" s="79"/>
    </x:row>
    <x:row r="98" ht="19" customHeight="1">
      <x:c r="D98" s="78"/>
      <x:c r="E98" s="79"/>
    </x:row>
    <x:row r="99" ht="19" customHeight="1">
      <x:c r="D99" s="78"/>
      <x:c r="E99" s="79"/>
    </x:row>
    <x:row r="100" ht="19" customHeight="1">
      <x:c r="D100" s="78"/>
      <x:c r="E100" s="79"/>
    </x:row>
    <x:row r="101" ht="19" customHeight="1">
      <x:c r="D101" s="78"/>
      <x:c r="E101" s="79"/>
    </x:row>
    <x:row r="102" ht="19" customHeight="1">
      <x:c r="D102" s="78"/>
      <x:c r="E102" s="79"/>
    </x:row>
    <x:row r="103" ht="19" customHeight="1">
      <x:c r="D103" s="78"/>
      <x:c r="E103" s="79"/>
    </x:row>
    <x:row r="104" ht="19" customHeight="1">
      <x:c r="D104" s="78"/>
      <x:c r="E104" s="79"/>
    </x:row>
    <x:row r="105" ht="19" customHeight="1">
      <x:c r="D105" s="78"/>
      <x:c r="E105" s="79"/>
    </x:row>
    <x:row r="106" ht="19" customHeight="1">
      <x:c r="D106" s="78"/>
      <x:c r="E106" s="79"/>
    </x:row>
    <x:row r="107" ht="19" customHeight="1">
      <x:c r="D107" s="78"/>
      <x:c r="E107" s="79"/>
    </x:row>
    <x:row r="108" ht="19" customHeight="1">
      <x:c r="D108" s="78"/>
      <x:c r="E108" s="79"/>
    </x:row>
    <x:row r="109" ht="19" customHeight="1">
      <x:c r="D109" s="78"/>
      <x:c r="E109" s="79"/>
    </x:row>
    <x:row r="110" ht="19" customHeight="1">
      <x:c r="D110" s="78"/>
      <x:c r="E110" s="79"/>
    </x:row>
    <x:row r="111" ht="19" customHeight="1">
      <x:c r="D111" s="78"/>
      <x:c r="E111" s="79"/>
    </x:row>
    <x:row r="112" ht="19" customHeight="1">
      <x:c r="D112" s="78"/>
      <x:c r="E112" s="79"/>
    </x:row>
    <x:row r="113" ht="19" customHeight="1">
      <x:c r="D113" s="78"/>
      <x:c r="E113" s="79"/>
    </x:row>
    <x:row r="114" ht="19" customHeight="1">
      <x:c r="D114" s="78"/>
      <x:c r="E114" s="79"/>
    </x:row>
    <x:row r="115" ht="19" customHeight="1">
      <x:c r="D115" s="78"/>
      <x:c r="E115" s="79"/>
    </x:row>
    <x:row r="116" ht="19" customHeight="1">
      <x:c r="D116" s="78"/>
      <x:c r="E116" s="79"/>
    </x:row>
    <x:row r="117" ht="19" customHeight="1">
      <x:c r="D117" s="78"/>
      <x:c r="E117" s="79"/>
    </x:row>
    <x:row r="118" ht="19" customHeight="1">
      <x:c r="D118" s="78"/>
      <x:c r="E118" s="79"/>
    </x:row>
    <x:row r="119" ht="19" customHeight="1">
      <x:c r="D119" s="78"/>
      <x:c r="E119" s="79"/>
    </x:row>
    <x:row r="120" ht="19" customHeight="1">
      <x:c r="D120" s="78"/>
      <x:c r="E120" s="79"/>
    </x:row>
    <x:row r="121" ht="19" customHeight="1">
      <x:c r="D121" s="78"/>
      <x:c r="E121" s="79"/>
    </x:row>
    <x:row r="122" ht="19" customHeight="1">
      <x:c r="D122" s="78"/>
      <x:c r="E122" s="79"/>
    </x:row>
    <x:row r="123" ht="19" customHeight="1">
      <x:c r="D123" s="78"/>
      <x:c r="E123" s="79"/>
    </x:row>
    <x:row r="124" ht="19" customHeight="1">
      <x:c r="D124" s="78"/>
      <x:c r="E124" s="79"/>
    </x:row>
    <x:row r="125" ht="19" customHeight="1">
      <x:c r="D125" s="78"/>
      <x:c r="E125" s="79"/>
    </x:row>
    <x:row r="126" ht="19" customHeight="1">
      <x:c r="D126" s="78"/>
      <x:c r="E126" s="79"/>
    </x:row>
    <x:row r="127" ht="19" customHeight="1">
      <x:c r="D127" s="78"/>
      <x:c r="E127" s="79"/>
    </x:row>
    <x:row r="128" ht="19" customHeight="1">
      <x:c r="D128" s="78"/>
      <x:c r="E128" s="79"/>
    </x:row>
    <x:row r="129" ht="19" customHeight="1">
      <x:c r="D129" s="78"/>
      <x:c r="E129" s="79"/>
    </x:row>
    <x:row r="130" ht="19" customHeight="1">
      <x:c r="D130" s="78"/>
      <x:c r="E130" s="79"/>
    </x:row>
    <x:row r="131" ht="19" customHeight="1">
      <x:c r="D131" s="78"/>
      <x:c r="E131" s="79"/>
    </x:row>
    <x:row r="132" ht="19" customHeight="1">
      <x:c r="D132" s="78"/>
      <x:c r="E132" s="79"/>
    </x:row>
    <x:row r="133" ht="19" customHeight="1">
      <x:c r="D133" s="78"/>
      <x:c r="E133" s="79"/>
    </x:row>
    <x:row r="134" ht="19" customHeight="1">
      <x:c r="D134" s="78"/>
      <x:c r="E134" s="79"/>
    </x:row>
    <x:row r="135" ht="19" customHeight="1">
      <x:c r="D135" s="78"/>
      <x:c r="E135" s="79"/>
    </x:row>
    <x:row r="136" ht="19" customHeight="1">
      <x:c r="D136" s="78"/>
      <x:c r="E136" s="79"/>
    </x:row>
    <x:row r="137" ht="19" customHeight="1">
      <x:c r="D137" s="78"/>
      <x:c r="E137" s="79"/>
    </x:row>
    <x:row r="138" ht="19" customHeight="1">
      <x:c r="D138" s="78"/>
      <x:c r="E138" s="79"/>
    </x:row>
    <x:row r="139" ht="19" customHeight="1">
      <x:c r="D139" s="78"/>
      <x:c r="E139" s="79"/>
    </x:row>
    <x:row r="140" ht="19" customHeight="1">
      <x:c r="D140" s="78"/>
      <x:c r="E140" s="79"/>
    </x:row>
    <x:row r="141" ht="19" customHeight="1">
      <x:c r="D141" s="78"/>
      <x:c r="E141" s="79"/>
    </x:row>
    <x:row r="142" ht="19" customHeight="1">
      <x:c r="D142" s="78"/>
      <x:c r="E142" s="79"/>
    </x:row>
    <x:row r="143" ht="19" customHeight="1">
      <x:c r="D143" s="78"/>
      <x:c r="E143" s="79"/>
    </x:row>
    <x:row r="144" ht="19" customHeight="1">
      <x:c r="D144" s="78"/>
      <x:c r="E144" s="79"/>
    </x:row>
    <x:row r="145" ht="19" customHeight="1">
      <x:c r="D145" s="78"/>
      <x:c r="E145" s="79"/>
    </x:row>
    <x:row r="146" ht="19" customHeight="1">
      <x:c r="D146" s="78"/>
      <x:c r="E146" s="79"/>
    </x:row>
    <x:row r="147" ht="19" customHeight="1">
      <x:c r="D147" s="78"/>
      <x:c r="E147" s="79"/>
    </x:row>
    <x:row r="148" ht="19" customHeight="1">
      <x:c r="D148" s="78"/>
      <x:c r="E148" s="79"/>
    </x:row>
    <x:row r="149" ht="19" customHeight="1">
      <x:c r="D149" s="78"/>
      <x:c r="E149" s="79"/>
    </x:row>
    <x:row r="150" ht="19" customHeight="1">
      <x:c r="D150" s="78"/>
      <x:c r="E150" s="79"/>
    </x:row>
    <x:row r="151" ht="19" customHeight="1">
      <x:c r="D151" s="78"/>
      <x:c r="E151" s="79"/>
    </x:row>
    <x:row r="152" ht="19" customHeight="1">
      <x:c r="D152" s="78"/>
      <x:c r="E152" s="79"/>
    </x:row>
    <x:row r="153" ht="19" customHeight="1">
      <x:c r="D153" s="78"/>
      <x:c r="E153" s="79"/>
    </x:row>
    <x:row r="154" ht="19" customHeight="1">
      <x:c r="D154" s="78"/>
      <x:c r="E154" s="79"/>
    </x:row>
    <x:row r="155" ht="19" customHeight="1">
      <x:c r="D155" s="78"/>
      <x:c r="E155" s="79"/>
    </x:row>
    <x:row r="156" ht="19" customHeight="1">
      <x:c r="D156" s="78"/>
      <x:c r="E156" s="79"/>
    </x:row>
    <x:row r="157" ht="19" customHeight="1">
      <x:c r="D157" s="78"/>
      <x:c r="E157" s="79"/>
    </x:row>
    <x:row r="158" ht="19" customHeight="1">
      <x:c r="D158" s="78"/>
      <x:c r="E158" s="79"/>
    </x:row>
    <x:row r="159" ht="19" customHeight="1">
      <x:c r="D159" s="78"/>
      <x:c r="E159" s="79"/>
    </x:row>
    <x:row r="160" ht="19" customHeight="1">
      <x:c r="D160" s="78"/>
      <x:c r="E160" s="79"/>
    </x:row>
    <x:row r="161" ht="19" customHeight="1">
      <x:c r="D161" s="78"/>
      <x:c r="E161" s="79"/>
    </x:row>
    <x:row r="162" ht="19" customHeight="1">
      <x:c r="D162" s="78"/>
      <x:c r="E162" s="79"/>
    </x:row>
    <x:row r="163" ht="19" customHeight="1">
      <x:c r="D163" s="78"/>
      <x:c r="E163" s="79"/>
    </x:row>
    <x:row r="164" ht="19" customHeight="1">
      <x:c r="D164" s="78"/>
      <x:c r="E164" s="79"/>
    </x:row>
    <x:row r="165" ht="19" customHeight="1">
      <x:c r="D165" s="78"/>
      <x:c r="E165" s="79"/>
    </x:row>
    <x:row r="166" ht="19" customHeight="1">
      <x:c r="D166" s="78"/>
      <x:c r="E166" s="79"/>
    </x:row>
    <x:row r="167" ht="19" customHeight="1">
      <x:c r="D167" s="78"/>
      <x:c r="E167" s="79"/>
    </x:row>
    <x:row r="168" ht="19" customHeight="1">
      <x:c r="D168" s="78"/>
      <x:c r="E168" s="79"/>
    </x:row>
    <x:row r="169" ht="19" customHeight="1">
      <x:c r="D169" s="78"/>
      <x:c r="E169" s="79"/>
    </x:row>
    <x:row r="170" ht="19" customHeight="1">
      <x:c r="D170" s="78"/>
      <x:c r="E170" s="79"/>
    </x:row>
    <x:row r="171" ht="19" customHeight="1">
      <x:c r="D171" s="78"/>
      <x:c r="E171" s="79"/>
    </x:row>
    <x:row r="172" ht="19" customHeight="1">
      <x:c r="D172" s="78"/>
      <x:c r="E172" s="79"/>
    </x:row>
    <x:row r="173" ht="19" customHeight="1">
      <x:c r="D173" s="78"/>
      <x:c r="E173" s="79"/>
    </x:row>
    <x:row r="174" ht="19" customHeight="1">
      <x:c r="D174" s="78"/>
      <x:c r="E174" s="79"/>
    </x:row>
    <x:row r="175" ht="19" customHeight="1">
      <x:c r="D175" s="78"/>
      <x:c r="E175" s="79"/>
    </x:row>
    <x:row r="176" ht="19" customHeight="1">
      <x:c r="D176" s="78"/>
      <x:c r="E176" s="79"/>
    </x:row>
    <x:row r="177" ht="19" customHeight="1">
      <x:c r="D177" s="78"/>
      <x:c r="E177" s="79"/>
    </x:row>
    <x:row r="178" ht="19" customHeight="1">
      <x:c r="D178" s="78"/>
      <x:c r="E178" s="79"/>
    </x:row>
    <x:row r="179" ht="19" customHeight="1">
      <x:c r="D179" s="78"/>
      <x:c r="E179" s="79"/>
    </x:row>
    <x:row r="180" ht="19" customHeight="1">
      <x:c r="D180" s="78"/>
      <x:c r="E180" s="79"/>
    </x:row>
    <x:row r="181" ht="19" customHeight="1">
      <x:c r="D181" s="78"/>
      <x:c r="E181" s="79"/>
    </x:row>
    <x:row r="182" ht="19" customHeight="1">
      <x:c r="D182" s="78"/>
      <x:c r="E182" s="79"/>
    </x:row>
    <x:row r="183" ht="19" customHeight="1">
      <x:c r="D183" s="78"/>
      <x:c r="E183" s="79"/>
    </x:row>
    <x:row r="184" ht="19" customHeight="1">
      <x:c r="D184" s="78"/>
      <x:c r="E184" s="79"/>
    </x:row>
    <x:row r="185" ht="19" customHeight="1">
      <x:c r="D185" s="78"/>
      <x:c r="E185" s="79"/>
    </x:row>
    <x:row r="186" ht="19" customHeight="1">
      <x:c r="D186" s="78"/>
      <x:c r="E186" s="79"/>
    </x:row>
    <x:row r="187" ht="19" customHeight="1">
      <x:c r="D187" s="78"/>
      <x:c r="E187" s="79"/>
    </x:row>
    <x:row r="188" ht="19" customHeight="1">
      <x:c r="D188" s="78"/>
      <x:c r="E188" s="79"/>
    </x:row>
    <x:row r="189" ht="19" customHeight="1">
      <x:c r="D189" s="78"/>
      <x:c r="E189" s="79"/>
    </x:row>
    <x:row r="190" ht="19" customHeight="1">
      <x:c r="D190" s="78"/>
      <x:c r="E190" s="79"/>
    </x:row>
    <x:row r="191" ht="19" customHeight="1">
      <x:c r="D191" s="78"/>
      <x:c r="E191" s="79"/>
    </x:row>
    <x:row r="192" ht="19" customHeight="1">
      <x:c r="D192" s="78"/>
      <x:c r="E192" s="79"/>
    </x:row>
    <x:row r="193" ht="19" customHeight="1">
      <x:c r="D193" s="78"/>
      <x:c r="E193" s="79"/>
    </x:row>
    <x:row r="194" ht="19" customHeight="1">
      <x:c r="D194" s="78"/>
      <x:c r="E194" s="79"/>
    </x:row>
    <x:row r="195" ht="19" customHeight="1">
      <x:c r="D195" s="78"/>
      <x:c r="E195" s="79"/>
    </x:row>
    <x:row r="196" ht="19" customHeight="1">
      <x:c r="D196" s="78"/>
      <x:c r="E196" s="79"/>
    </x:row>
    <x:row r="197" ht="19" customHeight="1">
      <x:c r="D197" s="78"/>
      <x:c r="E197" s="79"/>
    </x:row>
    <x:row r="198" ht="19" customHeight="1">
      <x:c r="D198" s="78"/>
      <x:c r="E198" s="79"/>
    </x:row>
    <x:row r="199" ht="19" customHeight="1">
      <x:c r="D199" s="78"/>
      <x:c r="E199" s="79"/>
    </x:row>
    <x:row r="200" ht="19" customHeight="1">
      <x:c r="D200" s="78"/>
      <x:c r="E200" s="7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3" max="3" width="20" hidden="0" customWidth="1"/>
    <x:col min="7" max="7" width="8" hidden="0" customWidth="1"/>
    <x:col min="11" max="11" width="8" hidden="0" customWidth="1"/>
    <x:col min="15" max="15" width="8" hidden="0" customWidth="1"/>
    <x:col min="19" max="19" width="8" hidden="0" customWidth="1"/>
    <x:col min="2" max="2" width="25" hidden="0" customWidth="1"/>
    <x:col min="6" max="6" width="8" hidden="0" customWidth="1"/>
    <x:col min="10" max="10" width="8" hidden="0" customWidth="1"/>
    <x:col min="14" max="14" width="8" hidden="0" customWidth="1"/>
    <x:col min="18" max="18" width="8" hidden="0" customWidth="1"/>
    <x:col min="1" max="1" width="11" hidden="0" customWidth="1"/>
    <x:col min="5" max="5" width="8" hidden="0" customWidth="1"/>
    <x:col min="9" max="9" width="8" hidden="0" customWidth="1"/>
    <x:col min="13" max="13" width="8" hidden="0" customWidth="1"/>
    <x:col min="17" max="17" width="8" hidden="0" customWidth="1"/>
    <x:col min="4" max="4" width="40" hidden="0" customWidth="1"/>
    <x:col min="8" max="8" width="8" hidden="0" customWidth="1"/>
    <x:col min="12" max="12" width="8" hidden="0" customWidth="1"/>
    <x:col min="16" max="16" width="8" hidden="0" customWidth="1"/>
    <x:col min="20" max="20" width="8" hidden="0" customWidth="1"/>
  </x:cols>
  <x:sheetData>
    <x:row r="1">
      <x:c r="A1" s="80" t="s">
        <x:v>222</x:v>
      </x:c>
      <x:c r="B1" s="80" t="s">
        <x:v>223</x:v>
      </x:c>
      <x:c r="C1" s="80" t="s">
        <x:v>224</x:v>
      </x:c>
      <x:c r="D1" s="80" t="s">
        <x:v>225</x:v>
      </x:c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</x:row>
    <x:row r="2">
      <x:c r="A2" s="82" t="s">
        <x:v>226</x:v>
      </x:c>
      <x:c r="B2" s="83" t="s">
        <x:v>227</x:v>
      </x:c>
      <x:c r="C2" s="82" t="s">
        <x:v>228</x:v>
      </x:c>
      <x:c r="D2" s="83" t="s">
        <x:v>229</x:v>
      </x:c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</x:row>
    <x:row r="3">
      <x:c r="A3" s="82" t="s">
        <x:v>228</x:v>
      </x:c>
      <x:c r="B3" s="83" t="s">
        <x:v>230</x:v>
      </x:c>
      <x:c r="C3" s="82" t="s">
        <x:v>231</x:v>
      </x:c>
      <x:c r="D3" s="83" t="s">
        <x:v>229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</x:row>
    <x:row r="4">
      <x:c r="A4" s="82" t="s">
        <x:v>231</x:v>
      </x:c>
      <x:c r="B4" s="83" t="s">
        <x:v>232</x:v>
      </x:c>
      <x:c r="C4" s="82" t="s">
        <x:v>233</x:v>
      </x:c>
      <x:c r="D4" s="83" t="s">
        <x:v>234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</x:row>
    <x:row r="5">
      <x:c r="A5" s="82" t="s">
        <x:v>235</x:v>
      </x:c>
      <x:c r="B5" s="83" t="s">
        <x:v>236</x:v>
      </x:c>
      <x:c r="C5" s="82" t="s">
        <x:v>237</x:v>
      </x:c>
      <x:c r="D5" s="83" t="s">
        <x:v>238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</x:row>
    <x:row r="6">
      <x:c r="A6" s="82" t="s">
        <x:v>239</x:v>
      </x:c>
      <x:c r="B6" s="83" t="s">
        <x:v>240</x:v>
      </x:c>
      <x:c r="C6" s="82" t="s">
        <x:v>241</x:v>
      </x:c>
      <x:c r="D6" s="83" t="s">
        <x:v>238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</x:row>
    <x:row r="7">
      <x:c r="A7" s="82" t="s">
        <x:v>242</x:v>
      </x:c>
      <x:c r="B7" s="83" t="s">
        <x:v>243</x:v>
      </x:c>
      <x:c r="C7" s="82" t="s">
        <x:v>244</x:v>
      </x:c>
      <x:c r="D7" s="83" t="s">
        <x:v>238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</x:row>
    <x:row r="8">
      <x:c r="A8" s="82" t="s">
        <x:v>244</x:v>
      </x:c>
      <x:c r="B8" s="83" t="s">
        <x:v>245</x:v>
      </x:c>
      <x:c r="C8" s="82" t="s">
        <x:v>242</x:v>
      </x:c>
      <x:c r="D8" s="83" t="s">
        <x:v>238</x:v>
      </x:c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</x:row>
    <x:row r="9">
      <x:c r="A9" s="82" t="s">
        <x:v>246</x:v>
      </x:c>
      <x:c r="B9" s="83" t="s">
        <x:v>247</x:v>
      </x:c>
      <x:c r="C9" s="82" t="s">
        <x:v>248</x:v>
      </x:c>
      <x:c r="D9" s="83" t="s">
        <x:v>238</x:v>
      </x:c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</x:row>
    <x:row r="10">
      <x:c r="A10" s="82" t="s">
        <x:v>249</x:v>
      </x:c>
      <x:c r="B10" s="83" t="s">
        <x:v>250</x:v>
      </x:c>
      <x:c r="C10" s="82" t="s">
        <x:v>244</x:v>
      </x:c>
      <x:c r="D10" s="83" t="s">
        <x:v>251</x:v>
      </x:c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</x:row>
    <x:row r="11">
      <x:c r="A11" s="82" t="s">
        <x:v>252</x:v>
      </x:c>
      <x:c r="B11" s="83" t="s">
        <x:v>253</x:v>
      </x:c>
      <x:c r="C11" s="82" t="s">
        <x:v>231</x:v>
      </x:c>
      <x:c r="D11" s="83" t="s">
        <x:v>251</x:v>
      </x:c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</x:row>
    <x:row r="12">
      <x:c r="A12" s="82" t="s">
        <x:v>254</x:v>
      </x:c>
      <x:c r="B12" s="83" t="s">
        <x:v>255</x:v>
      </x:c>
      <x:c r="C12" s="82" t="s">
        <x:v>231</x:v>
      </x:c>
      <x:c r="D12" s="83" t="s">
        <x:v>251</x:v>
      </x:c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</x:row>
    <x:row r="13">
      <x:c r="A13" s="82" t="s">
        <x:v>256</x:v>
      </x:c>
      <x:c r="B13" s="83" t="s">
        <x:v>257</x:v>
      </x:c>
      <x:c r="C13" s="82" t="s">
        <x:v>242</x:v>
      </x:c>
      <x:c r="D13" s="83" t="s">
        <x:v>251</x:v>
      </x:c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</x:row>
    <x:row r="14">
      <x:c r="A14" s="82" t="s">
        <x:v>258</x:v>
      </x:c>
      <x:c r="B14" s="83" t="s">
        <x:v>259</x:v>
      </x:c>
      <x:c r="C14" s="82" t="s">
        <x:v>252</x:v>
      </x:c>
      <x:c r="D14" s="83" t="s">
        <x:v>251</x:v>
      </x:c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</x:row>
    <x:row r="15">
      <x:c r="A15" s="82" t="s">
        <x:v>260</x:v>
      </x:c>
      <x:c r="B15" s="83" t="s">
        <x:v>261</x:v>
      </x:c>
      <x:c r="C15" s="82" t="s">
        <x:v>252</x:v>
      </x:c>
      <x:c r="D15" s="83" t="s">
        <x:v>251</x:v>
      </x:c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</x:row>
    <x:row r="16">
      <x:c r="A16" s="82" t="s">
        <x:v>262</x:v>
      </x:c>
      <x:c r="B16" s="83" t="s">
        <x:v>263</x:v>
      </x:c>
      <x:c r="C16" s="82" t="s">
        <x:v>228</x:v>
      </x:c>
      <x:c r="D16" s="83" t="s">
        <x:v>251</x:v>
      </x:c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</x:row>
    <x:row r="17">
      <x:c r="A17" s="82" t="s">
        <x:v>264</x:v>
      </x:c>
      <x:c r="B17" s="83" t="s">
        <x:v>265</x:v>
      </x:c>
      <x:c r="C17" s="82" t="s">
        <x:v>239</x:v>
      </x:c>
      <x:c r="D17" s="83" t="s">
        <x:v>234</x:v>
      </x:c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</x:row>
    <x:row r="18">
      <x:c r="A18" s="82" t="s">
        <x:v>266</x:v>
      </x:c>
      <x:c r="B18" s="83" t="s">
        <x:v>267</x:v>
      </x:c>
      <x:c r="C18" s="82" t="s">
        <x:v>239</x:v>
      </x:c>
      <x:c r="D18" s="83" t="s">
        <x:v>251</x:v>
      </x:c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</x:row>
    <x:row r="19">
      <x:c r="A19" s="82" t="s">
        <x:v>268</x:v>
      </x:c>
      <x:c r="B19" s="83" t="s">
        <x:v>269</x:v>
      </x:c>
      <x:c r="C19" s="82" t="s">
        <x:v>268</x:v>
      </x:c>
      <x:c r="D19" s="83" t="s">
        <x:v>251</x:v>
      </x:c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</x:row>
    <x:row r="20">
      <x:c r="A20" s="82" t="s">
        <x:v>270</x:v>
      </x:c>
      <x:c r="B20" s="83" t="s">
        <x:v>271</x:v>
      </x:c>
      <x:c r="C20" s="82" t="s">
        <x:v>249</x:v>
      </x:c>
      <x:c r="D20" s="83" t="s">
        <x:v>251</x:v>
      </x:c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</x:row>
    <x:row r="21">
      <x:c r="A21" s="82" t="s">
        <x:v>272</x:v>
      </x:c>
      <x:c r="B21" s="83" t="s">
        <x:v>273</x:v>
      </x:c>
      <x:c r="C21" s="82" t="s">
        <x:v>231</x:v>
      </x:c>
      <x:c r="D21" s="83" t="s">
        <x:v>251</x:v>
      </x:c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</x:row>
    <x:row r="22">
      <x:c r="A22" s="82" t="s">
        <x:v>274</x:v>
      </x:c>
      <x:c r="B22" s="83" t="s">
        <x:v>275</x:v>
      </x:c>
      <x:c r="C22" s="82" t="s">
        <x:v>239</x:v>
      </x:c>
      <x:c r="D22" s="83" t="s">
        <x:v>234</x:v>
      </x:c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</x:row>
    <x:row r="23">
      <x:c r="A23" s="82" t="s">
        <x:v>276</x:v>
      </x:c>
      <x:c r="B23" s="83" t="s">
        <x:v>277</x:v>
      </x:c>
      <x:c r="C23" s="82" t="s">
        <x:v>228</x:v>
      </x:c>
      <x:c r="D23" s="83" t="s">
        <x:v>278</x:v>
      </x:c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</x:row>
    <x:row r="24">
      <x:c r="A24" s="82" t="s">
        <x:v>279</x:v>
      </x:c>
      <x:c r="B24" s="83" t="s">
        <x:v>280</x:v>
      </x:c>
      <x:c r="C24" s="82" t="s">
        <x:v>228</x:v>
      </x:c>
      <x:c r="D24" s="83" t="s">
        <x:v>281</x:v>
      </x:c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</x:row>
    <x:row r="25">
      <x:c r="A25" s="82" t="s">
        <x:v>282</x:v>
      </x:c>
      <x:c r="B25" s="83" t="s">
        <x:v>283</x:v>
      </x:c>
      <x:c r="C25" s="82" t="s">
        <x:v>228</x:v>
      </x:c>
      <x:c r="D25" s="83" t="s">
        <x:v>281</x:v>
      </x:c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</x:row>
    <x:row r="26">
      <x:c r="A26" s="82" t="s">
        <x:v>284</x:v>
      </x:c>
      <x:c r="B26" s="83" t="s">
        <x:v>285</x:v>
      </x:c>
      <x:c r="C26" s="82" t="s">
        <x:v>239</x:v>
      </x:c>
      <x:c r="D26" s="83" t="s">
        <x:v>286</x:v>
      </x:c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</x:row>
    <x:row r="27">
      <x:c r="A27" s="82" t="s">
        <x:v>287</x:v>
      </x:c>
      <x:c r="B27" s="83" t="s">
        <x:v>288</x:v>
      </x:c>
      <x:c r="C27" s="82" t="s">
        <x:v>256</x:v>
      </x:c>
      <x:c r="D27" s="83" t="s">
        <x:v>234</x:v>
      </x:c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</x:row>
    <x:row r="28">
      <x:c r="A28" s="82" t="s">
        <x:v>289</x:v>
      </x:c>
      <x:c r="B28" s="83" t="s">
        <x:v>290</x:v>
      </x:c>
      <x:c r="C28" s="82" t="s">
        <x:v>228</x:v>
      </x:c>
      <x:c r="D28" s="83" t="s">
        <x:v>278</x:v>
      </x:c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</x:row>
    <x:row r="29">
      <x:c r="A29" s="82" t="s">
        <x:v>291</x:v>
      </x:c>
      <x:c r="B29" s="83" t="s">
        <x:v>292</x:v>
      </x:c>
      <x:c r="C29" s="82" t="s">
        <x:v>293</x:v>
      </x:c>
      <x:c r="D29" s="83" t="s">
        <x:v>278</x:v>
      </x:c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</x:row>
    <x:row r="30">
      <x:c r="A30" s="82" t="s">
        <x:v>294</x:v>
      </x:c>
      <x:c r="B30" s="83" t="s">
        <x:v>295</x:v>
      </x:c>
      <x:c r="C30" s="82" t="s">
        <x:v>293</x:v>
      </x:c>
      <x:c r="D30" s="83" t="s">
        <x:v>278</x:v>
      </x:c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</x:row>
    <x:row r="31">
      <x:c r="A31" s="82" t="s">
        <x:v>296</x:v>
      </x:c>
      <x:c r="B31" s="83" t="s">
        <x:v>297</x:v>
      </x:c>
      <x:c r="C31" s="82" t="s">
        <x:v>298</x:v>
      </x:c>
      <x:c r="D31" s="83" t="s">
        <x:v>299</x:v>
      </x:c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</x:row>
    <x:row r="32">
      <x:c r="A32" s="82" t="s">
        <x:v>293</x:v>
      </x:c>
      <x:c r="B32" s="83" t="s">
        <x:v>300</x:v>
      </x:c>
      <x:c r="C32" s="82" t="s">
        <x:v>298</x:v>
      </x:c>
      <x:c r="D32" s="83" t="s">
        <x:v>299</x:v>
      </x:c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</x:row>
    <x:row r="33">
      <x:c r="A33" s="82" t="s">
        <x:v>301</x:v>
      </x:c>
      <x:c r="B33" s="83" t="s">
        <x:v>302</x:v>
      </x:c>
      <x:c r="C33" s="82" t="s">
        <x:v>298</x:v>
      </x:c>
      <x:c r="D33" s="83" t="s">
        <x:v>299</x:v>
      </x:c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</x:row>
    <x:row r="34">
      <x:c r="A34" s="82" t="s">
        <x:v>298</x:v>
      </x:c>
      <x:c r="B34" s="83" t="s">
        <x:v>303</x:v>
      </x:c>
      <x:c r="C34" s="82" t="s">
        <x:v>298</x:v>
      </x:c>
      <x:c r="D34" s="83" t="s">
        <x:v>299</x:v>
      </x:c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</x:row>
    <x:row r="35">
      <x:c r="A35" s="82" t="s">
        <x:v>304</x:v>
      </x:c>
      <x:c r="B35" s="83" t="s">
        <x:v>305</x:v>
      </x:c>
      <x:c r="C35" s="82" t="s">
        <x:v>298</x:v>
      </x:c>
      <x:c r="D35" s="83" t="s">
        <x:v>299</x:v>
      </x:c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</x:row>
    <x:row r="36">
      <x:c r="A36" s="82" t="s">
        <x:v>306</x:v>
      </x:c>
      <x:c r="B36" s="83" t="s">
        <x:v>307</x:v>
      </x:c>
      <x:c r="C36" s="82" t="s">
        <x:v>298</x:v>
      </x:c>
      <x:c r="D36" s="83" t="s">
        <x:v>299</x:v>
      </x:c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</x:row>
    <x:row r="37">
      <x:c r="A37" s="82" t="s">
        <x:v>308</x:v>
      </x:c>
      <x:c r="B37" s="83" t="s">
        <x:v>309</x:v>
      </x:c>
      <x:c r="C37" s="82" t="s">
        <x:v>298</x:v>
      </x:c>
      <x:c r="D37" s="83" t="s">
        <x:v>299</x:v>
      </x:c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</x:row>
    <x:row r="38">
      <x:c r="A38" s="82" t="s">
        <x:v>310</x:v>
      </x:c>
      <x:c r="B38" s="83" t="s">
        <x:v>311</x:v>
      </x:c>
      <x:c r="C38" s="82" t="s">
        <x:v>298</x:v>
      </x:c>
      <x:c r="D38" s="83" t="s">
        <x:v>299</x:v>
      </x:c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</x:row>
    <x:row r="39">
      <x:c r="A39" s="82" t="s">
        <x:v>312</x:v>
      </x:c>
      <x:c r="B39" s="83" t="s">
        <x:v>313</x:v>
      </x:c>
      <x:c r="C39" s="82" t="s">
        <x:v>298</x:v>
      </x:c>
      <x:c r="D39" s="83" t="s">
        <x:v>299</x:v>
      </x:c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</x:row>
    <x:row r="40">
      <x:c r="A40" s="82" t="s">
        <x:v>314</x:v>
      </x:c>
      <x:c r="B40" s="83" t="s">
        <x:v>315</x:v>
      </x:c>
      <x:c r="C40" s="82" t="s">
        <x:v>298</x:v>
      </x:c>
      <x:c r="D40" s="83" t="s">
        <x:v>299</x:v>
      </x:c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</x:row>
    <x:row r="41">
      <x:c r="A41" s="82" t="s">
        <x:v>316</x:v>
      </x:c>
      <x:c r="B41" s="83" t="s">
        <x:v>317</x:v>
      </x:c>
      <x:c r="C41" s="82" t="s">
        <x:v>298</x:v>
      </x:c>
      <x:c r="D41" s="83" t="s">
        <x:v>299</x:v>
      </x:c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</x:row>
    <x:row r="42">
      <x:c r="A42" s="82" t="s">
        <x:v>248</x:v>
      </x:c>
      <x:c r="B42" s="83" t="s">
        <x:v>318</x:v>
      </x:c>
      <x:c r="C42" s="82" t="s">
        <x:v>298</x:v>
      </x:c>
      <x:c r="D42" s="83" t="s">
        <x:v>299</x:v>
      </x:c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</x:row>
    <x:row r="43">
      <x:c r="A43" s="82" t="s">
        <x:v>319</x:v>
      </x:c>
      <x:c r="B43" s="83" t="s">
        <x:v>320</x:v>
      </x:c>
      <x:c r="C43" s="82" t="s">
        <x:v>298</x:v>
      </x:c>
      <x:c r="D43" s="83" t="s">
        <x:v>299</x:v>
      </x:c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</x:row>
    <x:row r="44">
      <x:c r="A44" s="82" t="s">
        <x:v>321</x:v>
      </x:c>
      <x:c r="B44" s="83" t="s">
        <x:v>322</x:v>
      </x:c>
      <x:c r="C44" s="82" t="s">
        <x:v>298</x:v>
      </x:c>
      <x:c r="D44" s="83" t="s">
        <x:v>299</x:v>
      </x:c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</x:row>
    <x:row r="45">
      <x:c r="A45" s="82" t="s">
        <x:v>323</x:v>
      </x:c>
      <x:c r="B45" s="83" t="s">
        <x:v>324</x:v>
      </x:c>
      <x:c r="C45" s="82" t="s">
        <x:v>298</x:v>
      </x:c>
      <x:c r="D45" s="83" t="s">
        <x:v>299</x:v>
      </x:c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</x:row>
    <x:row r="46">
      <x:c r="A46" s="82" t="s">
        <x:v>241</x:v>
      </x:c>
      <x:c r="B46" s="83" t="s">
        <x:v>325</x:v>
      </x:c>
      <x:c r="C46" s="82" t="s">
        <x:v>298</x:v>
      </x:c>
      <x:c r="D46" s="83" t="s">
        <x:v>299</x:v>
      </x:c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</x:row>
    <x:row r="47">
      <x:c r="A47" s="82" t="s">
        <x:v>326</x:v>
      </x:c>
      <x:c r="B47" s="83" t="s">
        <x:v>327</x:v>
      </x:c>
      <x:c r="C47" s="82" t="s">
        <x:v>298</x:v>
      </x:c>
      <x:c r="D47" s="83" t="s">
        <x:v>299</x:v>
      </x:c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</x:row>
    <x:row r="48">
      <x:c r="A48" s="82" t="s">
        <x:v>328</x:v>
      </x:c>
      <x:c r="B48" s="83" t="s">
        <x:v>329</x:v>
      </x:c>
      <x:c r="C48" s="82" t="s">
        <x:v>298</x:v>
      </x:c>
      <x:c r="D48" s="83" t="s">
        <x:v>299</x:v>
      </x:c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</x:row>
    <x:row r="49">
      <x:c r="A49" s="82" t="s">
        <x:v>330</x:v>
      </x:c>
      <x:c r="B49" s="83" t="s">
        <x:v>331</x:v>
      </x:c>
      <x:c r="C49" s="82" t="s">
        <x:v>298</x:v>
      </x:c>
      <x:c r="D49" s="83" t="s">
        <x:v>299</x:v>
      </x:c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</x:row>
    <x:row r="50">
      <x:c r="A50" s="82" t="s">
        <x:v>332</x:v>
      </x:c>
      <x:c r="B50" s="83" t="s">
        <x:v>333</x:v>
      </x:c>
      <x:c r="C50" s="82" t="s">
        <x:v>298</x:v>
      </x:c>
      <x:c r="D50" s="83" t="s">
        <x:v>299</x:v>
      </x:c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</x:row>
    <x:row r="51">
      <x:c r="A51" s="82" t="s">
        <x:v>334</x:v>
      </x:c>
      <x:c r="B51" s="83" t="s">
        <x:v>335</x:v>
      </x:c>
      <x:c r="C51" s="82" t="s">
        <x:v>266</x:v>
      </x:c>
      <x:c r="D51" s="83" t="s">
        <x:v>299</x:v>
      </x:c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</x:row>
    <x:row r="52">
      <x:c r="A52" s="82" t="s">
        <x:v>336</x:v>
      </x:c>
      <x:c r="B52" s="83" t="s">
        <x:v>337</x:v>
      </x:c>
      <x:c r="C52" s="82" t="s">
        <x:v>332</x:v>
      </x:c>
      <x:c r="D52" s="83" t="s">
        <x:v>299</x:v>
      </x:c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</x:row>
    <x:row r="53">
      <x:c r="A53" s="82" t="s">
        <x:v>338</x:v>
      </x:c>
      <x:c r="B53" s="83" t="s">
        <x:v>339</x:v>
      </x:c>
      <x:c r="C53" s="82" t="s">
        <x:v>332</x:v>
      </x:c>
      <x:c r="D53" s="83" t="s">
        <x:v>299</x:v>
      </x:c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</x:row>
    <x:row r="54">
      <x:c r="A54" s="82" t="s">
        <x:v>340</x:v>
      </x:c>
      <x:c r="B54" s="83" t="s">
        <x:v>341</x:v>
      </x:c>
      <x:c r="C54" s="82" t="s">
        <x:v>332</x:v>
      </x:c>
      <x:c r="D54" s="83" t="s">
        <x:v>299</x:v>
      </x:c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</x:row>
    <x:row r="55">
      <x:c r="A55" s="82" t="s">
        <x:v>342</x:v>
      </x:c>
      <x:c r="B55" s="83" t="s">
        <x:v>343</x:v>
      </x:c>
      <x:c r="C55" s="82" t="s">
        <x:v>332</x:v>
      </x:c>
      <x:c r="D55" s="83" t="s">
        <x:v>299</x:v>
      </x:c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</x:row>
    <x:row r="56">
      <x:c r="A56" s="82" t="s">
        <x:v>344</x:v>
      </x:c>
      <x:c r="B56" s="83" t="s">
        <x:v>345</x:v>
      </x:c>
      <x:c r="C56" s="82" t="s">
        <x:v>332</x:v>
      </x:c>
      <x:c r="D56" s="83" t="s">
        <x:v>299</x:v>
      </x:c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</x:row>
    <x:row r="57">
      <x:c r="A57" s="82" t="s">
        <x:v>346</x:v>
      </x:c>
      <x:c r="B57" s="83" t="s">
        <x:v>347</x:v>
      </x:c>
      <x:c r="C57" s="82" t="s">
        <x:v>332</x:v>
      </x:c>
      <x:c r="D57" s="83" t="s">
        <x:v>299</x:v>
      </x:c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</x:row>
    <x:row r="58">
      <x:c r="A58" s="82" t="s">
        <x:v>348</x:v>
      </x:c>
      <x:c r="B58" s="83" t="s">
        <x:v>349</x:v>
      </x:c>
      <x:c r="C58" s="82" t="s">
        <x:v>332</x:v>
      </x:c>
      <x:c r="D58" s="83" t="s">
        <x:v>299</x:v>
      </x:c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</x:row>
    <x:row r="59">
      <x:c r="A59" s="82" t="s">
        <x:v>350</x:v>
      </x:c>
      <x:c r="B59" s="83" t="s">
        <x:v>351</x:v>
      </x:c>
      <x:c r="C59" s="82" t="s">
        <x:v>332</x:v>
      </x:c>
      <x:c r="D59" s="83" t="s">
        <x:v>299</x:v>
      </x:c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</x:row>
    <x:row r="60">
      <x:c r="A60" s="82" t="s">
        <x:v>352</x:v>
      </x:c>
      <x:c r="B60" s="83" t="s">
        <x:v>353</x:v>
      </x:c>
      <x:c r="C60" s="82" t="s">
        <x:v>332</x:v>
      </x:c>
      <x:c r="D60" s="83" t="s">
        <x:v>299</x:v>
      </x:c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</x:row>
    <x:row r="61">
      <x:c r="A61" s="82" t="s">
        <x:v>354</x:v>
      </x:c>
      <x:c r="B61" s="83" t="s">
        <x:v>355</x:v>
      </x:c>
      <x:c r="C61" s="82" t="s">
        <x:v>332</x:v>
      </x:c>
      <x:c r="D61" s="83" t="s">
        <x:v>299</x:v>
      </x:c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</x:row>
    <x:row r="62">
      <x:c r="A62" s="82" t="s">
        <x:v>356</x:v>
      </x:c>
      <x:c r="B62" s="83" t="s">
        <x:v>357</x:v>
      </x:c>
      <x:c r="C62" s="82" t="s">
        <x:v>332</x:v>
      </x:c>
      <x:c r="D62" s="83" t="s">
        <x:v>299</x:v>
      </x:c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</x:row>
    <x:row r="63">
      <x:c r="A63" s="82" t="s">
        <x:v>358</x:v>
      </x:c>
      <x:c r="B63" s="83" t="s">
        <x:v>359</x:v>
      </x:c>
      <x:c r="C63" s="82" t="s">
        <x:v>332</x:v>
      </x:c>
      <x:c r="D63" s="83" t="s">
        <x:v>299</x:v>
      </x:c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</x:row>
    <x:row r="64">
      <x:c r="A64" s="82" t="s">
        <x:v>360</x:v>
      </x:c>
      <x:c r="B64" s="83" t="s">
        <x:v>361</x:v>
      </x:c>
      <x:c r="C64" s="82" t="s">
        <x:v>332</x:v>
      </x:c>
      <x:c r="D64" s="83" t="s">
        <x:v>299</x:v>
      </x:c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</x:row>
    <x:row r="65">
      <x:c r="A65" s="82" t="s">
        <x:v>362</x:v>
      </x:c>
      <x:c r="B65" s="83" t="s">
        <x:v>363</x:v>
      </x:c>
      <x:c r="C65" s="82" t="s">
        <x:v>332</x:v>
      </x:c>
      <x:c r="D65" s="83" t="s">
        <x:v>299</x:v>
      </x:c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</x:row>
    <x:row r="66">
      <x:c r="A66" s="82" t="s">
        <x:v>364</x:v>
      </x:c>
      <x:c r="B66" s="83" t="s">
        <x:v>365</x:v>
      </x:c>
      <x:c r="C66" s="82" t="s">
        <x:v>332</x:v>
      </x:c>
      <x:c r="D66" s="83" t="s">
        <x:v>299</x:v>
      </x:c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</x:row>
    <x:row r="67">
      <x:c r="A67" s="82" t="s">
        <x:v>366</x:v>
      </x:c>
      <x:c r="B67" s="83" t="s">
        <x:v>367</x:v>
      </x:c>
      <x:c r="C67" s="82" t="s">
        <x:v>332</x:v>
      </x:c>
      <x:c r="D67" s="83" t="s">
        <x:v>299</x:v>
      </x:c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</x:row>
    <x:row r="68">
      <x:c r="A68" s="82" t="s">
        <x:v>368</x:v>
      </x:c>
      <x:c r="B68" s="83" t="s">
        <x:v>369</x:v>
      </x:c>
      <x:c r="C68" s="82" t="s">
        <x:v>332</x:v>
      </x:c>
      <x:c r="D68" s="83" t="s">
        <x:v>299</x:v>
      </x:c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</x:row>
    <x:row r="69">
      <x:c r="A69" s="82" t="s">
        <x:v>370</x:v>
      </x:c>
      <x:c r="B69" s="83" t="s">
        <x:v>371</x:v>
      </x:c>
      <x:c r="C69" s="82" t="s">
        <x:v>332</x:v>
      </x:c>
      <x:c r="D69" s="83" t="s">
        <x:v>299</x:v>
      </x:c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</x:row>
    <x:row r="70">
      <x:c r="A70" s="82" t="s">
        <x:v>372</x:v>
      </x:c>
      <x:c r="B70" s="83" t="s">
        <x:v>373</x:v>
      </x:c>
      <x:c r="C70" s="82" t="s">
        <x:v>332</x:v>
      </x:c>
      <x:c r="D70" s="83" t="s">
        <x:v>299</x:v>
      </x:c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</x:row>
    <x:row r="71">
      <x:c r="A71" s="82" t="s">
        <x:v>374</x:v>
      </x:c>
      <x:c r="B71" s="83" t="s">
        <x:v>375</x:v>
      </x:c>
      <x:c r="C71" s="82" t="s">
        <x:v>332</x:v>
      </x:c>
      <x:c r="D71" s="83" t="s">
        <x:v>299</x:v>
      </x:c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</x:row>
    <x:row r="72">
      <x:c r="A72" s="82" t="s">
        <x:v>376</x:v>
      </x:c>
      <x:c r="B72" s="83" t="s">
        <x:v>377</x:v>
      </x:c>
      <x:c r="C72" s="82" t="s">
        <x:v>332</x:v>
      </x:c>
      <x:c r="D72" s="83" t="s">
        <x:v>299</x:v>
      </x:c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</x:row>
    <x:row r="73">
      <x:c r="A73" s="82" t="s">
        <x:v>378</x:v>
      </x:c>
      <x:c r="B73" s="83" t="s">
        <x:v>379</x:v>
      </x:c>
      <x:c r="C73" s="82" t="s">
        <x:v>332</x:v>
      </x:c>
      <x:c r="D73" s="83" t="s">
        <x:v>299</x:v>
      </x:c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</x:row>
    <x:row r="74">
      <x:c r="A74" s="82" t="s">
        <x:v>380</x:v>
      </x:c>
      <x:c r="B74" s="83" t="s">
        <x:v>381</x:v>
      </x:c>
      <x:c r="C74" s="82" t="s">
        <x:v>332</x:v>
      </x:c>
      <x:c r="D74" s="83" t="s">
        <x:v>299</x:v>
      </x:c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</x:row>
    <x:row r="75">
      <x:c r="A75" s="82" t="s">
        <x:v>382</x:v>
      </x:c>
      <x:c r="B75" s="83" t="s">
        <x:v>383</x:v>
      </x:c>
      <x:c r="C75" s="82" t="s">
        <x:v>332</x:v>
      </x:c>
      <x:c r="D75" s="83" t="s">
        <x:v>299</x:v>
      </x:c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</x:row>
    <x:row r="76">
      <x:c r="A76" s="82" t="s">
        <x:v>384</x:v>
      </x:c>
      <x:c r="B76" s="83" t="s">
        <x:v>385</x:v>
      </x:c>
      <x:c r="C76" s="82" t="s">
        <x:v>332</x:v>
      </x:c>
      <x:c r="D76" s="83" t="s">
        <x:v>299</x:v>
      </x:c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</x:row>
    <x:row r="77">
      <x:c r="A77" s="82" t="s">
        <x:v>386</x:v>
      </x:c>
      <x:c r="B77" s="83" t="s">
        <x:v>387</x:v>
      </x:c>
      <x:c r="C77" s="82" t="s">
        <x:v>332</x:v>
      </x:c>
      <x:c r="D77" s="83" t="s">
        <x:v>299</x:v>
      </x:c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</x:row>
    <x:row r="78">
      <x:c r="A78" s="82" t="s">
        <x:v>388</x:v>
      </x:c>
      <x:c r="B78" s="83" t="s">
        <x:v>389</x:v>
      </x:c>
      <x:c r="C78" s="82" t="s">
        <x:v>332</x:v>
      </x:c>
      <x:c r="D78" s="83" t="s">
        <x:v>299</x:v>
      </x:c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</x:row>
    <x:row r="79">
      <x:c r="A79" s="82" t="s">
        <x:v>390</x:v>
      </x:c>
      <x:c r="B79" s="83" t="s">
        <x:v>391</x:v>
      </x:c>
      <x:c r="C79" s="82" t="s">
        <x:v>332</x:v>
      </x:c>
      <x:c r="D79" s="83" t="s">
        <x:v>299</x:v>
      </x:c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</x:row>
    <x:row r="80">
      <x:c r="A80" s="82" t="s">
        <x:v>392</x:v>
      </x:c>
      <x:c r="B80" s="83" t="s">
        <x:v>393</x:v>
      </x:c>
      <x:c r="C80" s="82" t="s">
        <x:v>332</x:v>
      </x:c>
      <x:c r="D80" s="83" t="s">
        <x:v>299</x:v>
      </x:c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</x:row>
    <x:row r="81">
      <x:c r="A81" s="82" t="s">
        <x:v>394</x:v>
      </x:c>
      <x:c r="B81" s="83" t="s">
        <x:v>395</x:v>
      </x:c>
      <x:c r="C81" s="82" t="s">
        <x:v>332</x:v>
      </x:c>
      <x:c r="D81" s="83" t="s">
        <x:v>299</x:v>
      </x:c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</x:row>
    <x:row r="82">
      <x:c r="A82" s="82" t="s">
        <x:v>396</x:v>
      </x:c>
      <x:c r="B82" s="83" t="s">
        <x:v>397</x:v>
      </x:c>
      <x:c r="C82" s="82" t="s">
        <x:v>332</x:v>
      </x:c>
      <x:c r="D82" s="83" t="s">
        <x:v>299</x:v>
      </x:c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</x:row>
    <x:row r="83">
      <x:c r="A83" s="82" t="s">
        <x:v>398</x:v>
      </x:c>
      <x:c r="B83" s="83" t="s">
        <x:v>399</x:v>
      </x:c>
      <x:c r="C83" s="82" t="s">
        <x:v>332</x:v>
      </x:c>
      <x:c r="D83" s="83" t="s">
        <x:v>299</x:v>
      </x:c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</x:row>
    <x:row r="84">
      <x:c r="A84" s="82" t="s">
        <x:v>400</x:v>
      </x:c>
      <x:c r="B84" s="83" t="s">
        <x:v>401</x:v>
      </x:c>
      <x:c r="C84" s="82" t="s">
        <x:v>332</x:v>
      </x:c>
      <x:c r="D84" s="83" t="s">
        <x:v>299</x:v>
      </x:c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</x:row>
    <x:row r="85">
      <x:c r="A85" s="82" t="s">
        <x:v>402</x:v>
      </x:c>
      <x:c r="B85" s="83" t="s">
        <x:v>403</x:v>
      </x:c>
      <x:c r="C85" s="82" t="s">
        <x:v>332</x:v>
      </x:c>
      <x:c r="D85" s="83" t="s">
        <x:v>299</x:v>
      </x:c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</x:row>
    <x:row r="86">
      <x:c r="A86" s="82" t="s">
        <x:v>404</x:v>
      </x:c>
      <x:c r="B86" s="83" t="s">
        <x:v>405</x:v>
      </x:c>
      <x:c r="C86" s="82" t="s">
        <x:v>332</x:v>
      </x:c>
      <x:c r="D86" s="83" t="s">
        <x:v>299</x:v>
      </x:c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</x:row>
    <x:row r="87">
      <x:c r="A87" s="82" t="s">
        <x:v>406</x:v>
      </x:c>
      <x:c r="B87" s="83" t="s">
        <x:v>407</x:v>
      </x:c>
      <x:c r="C87" s="82" t="s">
        <x:v>332</x:v>
      </x:c>
      <x:c r="D87" s="83" t="s">
        <x:v>299</x:v>
      </x:c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</x:row>
    <x:row r="88">
      <x:c r="A88" s="82" t="s">
        <x:v>408</x:v>
      </x:c>
      <x:c r="B88" s="83" t="s">
        <x:v>409</x:v>
      </x:c>
      <x:c r="C88" s="82" t="s">
        <x:v>332</x:v>
      </x:c>
      <x:c r="D88" s="83" t="s">
        <x:v>299</x:v>
      </x:c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</x:row>
    <x:row r="89">
      <x:c r="A89" s="82" t="s">
        <x:v>410</x:v>
      </x:c>
      <x:c r="B89" s="83" t="s">
        <x:v>411</x:v>
      </x:c>
      <x:c r="C89" s="82" t="s">
        <x:v>332</x:v>
      </x:c>
      <x:c r="D89" s="83" t="s">
        <x:v>299</x:v>
      </x:c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</x:row>
    <x:row r="90">
      <x:c r="A90" s="82" t="s">
        <x:v>412</x:v>
      </x:c>
      <x:c r="B90" s="83" t="s">
        <x:v>413</x:v>
      </x:c>
      <x:c r="C90" s="82" t="s">
        <x:v>332</x:v>
      </x:c>
      <x:c r="D90" s="83" t="s">
        <x:v>299</x:v>
      </x:c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</x:row>
    <x:row r="91">
      <x:c r="A91" s="82" t="s">
        <x:v>414</x:v>
      </x:c>
      <x:c r="B91" s="83" t="s">
        <x:v>415</x:v>
      </x:c>
      <x:c r="C91" s="82" t="s">
        <x:v>332</x:v>
      </x:c>
      <x:c r="D91" s="83" t="s">
        <x:v>299</x:v>
      </x:c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</x:row>
    <x:row r="92">
      <x:c r="A92" s="82" t="s">
        <x:v>416</x:v>
      </x:c>
      <x:c r="B92" s="83" t="s">
        <x:v>417</x:v>
      </x:c>
      <x:c r="C92" s="82" t="s">
        <x:v>418</x:v>
      </x:c>
      <x:c r="D92" s="83" t="s">
        <x:v>299</x:v>
      </x:c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</x:row>
    <x:row r="93">
      <x:c r="A93" s="82" t="s">
        <x:v>419</x:v>
      </x:c>
      <x:c r="B93" s="83" t="s">
        <x:v>420</x:v>
      </x:c>
      <x:c r="C93" s="82" t="s">
        <x:v>228</x:v>
      </x:c>
      <x:c r="D93" s="83" t="s">
        <x:v>234</x:v>
      </x:c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</x:row>
    <x:row r="94">
      <x:c r="A94" s="82" t="s">
        <x:v>421</x:v>
      </x:c>
      <x:c r="B94" s="83" t="s">
        <x:v>422</x:v>
      </x:c>
      <x:c r="C94" s="82" t="s">
        <x:v>228</x:v>
      </x:c>
      <x:c r="D94" s="83" t="s">
        <x:v>286</x:v>
      </x:c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</x:row>
    <x:row r="95">
      <x:c r="A95" s="82" t="s">
        <x:v>423</x:v>
      </x:c>
      <x:c r="B95" s="83" t="s">
        <x:v>424</x:v>
      </x:c>
      <x:c r="C95" s="82" t="s">
        <x:v>235</x:v>
      </x:c>
      <x:c r="D95" s="83" t="s">
        <x:v>251</x:v>
      </x:c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</x:row>
    <x:row r="96">
      <x:c r="A96" s="82" t="s">
        <x:v>425</x:v>
      </x:c>
      <x:c r="B96" s="83" t="s">
        <x:v>426</x:v>
      </x:c>
      <x:c r="C96" s="82" t="s">
        <x:v>252</x:v>
      </x:c>
      <x:c r="D96" s="83" t="s">
        <x:v>251</x:v>
      </x:c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</x:row>
    <x:row r="97">
      <x:c r="A97" s="82" t="s">
        <x:v>427</x:v>
      </x:c>
      <x:c r="B97" s="83" t="s">
        <x:v>428</x:v>
      </x:c>
      <x:c r="C97" s="82" t="s">
        <x:v>239</x:v>
      </x:c>
      <x:c r="D97" s="83" t="s">
        <x:v>286</x:v>
      </x:c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</x:row>
    <x:row r="98">
      <x:c r="A98" s="82" t="s">
        <x:v>429</x:v>
      </x:c>
      <x:c r="B98" s="83" t="s">
        <x:v>430</x:v>
      </x:c>
      <x:c r="C98" s="82" t="s">
        <x:v>228</x:v>
      </x:c>
      <x:c r="D98" s="83" t="s">
        <x:v>238</x:v>
      </x:c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</x:row>
    <x:row r="99">
      <x:c r="A99" s="82" t="s">
        <x:v>431</x:v>
      </x:c>
      <x:c r="B99" s="83" t="s">
        <x:v>432</x:v>
      </x:c>
      <x:c r="C99" s="82" t="s">
        <x:v>228</x:v>
      </x:c>
      <x:c r="D99" s="83" t="s">
        <x:v>286</x:v>
      </x:c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</x:row>
    <x:row r="100">
      <x:c r="A100" s="82" t="s">
        <x:v>433</x:v>
      </x:c>
      <x:c r="B100" s="83" t="s">
        <x:v>434</x:v>
      </x:c>
      <x:c r="C100" s="82" t="s">
        <x:v>239</x:v>
      </x:c>
      <x:c r="D100" s="83" t="s">
        <x:v>278</x:v>
      </x:c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</x:row>
    <x:row r="101">
      <x:c r="A101" s="82" t="s">
        <x:v>435</x:v>
      </x:c>
      <x:c r="B101" s="83" t="s">
        <x:v>436</x:v>
      </x:c>
      <x:c r="C101" s="82" t="s">
        <x:v>437</x:v>
      </x:c>
      <x:c r="D101" s="83" t="s">
        <x:v>438</x:v>
      </x:c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</x:row>
    <x:row r="102">
      <x:c r="A102" s="82" t="s">
        <x:v>439</x:v>
      </x:c>
      <x:c r="B102" s="83" t="s">
        <x:v>440</x:v>
      </x:c>
      <x:c r="C102" s="82" t="s">
        <x:v>437</x:v>
      </x:c>
      <x:c r="D102" s="83" t="s">
        <x:v>438</x:v>
      </x:c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</x:row>
    <x:row r="103">
      <x:c r="A103" s="82" t="s">
        <x:v>441</x:v>
      </x:c>
      <x:c r="B103" s="83" t="s">
        <x:v>442</x:v>
      </x:c>
      <x:c r="C103" s="82" t="s">
        <x:v>231</x:v>
      </x:c>
      <x:c r="D103" s="83" t="s">
        <x:v>438</x:v>
      </x:c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</x:row>
    <x:row r="104">
      <x:c r="A104" s="82" t="s">
        <x:v>443</x:v>
      </x:c>
      <x:c r="B104" s="83" t="s">
        <x:v>444</x:v>
      </x:c>
      <x:c r="C104" s="82" t="s">
        <x:v>298</x:v>
      </x:c>
      <x:c r="D104" s="83" t="s">
        <x:v>299</x:v>
      </x:c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</x:row>
    <x:row r="105">
      <x:c r="A105" s="82" t="s">
        <x:v>445</x:v>
      </x:c>
      <x:c r="B105" s="83" t="s">
        <x:v>446</x:v>
      </x:c>
      <x:c r="C105" s="82" t="s">
        <x:v>447</x:v>
      </x:c>
      <x:c r="D105" s="83" t="s">
        <x:v>299</x:v>
      </x:c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</x:row>
    <x:row r="106">
      <x:c r="A106" s="82" t="s">
        <x:v>448</x:v>
      </x:c>
      <x:c r="B106" s="83" t="s">
        <x:v>449</x:v>
      </x:c>
      <x:c r="C106" s="82" t="s">
        <x:v>298</x:v>
      </x:c>
      <x:c r="D106" s="83" t="s">
        <x:v>281</x:v>
      </x:c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1" max="11" width="8" hidden="0" customWidth="1"/>
    <x:col min="15" max="15" width="8" hidden="0" customWidth="1"/>
    <x:col min="19" max="19" width="8" hidden="0" customWidth="1"/>
    <x:col min="3" max="3" width="12" hidden="0" customWidth="1"/>
    <x:col min="7" max="7" width="24" hidden="0" customWidth="1"/>
    <x:col min="10" max="10" width="8" hidden="0" customWidth="1"/>
    <x:col min="14" max="14" width="8" hidden="0" customWidth="1"/>
    <x:col min="2" max="2" width="24" hidden="0" customWidth="1"/>
    <x:col min="6" max="6" width="24" hidden="0" customWidth="1"/>
    <x:col min="9" max="9" width="8" hidden="0" customWidth="1"/>
    <x:col min="13" max="13" width="8" hidden="0" customWidth="1"/>
    <x:col min="17" max="17" width="8" hidden="0" customWidth="1"/>
    <x:col min="18" max="18" width="8" hidden="0" customWidth="1"/>
    <x:col min="1" max="1" width="14" hidden="0" customWidth="1"/>
    <x:col min="5" max="5" width="42" hidden="0" customWidth="1"/>
    <x:col min="12" max="12" width="8" hidden="0" customWidth="1"/>
    <x:col min="16" max="16" width="8" hidden="0" customWidth="1"/>
    <x:col min="20" max="20" width="8" hidden="0" customWidth="1"/>
    <x:col min="4" max="4" width="33" hidden="0" customWidth="1"/>
    <x:col min="8" max="8" width="8" hidden="0" customWidth="1"/>
  </x:cols>
  <x:sheetData>
    <x:row r="1">
      <x:c r="A1" s="84" t="s">
        <x:v>450</x:v>
      </x:c>
      <x:c r="B1" s="84" t="s">
        <x:v>451</x:v>
      </x:c>
      <x:c r="C1" s="85" t="s">
        <x:v>452</x:v>
      </x:c>
      <x:c r="D1" s="84" t="s">
        <x:v>453</x:v>
      </x:c>
      <x:c r="E1" s="84" t="s">
        <x:v>454</x:v>
      </x:c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</x:row>
    <x:row r="2">
      <x:c r="A2" s="87" t="s">
        <x:v>455</x:v>
      </x:c>
      <x:c r="B2" s="87" t="s">
        <x:v>456</x:v>
      </x:c>
      <x:c r="C2" s="88" t="s">
        <x:v>268</x:v>
      </x:c>
      <x:c r="D2" s="87" t="s">
        <x:v>457</x:v>
      </x:c>
      <x:c r="E2" s="87" t="s">
        <x:v>458</x:v>
      </x:c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</x:row>
    <x:row r="3">
      <x:c r="A3" s="87" t="s">
        <x:v>455</x:v>
      </x:c>
      <x:c r="B3" s="87" t="s">
        <x:v>459</x:v>
      </x:c>
      <x:c r="C3" s="88" t="s">
        <x:v>268</x:v>
      </x:c>
      <x:c r="D3" s="87" t="s">
        <x:v>460</x:v>
      </x:c>
      <x:c r="E3" s="87" t="s">
        <x:v>458</x:v>
      </x:c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</x:row>
    <x:row r="4">
      <x:c r="A4" s="87" t="s">
        <x:v>455</x:v>
      </x:c>
      <x:c r="B4" s="87" t="s">
        <x:v>461</x:v>
      </x:c>
      <x:c r="C4" s="88" t="s">
        <x:v>268</x:v>
      </x:c>
      <x:c r="D4" s="87" t="s">
        <x:v>462</x:v>
      </x:c>
      <x:c r="E4" s="87" t="s">
        <x:v>458</x:v>
      </x:c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</x:row>
    <x:row r="5">
      <x:c r="A5" s="87" t="s">
        <x:v>463</x:v>
      </x:c>
      <x:c r="B5" s="87" t="s">
        <x:v>464</x:v>
      </x:c>
      <x:c r="C5" s="88" t="s">
        <x:v>228</x:v>
      </x:c>
      <x:c r="D5" s="87" t="s">
        <x:v>465</x:v>
      </x:c>
      <x:c r="E5" s="87" t="s">
        <x:v>466</x:v>
      </x:c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</x:row>
    <x:row r="6">
      <x:c r="A6" s="87" t="s">
        <x:v>463</x:v>
      </x:c>
      <x:c r="B6" s="87" t="s">
        <x:v>467</x:v>
      </x:c>
      <x:c r="C6" s="88" t="s">
        <x:v>231</x:v>
      </x:c>
      <x:c r="D6" s="87" t="s">
        <x:v>468</x:v>
      </x:c>
      <x:c r="E6" s="87" t="s">
        <x:v>469</x:v>
      </x:c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</x:row>
    <x:row r="7">
      <x:c r="A7" s="87" t="s">
        <x:v>463</x:v>
      </x:c>
      <x:c r="B7" s="87" t="s">
        <x:v>470</x:v>
      </x:c>
      <x:c r="C7" s="88" t="s">
        <x:v>242</x:v>
      </x:c>
      <x:c r="D7" s="87" t="s">
        <x:v>471</x:v>
      </x:c>
      <x:c r="E7" s="87" t="s">
        <x:v>472</x:v>
      </x:c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</x:row>
    <x:row r="8">
      <x:c r="A8" s="87" t="s">
        <x:v>463</x:v>
      </x:c>
      <x:c r="B8" s="87" t="s">
        <x:v>473</x:v>
      </x:c>
      <x:c r="C8" s="88" t="s">
        <x:v>242</x:v>
      </x:c>
      <x:c r="D8" s="87" t="s">
        <x:v>474</x:v>
      </x:c>
      <x:c r="E8" s="87" t="s">
        <x:v>475</x:v>
      </x:c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</x:row>
    <x:row r="9">
      <x:c r="A9" s="87" t="s">
        <x:v>463</x:v>
      </x:c>
      <x:c r="B9" s="87" t="s">
        <x:v>476</x:v>
      </x:c>
      <x:c r="C9" s="88" t="s">
        <x:v>264</x:v>
      </x:c>
      <x:c r="D9" s="87" t="s">
        <x:v>477</x:v>
      </x:c>
      <x:c r="E9" s="87" t="s">
        <x:v>478</x:v>
      </x:c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</x:row>
    <x:row r="10">
      <x:c r="A10" s="87" t="s">
        <x:v>463</x:v>
      </x:c>
      <x:c r="B10" s="87" t="s">
        <x:v>479</x:v>
      </x:c>
      <x:c r="C10" s="88" t="s">
        <x:v>264</x:v>
      </x:c>
      <x:c r="D10" s="87" t="s">
        <x:v>480</x:v>
      </x:c>
      <x:c r="E10" s="87" t="s">
        <x:v>481</x:v>
      </x:c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</x:row>
    <x:row r="11">
      <x:c r="A11" s="87" t="s">
        <x:v>463</x:v>
      </x:c>
      <x:c r="B11" s="87" t="s">
        <x:v>482</x:v>
      </x:c>
      <x:c r="C11" s="88" t="s">
        <x:v>264</x:v>
      </x:c>
      <x:c r="D11" s="87" t="s">
        <x:v>483</x:v>
      </x:c>
      <x:c r="E11" s="87" t="s">
        <x:v>484</x:v>
      </x:c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</x:row>
    <x:row r="12">
      <x:c r="A12" s="87" t="s">
        <x:v>463</x:v>
      </x:c>
      <x:c r="B12" s="87" t="s">
        <x:v>485</x:v>
      </x:c>
      <x:c r="C12" s="88" t="s">
        <x:v>264</x:v>
      </x:c>
      <x:c r="D12" s="87" t="s">
        <x:v>486</x:v>
      </x:c>
      <x:c r="E12" s="87" t="s">
        <x:v>487</x:v>
      </x:c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</x:row>
    <x:row r="13">
      <x:c r="A13" s="87" t="s">
        <x:v>463</x:v>
      </x:c>
      <x:c r="B13" s="87" t="s">
        <x:v>488</x:v>
      </x:c>
      <x:c r="C13" s="88" t="s">
        <x:v>264</x:v>
      </x:c>
      <x:c r="D13" s="87" t="s">
        <x:v>489</x:v>
      </x:c>
      <x:c r="E13" s="87" t="s">
        <x:v>490</x:v>
      </x:c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</x:row>
    <x:row r="14">
      <x:c r="A14" s="87" t="s">
        <x:v>463</x:v>
      </x:c>
      <x:c r="B14" s="87" t="s">
        <x:v>491</x:v>
      </x:c>
      <x:c r="C14" s="88" t="s">
        <x:v>266</x:v>
      </x:c>
      <x:c r="D14" s="87" t="s">
        <x:v>492</x:v>
      </x:c>
      <x:c r="E14" s="87" t="s">
        <x:v>493</x:v>
      </x:c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1" max="11" width="40" hidden="0" customWidth="1"/>
    <x:col min="2" max="2" width="22" hidden="0" customWidth="1"/>
    <x:col min="3" max="3" width="55" hidden="0" customWidth="1"/>
    <x:col min="5" max="5" width="25" hidden="0" customWidth="1"/>
    <x:col min="6" max="6" width="14" hidden="0" customWidth="1"/>
    <x:col min="9" max="9" width="12" hidden="0" customWidth="1"/>
  </x:cols>
  <x:sheetData>
    <x:row r="1">
      <x:c r="A1" s="89" t="s">
        <x:v>494</x:v>
      </x:c>
      <x:c r="B1" s="89" t="s">
        <x:v>495</x:v>
      </x:c>
      <x:c r="C1" s="90" t="s">
        <x:v>496</x:v>
      </x:c>
      <x:c r="D1" s="89" t="s">
        <x:v>497</x:v>
      </x:c>
      <x:c r="E1" s="91" t="s">
        <x:v>498</x:v>
      </x:c>
      <x:c r="F1" s="91" t="s">
        <x:v>499</x:v>
      </x:c>
      <x:c r="G1" s="92" t="s">
        <x:v>500</x:v>
      </x:c>
      <x:c r="H1" s="92" t="s">
        <x:v>501</x:v>
      </x:c>
      <x:c r="I1" s="89" t="s">
        <x:v>502</x:v>
      </x:c>
      <x:c r="J1" s="93" t="s">
        <x:v>503</x:v>
      </x:c>
      <x:c r="K1" s="90" t="s">
        <x:v>189</x:v>
      </x:c>
      <x:c r="L1" s="94"/>
      <x:c r="M1" s="94"/>
      <x:c r="N1" s="94"/>
      <x:c r="O1" s="94"/>
      <x:c r="P1" s="94"/>
      <x:c r="Q1" s="94"/>
      <x:c r="R1" s="94"/>
      <x:c r="S1" s="94"/>
      <x:c r="T1" s="94"/>
      <x:c r="U1" s="94"/>
      <x:c r="V1" s="94"/>
    </x:row>
    <x:row r="2">
      <x:c r="A2" s="95">
        <x:v>1</x:v>
      </x:c>
      <x:c r="B2" s="96" t="s">
        <x:v>504</x:v>
      </x:c>
      <x:c r="C2" s="96"/>
      <x:c r="D2" s="96" t="s">
        <x:v>505</x:v>
      </x:c>
      <x:c r="E2" s="97" t="s">
        <x:v>506</x:v>
      </x:c>
      <x:c r="F2" s="97" t="s">
        <x:v>507</x:v>
      </x:c>
      <x:c r="G2" s="97" t="n">
        <x:f>MIN(G3:G17)</x:f>
        <x:v>46213</x:v>
      </x:c>
      <x:c r="H2" s="98" t="n">
        <x:f>MAX(H3:H17)</x:f>
        <x:v>46262</x:v>
      </x:c>
      <x:c r="I2" s="99" t="str">
        <x:f>IF(COUNTIF($I$4:$I$17,"未开始")=COUNTA($I$4:$I$17),"未开始",IF(COUNTIF($I$4:$I$17,"进行中")&gt;0,"进行中","已完成"))</x:f>
        <x:v>未开始</x:v>
      </x:c>
      <x:c r="J2" s="100" t="n">
        <x:f>SUM($J$4:$J$12)/COUNT($J$4:$J$12)</x:f>
        <x:v>0</x:v>
      </x:c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</x:row>
    <x:row r="3" ht="18" customHeight="1">
      <x:c r="A3" s="101">
        <x:v>1.1</x:v>
      </x:c>
      <x:c r="B3" s="102" t="s">
        <x:v>508</x:v>
      </x:c>
      <x:c r="C3" s="102"/>
      <x:c r="D3" s="102"/>
      <x:c r="E3" s="103" t="s">
        <x:v>509</x:v>
      </x:c>
      <x:c r="F3" s="104"/>
      <x:c r="G3" s="104">
        <x:v>46213</x:v>
      </x:c>
      <x:c r="H3" s="105">
        <x:v>46224</x:v>
      </x:c>
      <x:c r="I3" s="106"/>
      <x:c r="J3" s="107">
        <x:v>0</x:v>
      </x:c>
      <x:c r="K3" s="94"/>
      <x:c r="L3" s="94"/>
      <x:c r="M3" s="94"/>
      <x:c r="N3" s="94"/>
      <x:c r="O3" s="94"/>
      <x:c r="P3" s="94"/>
      <x:c r="Q3" s="94"/>
      <x:c r="R3" s="94"/>
      <x:c r="S3" s="94"/>
      <x:c r="T3" s="94"/>
      <x:c r="U3" s="94"/>
      <x:c r="V3" s="94"/>
    </x:row>
    <x:row r="4">
      <x:c r="A4" s="101">
        <x:v>1.2</x:v>
      </x:c>
      <x:c r="B4" s="102" t="s">
        <x:v>510</x:v>
      </x:c>
      <x:c r="C4" s="102" t="s">
        <x:v>511</x:v>
      </x:c>
      <x:c r="D4" s="102"/>
      <x:c r="E4" s="103"/>
      <x:c r="F4" s="104"/>
      <x:c r="G4" s="104">
        <x:v>46220</x:v>
      </x:c>
      <x:c r="H4" s="105">
        <x:v>46226</x:v>
      </x:c>
      <x:c r="I4" s="106"/>
      <x:c r="J4" s="108">
        <x:v>0</x:v>
      </x:c>
      <x:c r="K4" s="94"/>
      <x:c r="L4" s="94"/>
      <x:c r="M4" s="94"/>
      <x:c r="N4" s="94"/>
      <x:c r="O4" s="94"/>
      <x:c r="P4" s="94"/>
      <x:c r="Q4" s="94"/>
      <x:c r="R4" s="94"/>
      <x:c r="S4" s="94"/>
      <x:c r="T4" s="94"/>
      <x:c r="U4" s="94"/>
      <x:c r="V4" s="94"/>
    </x:row>
    <x:row r="5">
      <x:c r="A5" s="109">
        <x:v>1.3</x:v>
      </x:c>
      <x:c r="B5" s="102" t="s">
        <x:v>512</x:v>
      </x:c>
      <x:c r="C5" s="102"/>
      <x:c r="D5" s="102"/>
      <x:c r="E5" s="110" t="s">
        <x:v>513</x:v>
      </x:c>
      <x:c r="F5" s="105">
        <x:v>46234</x:v>
      </x:c>
      <x:c r="G5" s="105">
        <x:v>46225</x:v>
      </x:c>
      <x:c r="H5" s="105">
        <x:v>46239</x:v>
      </x:c>
      <x:c r="I5" s="111" t="s">
        <x:v>514</x:v>
      </x:c>
      <x:c r="J5" s="108">
        <x:v>0</x:v>
      </x:c>
      <x:c r="K5" s="94"/>
      <x:c r="L5" s="94"/>
      <x:c r="M5" s="94"/>
      <x:c r="N5" s="94"/>
      <x:c r="O5" s="94"/>
      <x:c r="P5" s="94"/>
      <x:c r="Q5" s="94"/>
      <x:c r="R5" s="94"/>
      <x:c r="S5" s="94"/>
      <x:c r="T5" s="94"/>
      <x:c r="U5" s="94"/>
      <x:c r="V5" s="94"/>
    </x:row>
    <x:row r="6">
      <x:c r="A6" s="101">
        <x:v>1.4</x:v>
      </x:c>
      <x:c r="B6" s="102" t="s">
        <x:v>515</x:v>
      </x:c>
      <x:c r="C6" s="112" t="s">
        <x:v>516</x:v>
      </x:c>
      <x:c r="D6" s="102"/>
      <x:c r="E6" s="103"/>
      <x:c r="F6" s="104"/>
      <x:c r="G6" s="105">
        <x:v>46223</x:v>
      </x:c>
      <x:c r="H6" s="105">
        <x:v>46227</x:v>
      </x:c>
      <x:c r="I6" s="111" t="s">
        <x:v>514</x:v>
      </x:c>
      <x:c r="J6" s="108">
        <x:v>0</x:v>
      </x:c>
      <x:c r="K6" s="94"/>
      <x:c r="L6" s="94"/>
      <x:c r="M6" s="94"/>
      <x:c r="N6" s="94"/>
      <x:c r="O6" s="94"/>
      <x:c r="P6" s="94"/>
      <x:c r="Q6" s="94"/>
      <x:c r="R6" s="94"/>
      <x:c r="S6" s="94"/>
      <x:c r="T6" s="94"/>
      <x:c r="U6" s="94"/>
      <x:c r="V6" s="94"/>
    </x:row>
    <x:row r="7">
      <x:c r="A7" s="101"/>
      <x:c r="B7" s="102"/>
      <x:c r="C7" s="112" t="s">
        <x:v>517</x:v>
      </x:c>
      <x:c r="D7" s="102"/>
      <x:c r="E7" s="103"/>
      <x:c r="F7" s="104"/>
      <x:c r="G7" s="104">
        <x:v>46227</x:v>
      </x:c>
      <x:c r="H7" s="104">
        <x:v>46233</x:v>
      </x:c>
      <x:c r="I7" s="111" t="s">
        <x:v>514</x:v>
      </x:c>
      <x:c r="J7" s="108">
        <x:v>0</x:v>
      </x:c>
      <x:c r="K7" s="94"/>
      <x:c r="L7" s="94"/>
      <x:c r="M7" s="94"/>
      <x:c r="N7" s="94"/>
      <x:c r="O7" s="94"/>
      <x:c r="P7" s="94"/>
      <x:c r="Q7" s="94"/>
      <x:c r="R7" s="94"/>
      <x:c r="S7" s="94"/>
      <x:c r="T7" s="94"/>
      <x:c r="U7" s="94"/>
      <x:c r="V7" s="94"/>
    </x:row>
    <x:row r="8">
      <x:c r="A8" s="101"/>
      <x:c r="B8" s="102"/>
      <x:c r="C8" s="112" t="s">
        <x:v>518</x:v>
      </x:c>
      <x:c r="D8" s="102"/>
      <x:c r="E8" s="110" t="s">
        <x:v>519</x:v>
      </x:c>
      <x:c r="F8" s="104"/>
      <x:c r="G8" s="105">
        <x:v>46230</x:v>
      </x:c>
      <x:c r="H8" s="105">
        <x:v>46237</x:v>
      </x:c>
      <x:c r="I8" s="111" t="s">
        <x:v>514</x:v>
      </x:c>
      <x:c r="J8" s="108">
        <x:v>0</x:v>
      </x:c>
      <x:c r="K8" s="94"/>
      <x:c r="L8" s="94"/>
      <x:c r="M8" s="94"/>
      <x:c r="N8" s="94"/>
      <x:c r="O8" s="94"/>
      <x:c r="P8" s="94"/>
      <x:c r="Q8" s="94"/>
      <x:c r="R8" s="94"/>
      <x:c r="S8" s="94"/>
      <x:c r="T8" s="94"/>
      <x:c r="U8" s="94"/>
      <x:c r="V8" s="94"/>
    </x:row>
    <x:row r="9">
      <x:c r="A9" s="101"/>
      <x:c r="B9" s="102"/>
      <x:c r="C9" s="112" t="s">
        <x:v>520</x:v>
      </x:c>
      <x:c r="D9" s="102"/>
      <x:c r="E9" s="110" t="s">
        <x:v>521</x:v>
      </x:c>
      <x:c r="F9" s="104">
        <x:v>46233</x:v>
      </x:c>
      <x:c r="G9" s="105">
        <x:v>46233</x:v>
      </x:c>
      <x:c r="H9" s="105">
        <x:v>46240</x:v>
      </x:c>
      <x:c r="I9" s="111" t="s">
        <x:v>514</x:v>
      </x:c>
      <x:c r="J9" s="107">
        <x:v>0</x:v>
      </x:c>
      <x:c r="K9" s="94"/>
      <x:c r="L9" s="94"/>
      <x:c r="M9" s="94"/>
      <x:c r="N9" s="94"/>
      <x:c r="O9" s="94"/>
      <x:c r="P9" s="94"/>
      <x:c r="Q9" s="94"/>
      <x:c r="R9" s="94"/>
      <x:c r="S9" s="94"/>
      <x:c r="T9" s="94"/>
      <x:c r="U9" s="94"/>
      <x:c r="V9" s="94"/>
    </x:row>
    <x:row r="10">
      <x:c r="A10" s="101"/>
      <x:c r="B10" s="102"/>
      <x:c r="C10" s="112" t="s">
        <x:v>522</x:v>
      </x:c>
      <x:c r="D10" s="102"/>
      <x:c r="E10" s="110" t="s">
        <x:v>523</x:v>
      </x:c>
      <x:c r="F10" s="104">
        <x:v>46227</x:v>
      </x:c>
      <x:c r="G10" s="105">
        <x:v>46230</x:v>
      </x:c>
      <x:c r="H10" s="105">
        <x:v>46237</x:v>
      </x:c>
      <x:c r="I10" s="111" t="s">
        <x:v>514</x:v>
      </x:c>
      <x:c r="J10" s="107">
        <x:v>0</x:v>
      </x:c>
      <x:c r="K10" s="94"/>
      <x:c r="L10" s="94"/>
      <x:c r="M10" s="94"/>
      <x:c r="N10" s="94"/>
      <x:c r="O10" s="94"/>
      <x:c r="P10" s="94"/>
      <x:c r="Q10" s="94"/>
      <x:c r="R10" s="94"/>
      <x:c r="S10" s="94"/>
      <x:c r="T10" s="94"/>
      <x:c r="U10" s="94"/>
      <x:c r="V10" s="94"/>
    </x:row>
    <x:row r="11" ht="18" customHeight="1">
      <x:c r="A11" s="101">
        <x:v>1.5</x:v>
      </x:c>
      <x:c r="B11" s="102" t="s">
        <x:v>524</x:v>
      </x:c>
      <x:c r="C11" s="112" t="s">
        <x:v>525</x:v>
      </x:c>
      <x:c r="D11" s="102"/>
      <x:c r="E11" s="113"/>
      <x:c r="F11" s="104"/>
      <x:c r="G11" s="105">
        <x:v>46241</x:v>
      </x:c>
      <x:c r="H11" s="105">
        <x:v>46245</x:v>
      </x:c>
      <x:c r="I11" s="111" t="s">
        <x:v>514</x:v>
      </x:c>
      <x:c r="J11" s="107">
        <x:v>0</x:v>
      </x:c>
      <x:c r="K11" s="94"/>
      <x:c r="L11" s="94"/>
      <x:c r="M11" s="94"/>
      <x:c r="N11" s="94"/>
      <x:c r="O11" s="94"/>
      <x:c r="P11" s="94"/>
      <x:c r="Q11" s="94"/>
      <x:c r="R11" s="94"/>
      <x:c r="S11" s="94"/>
      <x:c r="T11" s="94"/>
      <x:c r="U11" s="94"/>
      <x:c r="V11" s="94"/>
    </x:row>
    <x:row r="12">
      <x:c r="A12" s="109">
        <x:v>1.6</x:v>
      </x:c>
      <x:c r="B12" s="102" t="s">
        <x:v>526</x:v>
      </x:c>
      <x:c r="C12" s="112" t="s">
        <x:v>527</x:v>
      </x:c>
      <x:c r="D12" s="102"/>
      <x:c r="E12" s="103"/>
      <x:c r="F12" s="104"/>
      <x:c r="G12" s="105">
        <x:v>46241</x:v>
      </x:c>
      <x:c r="H12" s="105">
        <x:v>46245</x:v>
      </x:c>
      <x:c r="I12" s="111" t="s">
        <x:v>514</x:v>
      </x:c>
      <x:c r="J12" s="107">
        <x:v>0</x:v>
      </x:c>
      <x:c r="K12" s="94"/>
      <x:c r="L12" s="94"/>
      <x:c r="M12" s="94"/>
      <x:c r="N12" s="94"/>
      <x:c r="O12" s="94"/>
      <x:c r="P12" s="94"/>
      <x:c r="Q12" s="94"/>
      <x:c r="R12" s="94"/>
      <x:c r="S12" s="94"/>
      <x:c r="T12" s="94"/>
      <x:c r="U12" s="94"/>
      <x:c r="V12" s="94"/>
    </x:row>
    <x:row r="13">
      <x:c r="A13" s="109"/>
      <x:c r="B13" s="102"/>
      <x:c r="C13" s="112" t="s">
        <x:v>528</x:v>
      </x:c>
      <x:c r="D13" s="102"/>
      <x:c r="E13" s="103"/>
      <x:c r="F13" s="104"/>
      <x:c r="G13" s="104">
        <x:v>46246</x:v>
      </x:c>
      <x:c r="H13" s="105">
        <x:v>46253</x:v>
      </x:c>
      <x:c r="I13" s="111" t="s">
        <x:v>514</x:v>
      </x:c>
      <x:c r="J13" s="107">
        <x:v>0</x:v>
      </x:c>
      <x:c r="K13" s="94"/>
      <x:c r="L13" s="94"/>
      <x:c r="M13" s="94"/>
      <x:c r="N13" s="94"/>
      <x:c r="O13" s="94"/>
      <x:c r="P13" s="94"/>
      <x:c r="Q13" s="94"/>
      <x:c r="R13" s="94"/>
      <x:c r="S13" s="94"/>
      <x:c r="T13" s="94"/>
      <x:c r="U13" s="94"/>
      <x:c r="V13" s="94"/>
    </x:row>
    <x:row r="14">
      <x:c r="A14" s="109"/>
      <x:c r="B14" s="102"/>
      <x:c r="C14" s="112" t="s">
        <x:v>529</x:v>
      </x:c>
      <x:c r="D14" s="102"/>
      <x:c r="E14" s="110"/>
      <x:c r="F14" s="105"/>
      <x:c r="G14" s="104">
        <x:v>46246</x:v>
      </x:c>
      <x:c r="H14" s="105">
        <x:v>46251</x:v>
      </x:c>
      <x:c r="I14" s="111" t="s">
        <x:v>514</x:v>
      </x:c>
      <x:c r="J14" s="107">
        <x:v>0</x:v>
      </x:c>
      <x:c r="K14" s="94"/>
      <x:c r="L14" s="94"/>
      <x:c r="M14" s="94"/>
      <x:c r="N14" s="94"/>
      <x:c r="O14" s="94"/>
      <x:c r="P14" s="94"/>
      <x:c r="Q14" s="94"/>
      <x:c r="R14" s="94"/>
      <x:c r="S14" s="94"/>
      <x:c r="T14" s="94"/>
      <x:c r="U14" s="94"/>
      <x:c r="V14" s="94"/>
    </x:row>
    <x:row r="15">
      <x:c r="A15" s="109"/>
      <x:c r="B15" s="102"/>
      <x:c r="C15" s="112" t="s">
        <x:v>530</x:v>
      </x:c>
      <x:c r="D15" s="102"/>
      <x:c r="E15" s="110" t="s">
        <x:v>531</x:v>
      </x:c>
      <x:c r="F15" s="105"/>
      <x:c r="G15" s="104">
        <x:v>46254</x:v>
      </x:c>
      <x:c r="H15" s="105">
        <x:v>46260</x:v>
      </x:c>
      <x:c r="I15" s="111" t="s">
        <x:v>514</x:v>
      </x:c>
      <x:c r="J15" s="107">
        <x:v>0</x:v>
      </x:c>
      <x:c r="K15" s="94"/>
      <x:c r="L15" s="94"/>
      <x:c r="M15" s="94"/>
      <x:c r="N15" s="94"/>
      <x:c r="O15" s="94"/>
      <x:c r="P15" s="94"/>
      <x:c r="Q15" s="94"/>
      <x:c r="R15" s="94"/>
      <x:c r="S15" s="94"/>
      <x:c r="T15" s="94"/>
      <x:c r="U15" s="94"/>
      <x:c r="V15" s="94"/>
    </x:row>
    <x:row r="16">
      <x:c r="A16" s="109"/>
      <x:c r="B16" s="102"/>
      <x:c r="C16" s="112" t="s">
        <x:v>532</x:v>
      </x:c>
      <x:c r="D16" s="102"/>
      <x:c r="E16" s="110" t="s">
        <x:v>533</x:v>
      </x:c>
      <x:c r="F16" s="105">
        <x:v>46234</x:v>
      </x:c>
      <x:c r="G16" s="104">
        <x:v>46246</x:v>
      </x:c>
      <x:c r="H16" s="105">
        <x:v>46260</x:v>
      </x:c>
      <x:c r="I16" s="111" t="s">
        <x:v>514</x:v>
      </x:c>
      <x:c r="J16" s="107">
        <x:v>0</x:v>
      </x:c>
      <x:c r="K16" s="94"/>
      <x:c r="L16" s="94"/>
      <x:c r="M16" s="94"/>
      <x:c r="N16" s="94"/>
      <x:c r="O16" s="94"/>
      <x:c r="P16" s="94"/>
      <x:c r="Q16" s="94"/>
      <x:c r="R16" s="94"/>
      <x:c r="S16" s="94"/>
      <x:c r="T16" s="94"/>
      <x:c r="U16" s="94"/>
      <x:c r="V16" s="94"/>
    </x:row>
    <x:row r="17">
      <x:c r="A17" s="109">
        <x:v>1.7</x:v>
      </x:c>
      <x:c r="B17" s="102" t="s">
        <x:v>534</x:v>
      </x:c>
      <x:c r="C17" s="112" t="s">
        <x:v>535</x:v>
      </x:c>
      <x:c r="D17" s="102"/>
      <x:c r="E17" s="103"/>
      <x:c r="F17" s="104"/>
      <x:c r="G17" s="105">
        <x:v>46261</x:v>
      </x:c>
      <x:c r="H17" s="105">
        <x:v>46262</x:v>
      </x:c>
      <x:c r="I17" s="111" t="s">
        <x:v>514</x:v>
      </x:c>
      <x:c r="J17" s="107">
        <x:v>0</x:v>
      </x:c>
      <x:c r="K17" s="94"/>
      <x:c r="L17" s="94"/>
      <x:c r="M17" s="94"/>
      <x:c r="N17" s="94"/>
      <x:c r="O17" s="94"/>
      <x:c r="P17" s="94"/>
      <x:c r="Q17" s="94"/>
      <x:c r="R17" s="94"/>
      <x:c r="S17" s="94"/>
      <x:c r="T17" s="94"/>
      <x:c r="U17" s="94"/>
      <x:c r="V17" s="94"/>
    </x:row>
    <x:row r="18">
      <x:c r="A18" s="114">
        <x:v>2</x:v>
      </x:c>
      <x:c r="B18" s="115" t="s">
        <x:v>199</x:v>
      </x:c>
      <x:c r="C18" s="96"/>
      <x:c r="D18" s="96" t="s">
        <x:v>505</x:v>
      </x:c>
      <x:c r="E18" s="116" t="s">
        <x:v>506</x:v>
      </x:c>
      <x:c r="F18" s="97" t="s">
        <x:v>507</x:v>
      </x:c>
      <x:c r="G18" s="97" t="n">
        <x:f>MIN(G19:G35)</x:f>
        <x:v>46265</x:v>
      </x:c>
      <x:c r="H18" s="98" t="n">
        <x:f>MAX(H19:H35)</x:f>
        <x:v>46295</x:v>
      </x:c>
      <x:c r="I18" s="99" t="str">
        <x:f>IF(COUNTIF($I$19:$I$35,"未开始")=COUNTA($I$19:$I$35),"未开始",IF(COUNTIF($I$19:$I$35,"进行中")&gt;0,"进行中","已完成"))</x:f>
        <x:v>未开始</x:v>
      </x:c>
      <x:c r="J18" s="100" t="n">
        <x:f>SUM($J$19:$J$35)/COUNT($J$19:$J$35)</x:f>
        <x:v>0</x:v>
      </x:c>
      <x:c r="K18" s="94"/>
      <x:c r="L18" s="94"/>
      <x:c r="M18" s="94"/>
      <x:c r="N18" s="94"/>
      <x:c r="O18" s="94"/>
      <x:c r="P18" s="94"/>
      <x:c r="Q18" s="94"/>
      <x:c r="R18" s="94"/>
      <x:c r="S18" s="94"/>
      <x:c r="T18" s="94"/>
      <x:c r="U18" s="94"/>
      <x:c r="V18" s="94"/>
    </x:row>
    <x:row r="19">
      <x:c r="A19" s="117">
        <x:v>2.1</x:v>
      </x:c>
      <x:c r="B19" s="118" t="s">
        <x:v>510</x:v>
      </x:c>
      <x:c r="C19" s="119" t="s">
        <x:v>536</x:v>
      </x:c>
      <x:c r="D19" s="120"/>
      <x:c r="E19" s="121"/>
      <x:c r="F19" s="122"/>
      <x:c r="G19" s="122">
        <x:v>46265</x:v>
      </x:c>
      <x:c r="H19" s="123"/>
      <x:c r="I19" s="124" t="s">
        <x:v>514</x:v>
      </x:c>
      <x:c r="J19" s="125">
        <x:v>0</x:v>
      </x:c>
      <x:c r="K19" s="94"/>
      <x:c r="L19" s="94"/>
      <x:c r="M19" s="94"/>
      <x:c r="N19" s="94"/>
      <x:c r="O19" s="94"/>
      <x:c r="P19" s="94"/>
      <x:c r="Q19" s="94"/>
      <x:c r="R19" s="94"/>
      <x:c r="S19" s="94"/>
      <x:c r="T19" s="94"/>
      <x:c r="U19" s="94"/>
      <x:c r="V19" s="94"/>
    </x:row>
    <x:row r="20" ht="18" customHeight="1">
      <x:c r="A20" s="117">
        <x:v>2.2</x:v>
      </x:c>
      <x:c r="B20" s="118" t="s">
        <x:v>515</x:v>
      </x:c>
      <x:c r="C20" s="126" t="s">
        <x:v>537</x:v>
      </x:c>
      <x:c r="D20" s="120"/>
      <x:c r="E20" s="127"/>
      <x:c r="F20" s="123"/>
      <x:c r="G20" s="123"/>
      <x:c r="H20" s="123"/>
      <x:c r="I20" s="124" t="s">
        <x:v>514</x:v>
      </x:c>
      <x:c r="J20" s="128">
        <x:v>0</x:v>
      </x:c>
      <x:c r="K20" s="94"/>
      <x:c r="L20" s="94"/>
      <x:c r="M20" s="94"/>
      <x:c r="N20" s="94"/>
      <x:c r="O20" s="94"/>
      <x:c r="P20" s="94"/>
      <x:c r="Q20" s="94"/>
      <x:c r="R20" s="94"/>
      <x:c r="S20" s="94"/>
      <x:c r="T20" s="94"/>
      <x:c r="U20" s="94"/>
      <x:c r="V20" s="94"/>
    </x:row>
    <x:row r="21">
      <x:c r="A21" s="117"/>
      <x:c r="B21" s="118"/>
      <x:c r="C21" s="119" t="s">
        <x:v>538</x:v>
      </x:c>
      <x:c r="D21" s="120"/>
      <x:c r="E21" s="127"/>
      <x:c r="F21" s="123"/>
      <x:c r="G21" s="123"/>
      <x:c r="H21" s="123"/>
      <x:c r="I21" s="124" t="s">
        <x:v>514</x:v>
      </x:c>
      <x:c r="J21" s="128">
        <x:v>0</x:v>
      </x:c>
      <x:c r="K21" s="94"/>
      <x:c r="L21" s="94"/>
      <x:c r="M21" s="94"/>
      <x:c r="N21" s="94"/>
      <x:c r="O21" s="94"/>
      <x:c r="P21" s="94"/>
      <x:c r="Q21" s="94"/>
      <x:c r="R21" s="94"/>
      <x:c r="S21" s="94"/>
      <x:c r="T21" s="94"/>
      <x:c r="U21" s="94"/>
      <x:c r="V21" s="94"/>
    </x:row>
    <x:row r="22">
      <x:c r="A22" s="117"/>
      <x:c r="B22" s="118"/>
      <x:c r="C22" s="119" t="s">
        <x:v>539</x:v>
      </x:c>
      <x:c r="D22" s="120"/>
      <x:c r="E22" s="127"/>
      <x:c r="F22" s="123"/>
      <x:c r="G22" s="123"/>
      <x:c r="H22" s="123"/>
      <x:c r="I22" s="124" t="s">
        <x:v>514</x:v>
      </x:c>
      <x:c r="J22" s="128">
        <x:v>0</x:v>
      </x:c>
      <x:c r="K22" s="94"/>
      <x:c r="L22" s="94"/>
      <x:c r="M22" s="94"/>
      <x:c r="N22" s="94"/>
      <x:c r="O22" s="94"/>
      <x:c r="P22" s="94"/>
      <x:c r="Q22" s="94"/>
      <x:c r="R22" s="94"/>
      <x:c r="S22" s="94"/>
      <x:c r="T22" s="94"/>
      <x:c r="U22" s="94"/>
      <x:c r="V22" s="94"/>
    </x:row>
    <x:row r="23">
      <x:c r="A23" s="117"/>
      <x:c r="B23" s="118"/>
      <x:c r="C23" s="119" t="s">
        <x:v>540</x:v>
      </x:c>
      <x:c r="D23" s="120"/>
      <x:c r="E23" s="121" t="s">
        <x:v>541</x:v>
      </x:c>
      <x:c r="F23" s="123"/>
      <x:c r="G23" s="123"/>
      <x:c r="H23" s="123"/>
      <x:c r="I23" s="124" t="s">
        <x:v>514</x:v>
      </x:c>
      <x:c r="J23" s="128">
        <x:v>0</x:v>
      </x:c>
      <x:c r="K23" s="94"/>
      <x:c r="L23" s="94"/>
      <x:c r="M23" s="94"/>
      <x:c r="N23" s="94"/>
      <x:c r="O23" s="94"/>
      <x:c r="P23" s="94"/>
      <x:c r="Q23" s="94"/>
      <x:c r="R23" s="94"/>
      <x:c r="S23" s="94"/>
      <x:c r="T23" s="94"/>
      <x:c r="U23" s="94"/>
      <x:c r="V23" s="94"/>
    </x:row>
    <x:row r="24" ht="18" customHeight="1">
      <x:c r="A24" s="117"/>
      <x:c r="B24" s="118"/>
      <x:c r="C24" s="119" t="s">
        <x:v>542</x:v>
      </x:c>
      <x:c r="D24" s="120"/>
      <x:c r="E24" s="121" t="s">
        <x:v>543</x:v>
      </x:c>
      <x:c r="F24" s="123"/>
      <x:c r="G24" s="123"/>
      <x:c r="H24" s="123"/>
      <x:c r="I24" s="124" t="s">
        <x:v>514</x:v>
      </x:c>
      <x:c r="J24" s="128">
        <x:v>0</x:v>
      </x:c>
      <x:c r="K24" s="94"/>
      <x:c r="L24" s="94"/>
      <x:c r="M24" s="94"/>
      <x:c r="N24" s="94"/>
      <x:c r="O24" s="94"/>
      <x:c r="P24" s="94"/>
      <x:c r="Q24" s="94"/>
      <x:c r="R24" s="94"/>
      <x:c r="S24" s="94"/>
      <x:c r="T24" s="94"/>
      <x:c r="U24" s="94"/>
      <x:c r="V24" s="94"/>
    </x:row>
    <x:row r="25" ht="18" customHeight="1">
      <x:c r="A25" s="117"/>
      <x:c r="B25" s="118"/>
      <x:c r="C25" s="119" t="s">
        <x:v>544</x:v>
      </x:c>
      <x:c r="D25" s="120"/>
      <x:c r="E25" s="127"/>
      <x:c r="F25" s="123"/>
      <x:c r="G25" s="123"/>
      <x:c r="H25" s="123"/>
      <x:c r="I25" s="124" t="s">
        <x:v>514</x:v>
      </x:c>
      <x:c r="J25" s="128">
        <x:v>0</x:v>
      </x:c>
      <x:c r="K25" s="94"/>
      <x:c r="L25" s="94"/>
      <x:c r="M25" s="94"/>
      <x:c r="N25" s="94"/>
      <x:c r="O25" s="94"/>
      <x:c r="P25" s="94"/>
      <x:c r="Q25" s="94"/>
      <x:c r="R25" s="94"/>
      <x:c r="S25" s="94"/>
      <x:c r="T25" s="94"/>
      <x:c r="U25" s="94"/>
      <x:c r="V25" s="94"/>
    </x:row>
    <x:row r="26" ht="18" customHeight="1">
      <x:c r="A26" s="117"/>
      <x:c r="B26" s="118"/>
      <x:c r="C26" s="119" t="s">
        <x:v>545</x:v>
      </x:c>
      <x:c r="D26" s="120"/>
      <x:c r="E26" s="123"/>
      <x:c r="F26" s="123"/>
      <x:c r="G26" s="123"/>
      <x:c r="H26" s="123"/>
      <x:c r="I26" s="124" t="s">
        <x:v>514</x:v>
      </x:c>
      <x:c r="J26" s="128">
        <x:v>0</x:v>
      </x:c>
      <x:c r="K26" s="94"/>
      <x:c r="L26" s="94"/>
      <x:c r="M26" s="94"/>
      <x:c r="N26" s="94"/>
      <x:c r="O26" s="94"/>
      <x:c r="P26" s="94"/>
      <x:c r="Q26" s="94"/>
      <x:c r="R26" s="94"/>
      <x:c r="S26" s="94"/>
      <x:c r="T26" s="94"/>
      <x:c r="U26" s="94"/>
      <x:c r="V26" s="94"/>
    </x:row>
    <x:row r="27">
      <x:c r="A27" s="117">
        <x:v>2.3</x:v>
      </x:c>
      <x:c r="B27" s="118" t="s">
        <x:v>526</x:v>
      </x:c>
      <x:c r="C27" s="119" t="s">
        <x:v>546</x:v>
      </x:c>
      <x:c r="D27" s="120"/>
      <x:c r="E27" s="123"/>
      <x:c r="F27" s="123"/>
      <x:c r="G27" s="123"/>
      <x:c r="H27" s="122"/>
      <x:c r="I27" s="124" t="s">
        <x:v>514</x:v>
      </x:c>
      <x:c r="J27" s="128">
        <x:v>0</x:v>
      </x:c>
      <x:c r="K27" s="94"/>
      <x:c r="L27" s="94"/>
      <x:c r="M27" s="94"/>
      <x:c r="N27" s="94"/>
      <x:c r="O27" s="94"/>
      <x:c r="P27" s="94"/>
      <x:c r="Q27" s="94"/>
      <x:c r="R27" s="94"/>
      <x:c r="S27" s="94"/>
      <x:c r="T27" s="94"/>
      <x:c r="U27" s="94"/>
      <x:c r="V27" s="94"/>
    </x:row>
    <x:row r="28">
      <x:c r="A28" s="117"/>
      <x:c r="B28" s="118"/>
      <x:c r="C28" s="119" t="s">
        <x:v>547</x:v>
      </x:c>
      <x:c r="D28" s="120"/>
      <x:c r="E28" s="123"/>
      <x:c r="F28" s="123"/>
      <x:c r="G28" s="123"/>
      <x:c r="H28" s="122"/>
      <x:c r="I28" s="124" t="s">
        <x:v>514</x:v>
      </x:c>
      <x:c r="J28" s="128">
        <x:v>0</x:v>
      </x:c>
      <x:c r="K28" s="94"/>
      <x:c r="L28" s="94"/>
      <x:c r="M28" s="94"/>
      <x:c r="N28" s="94"/>
      <x:c r="O28" s="94"/>
      <x:c r="P28" s="94"/>
      <x:c r="Q28" s="94"/>
      <x:c r="R28" s="94"/>
      <x:c r="S28" s="94"/>
      <x:c r="T28" s="94"/>
      <x:c r="U28" s="94"/>
      <x:c r="V28" s="94"/>
    </x:row>
    <x:row r="29">
      <x:c r="A29" s="117"/>
      <x:c r="B29" s="118"/>
      <x:c r="C29" s="119" t="s">
        <x:v>548</x:v>
      </x:c>
      <x:c r="D29" s="120"/>
      <x:c r="E29" s="123"/>
      <x:c r="F29" s="123"/>
      <x:c r="G29" s="123"/>
      <x:c r="H29" s="122"/>
      <x:c r="I29" s="124" t="s">
        <x:v>514</x:v>
      </x:c>
      <x:c r="J29" s="128">
        <x:v>0</x:v>
      </x:c>
      <x:c r="K29" s="94"/>
      <x:c r="L29" s="94"/>
      <x:c r="M29" s="94"/>
      <x:c r="N29" s="94"/>
      <x:c r="O29" s="94"/>
      <x:c r="P29" s="94"/>
      <x:c r="Q29" s="94"/>
      <x:c r="R29" s="94"/>
      <x:c r="S29" s="94"/>
      <x:c r="T29" s="94"/>
      <x:c r="U29" s="94"/>
      <x:c r="V29" s="94"/>
    </x:row>
    <x:row r="30">
      <x:c r="A30" s="117"/>
      <x:c r="B30" s="118"/>
      <x:c r="C30" s="119" t="s">
        <x:v>549</x:v>
      </x:c>
      <x:c r="D30" s="120"/>
      <x:c r="E30" s="123"/>
      <x:c r="F30" s="123"/>
      <x:c r="G30" s="123"/>
      <x:c r="H30" s="122"/>
      <x:c r="I30" s="124" t="s">
        <x:v>514</x:v>
      </x:c>
      <x:c r="J30" s="128">
        <x:v>0</x:v>
      </x:c>
      <x:c r="K30" s="94"/>
      <x:c r="L30" s="94"/>
      <x:c r="M30" s="94"/>
      <x:c r="N30" s="94"/>
      <x:c r="O30" s="94"/>
      <x:c r="P30" s="94"/>
      <x:c r="Q30" s="94"/>
      <x:c r="R30" s="94"/>
      <x:c r="S30" s="94"/>
      <x:c r="T30" s="94"/>
      <x:c r="U30" s="94"/>
      <x:c r="V30" s="94"/>
    </x:row>
    <x:row r="31">
      <x:c r="A31" s="117"/>
      <x:c r="B31" s="118"/>
      <x:c r="C31" s="119" t="s">
        <x:v>550</x:v>
      </x:c>
      <x:c r="D31" s="120"/>
      <x:c r="E31" s="123"/>
      <x:c r="F31" s="123"/>
      <x:c r="G31" s="123"/>
      <x:c r="H31" s="122"/>
      <x:c r="I31" s="124" t="s">
        <x:v>514</x:v>
      </x:c>
      <x:c r="J31" s="128">
        <x:v>0</x:v>
      </x:c>
      <x:c r="K31" s="94"/>
      <x:c r="L31" s="94"/>
      <x:c r="M31" s="94"/>
      <x:c r="N31" s="94"/>
      <x:c r="O31" s="94"/>
      <x:c r="P31" s="94"/>
      <x:c r="Q31" s="94"/>
      <x:c r="R31" s="94"/>
      <x:c r="S31" s="94"/>
      <x:c r="T31" s="94"/>
      <x:c r="U31" s="94"/>
      <x:c r="V31" s="94"/>
    </x:row>
    <x:row r="32">
      <x:c r="A32" s="117"/>
      <x:c r="B32" s="118"/>
      <x:c r="C32" s="119" t="s">
        <x:v>551</x:v>
      </x:c>
      <x:c r="D32" s="120"/>
      <x:c r="E32" s="123"/>
      <x:c r="F32" s="123"/>
      <x:c r="G32" s="123"/>
      <x:c r="H32" s="122"/>
      <x:c r="I32" s="124" t="s">
        <x:v>514</x:v>
      </x:c>
      <x:c r="J32" s="128">
        <x:v>0</x:v>
      </x:c>
      <x:c r="K32" s="94"/>
      <x:c r="L32" s="94"/>
      <x:c r="M32" s="94"/>
      <x:c r="N32" s="94"/>
      <x:c r="O32" s="94"/>
      <x:c r="P32" s="94"/>
      <x:c r="Q32" s="94"/>
      <x:c r="R32" s="94"/>
      <x:c r="S32" s="94"/>
      <x:c r="T32" s="94"/>
      <x:c r="U32" s="94"/>
      <x:c r="V32" s="94"/>
    </x:row>
    <x:row r="33">
      <x:c r="A33" s="117"/>
      <x:c r="B33" s="118"/>
      <x:c r="C33" s="119" t="s">
        <x:v>552</x:v>
      </x:c>
      <x:c r="D33" s="120"/>
      <x:c r="E33" s="123"/>
      <x:c r="F33" s="123"/>
      <x:c r="G33" s="123"/>
      <x:c r="H33" s="122"/>
      <x:c r="I33" s="124" t="s">
        <x:v>514</x:v>
      </x:c>
      <x:c r="J33" s="128">
        <x:v>0</x:v>
      </x:c>
      <x:c r="K33" s="94"/>
      <x:c r="L33" s="94"/>
      <x:c r="M33" s="94"/>
      <x:c r="N33" s="94"/>
      <x:c r="O33" s="94"/>
      <x:c r="P33" s="94"/>
      <x:c r="Q33" s="94"/>
      <x:c r="R33" s="94"/>
      <x:c r="S33" s="94"/>
      <x:c r="T33" s="94"/>
      <x:c r="U33" s="94"/>
      <x:c r="V33" s="94"/>
    </x:row>
    <x:row r="34">
      <x:c r="A34" s="117">
        <x:v>2.4</x:v>
      </x:c>
      <x:c r="B34" s="118" t="s">
        <x:v>553</x:v>
      </x:c>
      <x:c r="C34" s="126" t="s">
        <x:v>554</x:v>
      </x:c>
      <x:c r="D34" s="120"/>
      <x:c r="E34" s="123"/>
      <x:c r="F34" s="123"/>
      <x:c r="G34" s="123"/>
      <x:c r="H34" s="122"/>
      <x:c r="I34" s="124" t="s">
        <x:v>514</x:v>
      </x:c>
      <x:c r="J34" s="128">
        <x:v>0</x:v>
      </x:c>
      <x:c r="K34" s="94"/>
      <x:c r="L34" s="94"/>
      <x:c r="M34" s="94"/>
      <x:c r="N34" s="94"/>
      <x:c r="O34" s="94"/>
      <x:c r="P34" s="94"/>
      <x:c r="Q34" s="94"/>
      <x:c r="R34" s="94"/>
      <x:c r="S34" s="94"/>
      <x:c r="T34" s="94"/>
      <x:c r="U34" s="94"/>
      <x:c r="V34" s="94"/>
    </x:row>
    <x:row r="35" ht="31" customHeight="1">
      <x:c r="A35" s="117">
        <x:v>2.5</x:v>
      </x:c>
      <x:c r="B35" s="118" t="s">
        <x:v>534</x:v>
      </x:c>
      <x:c r="C35" s="126" t="s">
        <x:v>555</x:v>
      </x:c>
      <x:c r="D35" s="120"/>
      <x:c r="E35" s="123"/>
      <x:c r="F35" s="123"/>
      <x:c r="G35" s="123"/>
      <x:c r="H35" s="122">
        <x:v>46295</x:v>
      </x:c>
      <x:c r="I35" s="124" t="s">
        <x:v>514</x:v>
      </x:c>
      <x:c r="J35" s="128">
        <x:v>0</x:v>
      </x:c>
      <x:c r="K35" s="94"/>
      <x:c r="L35" s="94"/>
      <x:c r="M35" s="94"/>
      <x:c r="N35" s="94"/>
      <x:c r="O35" s="94"/>
      <x:c r="P35" s="94"/>
      <x:c r="Q35" s="94"/>
      <x:c r="R35" s="94"/>
      <x:c r="S35" s="94"/>
      <x:c r="T35" s="94"/>
      <x:c r="U35" s="94"/>
      <x:c r="V35" s="94"/>
    </x:row>
    <x:row r="36">
      <x:c r="A36" s="114">
        <x:v>3</x:v>
      </x:c>
      <x:c r="B36" s="115" t="s">
        <x:v>556</x:v>
      </x:c>
      <x:c r="C36" s="115"/>
      <x:c r="D36" s="115" t="s">
        <x:v>557</x:v>
      </x:c>
      <x:c r="E36" s="98"/>
      <x:c r="F36" s="98"/>
      <x:c r="G36" s="98" t="n">
        <x:f>MAX(G37:G40)</x:f>
        <x:v>46223</x:v>
      </x:c>
      <x:c r="H36" s="98" t="n">
        <x:f>MAX(H37:H40)</x:f>
        <x:v>46295</x:v>
      </x:c>
      <x:c r="I36" s="99" t="str">
        <x:f>IF(COUNTIF($I$37:$I$40,"未开始")=COUNTA($I$37:$I$40),"未开始",IF(COUNTIF($I$37:$I$40,"进行中")&gt;0,"进行中","已完成"))</x:f>
        <x:v>未开始</x:v>
      </x:c>
      <x:c r="J36" s="100" t="n">
        <x:f>SUM($J$37:$J$40)/COUNT($J$37:$J$40)</x:f>
        <x:v>0</x:v>
      </x:c>
      <x:c r="K36" s="94"/>
      <x:c r="L36" s="94"/>
      <x:c r="M36" s="94"/>
      <x:c r="N36" s="94"/>
      <x:c r="O36" s="94"/>
      <x:c r="P36" s="94"/>
      <x:c r="Q36" s="94"/>
      <x:c r="R36" s="94"/>
      <x:c r="S36" s="94"/>
      <x:c r="T36" s="94"/>
      <x:c r="U36" s="94"/>
      <x:c r="V36" s="94"/>
    </x:row>
    <x:row r="37">
      <x:c r="A37" s="117">
        <x:v>3.1</x:v>
      </x:c>
      <x:c r="B37" s="120"/>
      <x:c r="C37" s="120"/>
      <x:c r="D37" s="120"/>
      <x:c r="E37" s="122"/>
      <x:c r="F37" s="122"/>
      <x:c r="G37" s="122">
        <x:v>46223</x:v>
      </x:c>
      <x:c r="H37" s="123"/>
      <x:c r="I37" s="120"/>
      <x:c r="J37" s="125">
        <x:v>0</x:v>
      </x:c>
      <x:c r="K37" s="94"/>
      <x:c r="L37" s="94"/>
      <x:c r="M37" s="94"/>
      <x:c r="N37" s="94"/>
      <x:c r="O37" s="94"/>
      <x:c r="P37" s="94"/>
      <x:c r="Q37" s="94"/>
      <x:c r="R37" s="94"/>
      <x:c r="S37" s="94"/>
      <x:c r="T37" s="94"/>
      <x:c r="U37" s="94"/>
      <x:c r="V37" s="94"/>
    </x:row>
    <x:row r="38">
      <x:c r="A38" s="117">
        <x:v>3.2</x:v>
      </x:c>
      <x:c r="B38" s="120"/>
      <x:c r="C38" s="120"/>
      <x:c r="D38" s="120"/>
      <x:c r="E38" s="123"/>
      <x:c r="F38" s="123"/>
      <x:c r="G38" s="123"/>
      <x:c r="H38" s="123"/>
      <x:c r="I38" s="120"/>
      <x:c r="J38" s="125">
        <x:v>0</x:v>
      </x:c>
      <x:c r="K38" s="94"/>
      <x:c r="L38" s="94"/>
      <x:c r="M38" s="94"/>
      <x:c r="N38" s="94"/>
      <x:c r="O38" s="94"/>
      <x:c r="P38" s="94"/>
      <x:c r="Q38" s="94"/>
      <x:c r="R38" s="94"/>
      <x:c r="S38" s="94"/>
      <x:c r="T38" s="94"/>
      <x:c r="U38" s="94"/>
      <x:c r="V38" s="94"/>
    </x:row>
    <x:row r="39">
      <x:c r="A39" s="117">
        <x:v>3.3</x:v>
      </x:c>
      <x:c r="B39" s="120"/>
      <x:c r="C39" s="120"/>
      <x:c r="D39" s="120"/>
      <x:c r="E39" s="123"/>
      <x:c r="F39" s="123"/>
      <x:c r="G39" s="123"/>
      <x:c r="H39" s="123"/>
      <x:c r="I39" s="120"/>
      <x:c r="J39" s="125">
        <x:v>0</x:v>
      </x:c>
      <x:c r="K39" s="94"/>
      <x:c r="L39" s="94"/>
      <x:c r="M39" s="94"/>
      <x:c r="N39" s="94"/>
      <x:c r="O39" s="94"/>
      <x:c r="P39" s="94"/>
      <x:c r="Q39" s="94"/>
      <x:c r="R39" s="94"/>
      <x:c r="S39" s="94"/>
      <x:c r="T39" s="94"/>
      <x:c r="U39" s="94"/>
      <x:c r="V39" s="94"/>
    </x:row>
    <x:row r="40">
      <x:c r="A40" s="117">
        <x:v>3.4</x:v>
      </x:c>
      <x:c r="B40" s="120"/>
      <x:c r="C40" s="120"/>
      <x:c r="D40" s="120"/>
      <x:c r="E40" s="123"/>
      <x:c r="F40" s="123"/>
      <x:c r="G40" s="123"/>
      <x:c r="H40" s="122">
        <x:v>46295</x:v>
      </x:c>
      <x:c r="I40" s="120"/>
      <x:c r="J40" s="125">
        <x:v>0</x:v>
      </x:c>
      <x:c r="K40" s="94"/>
      <x:c r="L40" s="94"/>
      <x:c r="M40" s="94"/>
      <x:c r="N40" s="94"/>
      <x:c r="O40" s="94"/>
      <x:c r="P40" s="94"/>
      <x:c r="Q40" s="94"/>
      <x:c r="R40" s="94"/>
      <x:c r="S40" s="94"/>
      <x:c r="T40" s="94"/>
      <x:c r="U40" s="94"/>
      <x:c r="V40" s="94"/>
    </x:row>
    <x:row r="41">
      <x:c r="A41" s="129"/>
      <x:c r="B41" s="94"/>
      <x:c r="C41" s="94"/>
      <x:c r="D41" s="94"/>
      <x:c r="E41" s="130"/>
      <x:c r="F41" s="130"/>
      <x:c r="G41" s="130"/>
      <x:c r="H41" s="130"/>
      <x:c r="I41" s="94"/>
      <x:c r="J41" s="131"/>
      <x:c r="K41" s="94"/>
      <x:c r="L41" s="94"/>
      <x:c r="M41" s="94"/>
      <x:c r="N41" s="94"/>
      <x:c r="O41" s="94"/>
      <x:c r="P41" s="94"/>
      <x:c r="Q41" s="94"/>
      <x:c r="R41" s="94"/>
      <x:c r="S41" s="94"/>
      <x:c r="T41" s="94"/>
      <x:c r="U41" s="94"/>
      <x:c r="V41" s="94"/>
    </x:row>
    <x:row r="42">
      <x:c r="A42" s="129"/>
      <x:c r="B42" s="94"/>
      <x:c r="C42" s="94"/>
      <x:c r="D42" s="94"/>
      <x:c r="E42" s="130"/>
      <x:c r="F42" s="130"/>
      <x:c r="G42" s="130"/>
      <x:c r="H42" s="130"/>
      <x:c r="I42" s="94"/>
      <x:c r="J42" s="131"/>
      <x:c r="K42" s="94"/>
      <x:c r="L42" s="94"/>
      <x:c r="M42" s="94"/>
      <x:c r="N42" s="94"/>
      <x:c r="O42" s="94"/>
      <x:c r="P42" s="94"/>
      <x:c r="Q42" s="94"/>
      <x:c r="R42" s="94"/>
      <x:c r="S42" s="94"/>
      <x:c r="T42" s="94"/>
      <x:c r="U42" s="94"/>
      <x:c r="V42" s="94"/>
    </x:row>
    <x:row r="43">
      <x:c r="A43" s="129"/>
      <x:c r="B43" s="94"/>
      <x:c r="C43" s="94"/>
      <x:c r="D43" s="94"/>
      <x:c r="E43" s="130"/>
      <x:c r="F43" s="130"/>
      <x:c r="G43" s="130"/>
      <x:c r="H43" s="130"/>
      <x:c r="I43" s="94"/>
      <x:c r="J43" s="131"/>
      <x:c r="K43" s="94"/>
      <x:c r="L43" s="94"/>
      <x:c r="M43" s="94"/>
      <x:c r="N43" s="94"/>
      <x:c r="O43" s="94"/>
      <x:c r="P43" s="94"/>
      <x:c r="Q43" s="94"/>
      <x:c r="R43" s="94"/>
      <x:c r="S43" s="94"/>
      <x:c r="T43" s="94"/>
      <x:c r="U43" s="94"/>
      <x:c r="V43" s="94"/>
    </x:row>
    <x:row r="44">
      <x:c r="A44" s="129"/>
      <x:c r="B44" s="94"/>
      <x:c r="C44" s="94"/>
      <x:c r="D44" s="94"/>
      <x:c r="E44" s="130"/>
      <x:c r="F44" s="130"/>
      <x:c r="G44" s="130"/>
      <x:c r="H44" s="130"/>
      <x:c r="I44" s="94"/>
      <x:c r="J44" s="131"/>
      <x:c r="K44" s="94"/>
      <x:c r="L44" s="94"/>
      <x:c r="M44" s="94"/>
      <x:c r="N44" s="94"/>
      <x:c r="O44" s="94"/>
      <x:c r="P44" s="94"/>
      <x:c r="Q44" s="94"/>
      <x:c r="R44" s="94"/>
      <x:c r="S44" s="94"/>
      <x:c r="T44" s="94"/>
      <x:c r="U44" s="94"/>
      <x:c r="V44" s="94"/>
    </x:row>
    <x:row r="45">
      <x:c r="A45" s="129"/>
      <x:c r="B45" s="94"/>
      <x:c r="C45" s="94"/>
      <x:c r="D45" s="94"/>
      <x:c r="E45" s="130"/>
      <x:c r="F45" s="130"/>
      <x:c r="G45" s="130"/>
      <x:c r="H45" s="130"/>
      <x:c r="I45" s="94"/>
      <x:c r="J45" s="131"/>
      <x:c r="K45" s="94"/>
      <x:c r="L45" s="94"/>
      <x:c r="M45" s="94"/>
      <x:c r="N45" s="94"/>
      <x:c r="O45" s="94"/>
      <x:c r="P45" s="94"/>
      <x:c r="Q45" s="94"/>
      <x:c r="R45" s="94"/>
      <x:c r="S45" s="94"/>
      <x:c r="T45" s="94"/>
      <x:c r="U45" s="94"/>
      <x:c r="V45" s="94"/>
    </x:row>
    <x:row r="46">
      <x:c r="A46" s="129"/>
      <x:c r="B46" s="94"/>
      <x:c r="C46" s="94"/>
      <x:c r="D46" s="94"/>
      <x:c r="E46" s="130"/>
      <x:c r="F46" s="130"/>
      <x:c r="G46" s="130"/>
      <x:c r="H46" s="130"/>
      <x:c r="I46" s="94"/>
      <x:c r="J46" s="131"/>
      <x:c r="K46" s="94"/>
      <x:c r="L46" s="94"/>
      <x:c r="M46" s="94"/>
      <x:c r="N46" s="94"/>
      <x:c r="O46" s="94"/>
      <x:c r="P46" s="94"/>
      <x:c r="Q46" s="94"/>
      <x:c r="R46" s="94"/>
      <x:c r="S46" s="94"/>
      <x:c r="T46" s="94"/>
      <x:c r="U46" s="94"/>
      <x:c r="V46" s="94"/>
    </x:row>
    <x:row r="47">
      <x:c r="A47" s="129"/>
      <x:c r="B47" s="94"/>
      <x:c r="C47" s="94"/>
      <x:c r="D47" s="94"/>
      <x:c r="E47" s="130"/>
      <x:c r="F47" s="130"/>
      <x:c r="G47" s="130"/>
      <x:c r="H47" s="130"/>
      <x:c r="I47" s="94"/>
      <x:c r="J47" s="131"/>
      <x:c r="K47" s="94"/>
      <x:c r="L47" s="94"/>
      <x:c r="M47" s="94"/>
      <x:c r="N47" s="94"/>
      <x:c r="O47" s="94"/>
      <x:c r="P47" s="94"/>
      <x:c r="Q47" s="94"/>
      <x:c r="R47" s="94"/>
      <x:c r="S47" s="94"/>
      <x:c r="T47" s="94"/>
      <x:c r="U47" s="94"/>
      <x:c r="V47" s="94"/>
    </x:row>
    <x:row r="48">
      <x:c r="A48" s="129"/>
      <x:c r="B48" s="94"/>
      <x:c r="C48" s="94"/>
      <x:c r="D48" s="94"/>
      <x:c r="E48" s="130"/>
      <x:c r="F48" s="130"/>
      <x:c r="G48" s="130"/>
      <x:c r="H48" s="130"/>
      <x:c r="I48" s="94"/>
      <x:c r="J48" s="131"/>
      <x:c r="K48" s="94"/>
      <x:c r="L48" s="94"/>
      <x:c r="M48" s="94"/>
      <x:c r="N48" s="94"/>
      <x:c r="O48" s="94"/>
      <x:c r="P48" s="94"/>
      <x:c r="Q48" s="94"/>
      <x:c r="R48" s="94"/>
      <x:c r="S48" s="94"/>
      <x:c r="T48" s="94"/>
      <x:c r="U48" s="94"/>
      <x:c r="V48" s="94"/>
    </x:row>
    <x:row r="49">
      <x:c r="A49" s="129"/>
      <x:c r="B49" s="94"/>
      <x:c r="C49" s="94"/>
      <x:c r="D49" s="94"/>
      <x:c r="E49" s="130"/>
      <x:c r="F49" s="130"/>
      <x:c r="G49" s="130"/>
      <x:c r="H49" s="130"/>
      <x:c r="I49" s="94"/>
      <x:c r="J49" s="131"/>
      <x:c r="K49" s="94"/>
      <x:c r="L49" s="94"/>
      <x:c r="M49" s="94"/>
      <x:c r="N49" s="94"/>
      <x:c r="O49" s="94"/>
      <x:c r="P49" s="94"/>
      <x:c r="Q49" s="94"/>
      <x:c r="R49" s="94"/>
      <x:c r="S49" s="94"/>
      <x:c r="T49" s="94"/>
      <x:c r="U49" s="94"/>
      <x:c r="V49" s="94"/>
    </x:row>
    <x:row r="50">
      <x:c r="A50" s="129"/>
      <x:c r="B50" s="94"/>
      <x:c r="C50" s="94"/>
      <x:c r="D50" s="94"/>
      <x:c r="E50" s="130"/>
      <x:c r="F50" s="130"/>
      <x:c r="G50" s="130"/>
      <x:c r="H50" s="130"/>
      <x:c r="I50" s="94"/>
      <x:c r="J50" s="131"/>
      <x:c r="K50" s="94"/>
      <x:c r="L50" s="94"/>
      <x:c r="M50" s="94"/>
      <x:c r="N50" s="94"/>
      <x:c r="O50" s="94"/>
      <x:c r="P50" s="94"/>
      <x:c r="Q50" s="94"/>
      <x:c r="R50" s="94"/>
      <x:c r="S50" s="94"/>
      <x:c r="T50" s="94"/>
      <x:c r="U50" s="94"/>
      <x:c r="V50" s="94"/>
    </x:row>
    <x:row r="51">
      <x:c r="A51" s="129"/>
      <x:c r="B51" s="94"/>
      <x:c r="C51" s="94"/>
      <x:c r="D51" s="94"/>
      <x:c r="E51" s="130"/>
      <x:c r="F51" s="130"/>
      <x:c r="G51" s="130"/>
      <x:c r="H51" s="130"/>
      <x:c r="I51" s="94"/>
      <x:c r="J51" s="131"/>
      <x:c r="K51" s="94"/>
      <x:c r="L51" s="94"/>
      <x:c r="M51" s="94"/>
      <x:c r="N51" s="94"/>
      <x:c r="O51" s="94"/>
      <x:c r="P51" s="94"/>
      <x:c r="Q51" s="94"/>
      <x:c r="R51" s="94"/>
      <x:c r="S51" s="94"/>
      <x:c r="T51" s="94"/>
      <x:c r="U51" s="94"/>
      <x:c r="V51" s="94"/>
    </x:row>
    <x:row r="52">
      <x:c r="A52" s="129"/>
      <x:c r="B52" s="94"/>
      <x:c r="C52" s="94"/>
      <x:c r="D52" s="94"/>
      <x:c r="E52" s="130"/>
      <x:c r="F52" s="130"/>
      <x:c r="G52" s="130"/>
      <x:c r="H52" s="130"/>
      <x:c r="I52" s="94"/>
      <x:c r="J52" s="131"/>
      <x:c r="K52" s="94"/>
      <x:c r="L52" s="94"/>
      <x:c r="M52" s="94"/>
      <x:c r="N52" s="94"/>
      <x:c r="O52" s="94"/>
      <x:c r="P52" s="94"/>
      <x:c r="Q52" s="94"/>
      <x:c r="R52" s="94"/>
      <x:c r="S52" s="94"/>
      <x:c r="T52" s="94"/>
      <x:c r="U52" s="94"/>
      <x:c r="V52" s="94"/>
    </x:row>
    <x:row r="53">
      <x:c r="A53" s="129"/>
      <x:c r="B53" s="94"/>
      <x:c r="C53" s="94"/>
      <x:c r="D53" s="94"/>
      <x:c r="E53" s="130"/>
      <x:c r="F53" s="130"/>
      <x:c r="G53" s="130"/>
      <x:c r="H53" s="130"/>
      <x:c r="I53" s="94"/>
      <x:c r="J53" s="131"/>
      <x:c r="K53" s="94"/>
      <x:c r="L53" s="94"/>
      <x:c r="M53" s="94"/>
      <x:c r="N53" s="94"/>
      <x:c r="O53" s="94"/>
      <x:c r="P53" s="94"/>
      <x:c r="Q53" s="94"/>
      <x:c r="R53" s="94"/>
      <x:c r="S53" s="94"/>
      <x:c r="T53" s="94"/>
      <x:c r="U53" s="94"/>
      <x:c r="V53" s="94"/>
    </x:row>
    <x:row r="54">
      <x:c r="A54" s="129"/>
      <x:c r="B54" s="94"/>
      <x:c r="C54" s="94"/>
      <x:c r="D54" s="94"/>
      <x:c r="E54" s="130"/>
      <x:c r="F54" s="130"/>
      <x:c r="G54" s="130"/>
      <x:c r="H54" s="130"/>
      <x:c r="I54" s="94"/>
      <x:c r="J54" s="131"/>
      <x:c r="K54" s="94"/>
      <x:c r="L54" s="94"/>
      <x:c r="M54" s="94"/>
      <x:c r="N54" s="94"/>
      <x:c r="O54" s="94"/>
      <x:c r="P54" s="94"/>
      <x:c r="Q54" s="94"/>
      <x:c r="R54" s="94"/>
      <x:c r="S54" s="94"/>
      <x:c r="T54" s="94"/>
      <x:c r="U54" s="94"/>
      <x:c r="V54" s="94"/>
    </x:row>
    <x:row r="55">
      <x:c r="A55" s="129"/>
      <x:c r="B55" s="94"/>
      <x:c r="C55" s="94"/>
      <x:c r="D55" s="94"/>
      <x:c r="E55" s="130"/>
      <x:c r="F55" s="130"/>
      <x:c r="G55" s="130"/>
      <x:c r="H55" s="130"/>
      <x:c r="I55" s="94"/>
      <x:c r="J55" s="131"/>
      <x:c r="K55" s="94"/>
      <x:c r="L55" s="94"/>
      <x:c r="M55" s="94"/>
      <x:c r="N55" s="94"/>
      <x:c r="O55" s="94"/>
      <x:c r="P55" s="94"/>
      <x:c r="Q55" s="94"/>
      <x:c r="R55" s="94"/>
      <x:c r="S55" s="94"/>
      <x:c r="T55" s="94"/>
      <x:c r="U55" s="94"/>
      <x:c r="V55" s="94"/>
    </x:row>
    <x:row r="56">
      <x:c r="A56" s="129"/>
      <x:c r="B56" s="94"/>
      <x:c r="C56" s="94"/>
      <x:c r="D56" s="94"/>
      <x:c r="E56" s="130"/>
      <x:c r="F56" s="130"/>
      <x:c r="G56" s="130"/>
      <x:c r="H56" s="130"/>
      <x:c r="I56" s="94"/>
      <x:c r="J56" s="131"/>
      <x:c r="K56" s="94"/>
      <x:c r="L56" s="94"/>
      <x:c r="M56" s="94"/>
      <x:c r="N56" s="94"/>
      <x:c r="O56" s="94"/>
      <x:c r="P56" s="94"/>
      <x:c r="Q56" s="94"/>
      <x:c r="R56" s="94"/>
      <x:c r="S56" s="94"/>
      <x:c r="T56" s="94"/>
      <x:c r="U56" s="94"/>
      <x:c r="V56" s="94"/>
    </x:row>
    <x:row r="57">
      <x:c r="A57" s="129"/>
      <x:c r="B57" s="94"/>
      <x:c r="C57" s="94"/>
      <x:c r="D57" s="94"/>
      <x:c r="E57" s="130"/>
      <x:c r="F57" s="130"/>
      <x:c r="G57" s="130"/>
      <x:c r="H57" s="130"/>
      <x:c r="I57" s="94"/>
      <x:c r="J57" s="131"/>
      <x:c r="K57" s="94"/>
      <x:c r="L57" s="94"/>
      <x:c r="M57" s="94"/>
      <x:c r="N57" s="94"/>
      <x:c r="O57" s="94"/>
      <x:c r="P57" s="94"/>
      <x:c r="Q57" s="94"/>
      <x:c r="R57" s="94"/>
      <x:c r="S57" s="94"/>
      <x:c r="T57" s="94"/>
      <x:c r="U57" s="94"/>
      <x:c r="V57" s="94"/>
    </x:row>
    <x:row r="58">
      <x:c r="A58" s="129"/>
      <x:c r="B58" s="94"/>
      <x:c r="C58" s="94"/>
      <x:c r="D58" s="94"/>
      <x:c r="E58" s="130"/>
      <x:c r="F58" s="130"/>
      <x:c r="G58" s="130"/>
      <x:c r="H58" s="130"/>
      <x:c r="I58" s="94"/>
      <x:c r="J58" s="131"/>
      <x:c r="K58" s="94"/>
      <x:c r="L58" s="94"/>
      <x:c r="M58" s="94"/>
      <x:c r="N58" s="94"/>
      <x:c r="O58" s="94"/>
      <x:c r="P58" s="94"/>
      <x:c r="Q58" s="94"/>
      <x:c r="R58" s="94"/>
      <x:c r="S58" s="94"/>
      <x:c r="T58" s="94"/>
      <x:c r="U58" s="94"/>
      <x:c r="V58" s="94"/>
    </x:row>
    <x:row r="59">
      <x:c r="A59" s="129"/>
      <x:c r="B59" s="94"/>
      <x:c r="C59" s="94"/>
      <x:c r="D59" s="94"/>
      <x:c r="E59" s="130"/>
      <x:c r="F59" s="130"/>
      <x:c r="G59" s="130"/>
      <x:c r="H59" s="130"/>
      <x:c r="I59" s="94"/>
      <x:c r="J59" s="131"/>
      <x:c r="K59" s="94"/>
      <x:c r="L59" s="94"/>
      <x:c r="M59" s="94"/>
      <x:c r="N59" s="94"/>
      <x:c r="O59" s="94"/>
      <x:c r="P59" s="94"/>
      <x:c r="Q59" s="94"/>
      <x:c r="R59" s="94"/>
      <x:c r="S59" s="94"/>
      <x:c r="T59" s="94"/>
      <x:c r="U59" s="94"/>
      <x:c r="V59" s="94"/>
    </x:row>
    <x:row r="60">
      <x:c r="A60" s="129"/>
      <x:c r="B60" s="94"/>
      <x:c r="C60" s="94"/>
      <x:c r="D60" s="94"/>
      <x:c r="E60" s="130"/>
      <x:c r="F60" s="130"/>
      <x:c r="G60" s="130"/>
      <x:c r="H60" s="130"/>
      <x:c r="I60" s="94"/>
      <x:c r="J60" s="131"/>
      <x:c r="K60" s="94"/>
      <x:c r="L60" s="94"/>
      <x:c r="M60" s="94"/>
      <x:c r="N60" s="94"/>
      <x:c r="O60" s="94"/>
      <x:c r="P60" s="94"/>
      <x:c r="Q60" s="94"/>
      <x:c r="R60" s="94"/>
      <x:c r="S60" s="94"/>
      <x:c r="T60" s="94"/>
      <x:c r="U60" s="94"/>
      <x:c r="V60" s="94"/>
    </x:row>
    <x:row r="61">
      <x:c r="A61" s="129"/>
      <x:c r="B61" s="94"/>
      <x:c r="C61" s="94"/>
      <x:c r="D61" s="94"/>
      <x:c r="E61" s="130"/>
      <x:c r="F61" s="130"/>
      <x:c r="G61" s="130"/>
      <x:c r="H61" s="130"/>
      <x:c r="I61" s="94"/>
      <x:c r="J61" s="131"/>
      <x:c r="K61" s="94"/>
      <x:c r="L61" s="94"/>
      <x:c r="M61" s="94"/>
      <x:c r="N61" s="94"/>
      <x:c r="O61" s="94"/>
      <x:c r="P61" s="94"/>
      <x:c r="Q61" s="94"/>
      <x:c r="R61" s="94"/>
      <x:c r="S61" s="94"/>
      <x:c r="T61" s="94"/>
      <x:c r="U61" s="94"/>
      <x:c r="V61" s="94"/>
    </x:row>
    <x:row r="62">
      <x:c r="A62" s="129"/>
      <x:c r="B62" s="94"/>
      <x:c r="C62" s="94"/>
      <x:c r="D62" s="94"/>
      <x:c r="E62" s="130"/>
      <x:c r="F62" s="130"/>
      <x:c r="G62" s="130"/>
      <x:c r="H62" s="130"/>
      <x:c r="I62" s="94"/>
      <x:c r="J62" s="131"/>
      <x:c r="K62" s="94"/>
      <x:c r="L62" s="94"/>
      <x:c r="M62" s="94"/>
      <x:c r="N62" s="94"/>
      <x:c r="O62" s="94"/>
      <x:c r="P62" s="94"/>
      <x:c r="Q62" s="94"/>
      <x:c r="R62" s="94"/>
      <x:c r="S62" s="94"/>
      <x:c r="T62" s="94"/>
      <x:c r="U62" s="94"/>
      <x:c r="V62" s="94"/>
    </x:row>
    <x:row r="63">
      <x:c r="A63" s="129"/>
      <x:c r="B63" s="94"/>
      <x:c r="C63" s="94"/>
      <x:c r="D63" s="94"/>
      <x:c r="E63" s="130"/>
      <x:c r="F63" s="130"/>
      <x:c r="G63" s="130"/>
      <x:c r="H63" s="130"/>
      <x:c r="I63" s="94"/>
      <x:c r="J63" s="131"/>
      <x:c r="K63" s="94"/>
      <x:c r="L63" s="94"/>
      <x:c r="M63" s="94"/>
      <x:c r="N63" s="94"/>
      <x:c r="O63" s="94"/>
      <x:c r="P63" s="94"/>
      <x:c r="Q63" s="94"/>
      <x:c r="R63" s="94"/>
      <x:c r="S63" s="94"/>
      <x:c r="T63" s="94"/>
      <x:c r="U63" s="94"/>
      <x:c r="V63" s="94"/>
    </x:row>
    <x:row r="64">
      <x:c r="A64" s="129"/>
      <x:c r="B64" s="94"/>
      <x:c r="C64" s="94"/>
      <x:c r="D64" s="94"/>
      <x:c r="E64" s="130"/>
      <x:c r="F64" s="130"/>
      <x:c r="G64" s="130"/>
      <x:c r="H64" s="130"/>
      <x:c r="I64" s="94"/>
      <x:c r="J64" s="131"/>
      <x:c r="K64" s="94"/>
      <x:c r="L64" s="94"/>
      <x:c r="M64" s="94"/>
      <x:c r="N64" s="94"/>
      <x:c r="O64" s="94"/>
      <x:c r="P64" s="94"/>
      <x:c r="Q64" s="94"/>
      <x:c r="R64" s="94"/>
      <x:c r="S64" s="94"/>
      <x:c r="T64" s="94"/>
      <x:c r="U64" s="94"/>
      <x:c r="V64" s="94"/>
    </x:row>
    <x:row r="65">
      <x:c r="A65" s="129"/>
      <x:c r="B65" s="94"/>
      <x:c r="C65" s="94"/>
      <x:c r="D65" s="94"/>
      <x:c r="E65" s="130"/>
      <x:c r="F65" s="130"/>
      <x:c r="G65" s="130"/>
      <x:c r="H65" s="130"/>
      <x:c r="I65" s="94"/>
      <x:c r="J65" s="131"/>
      <x:c r="K65" s="94"/>
      <x:c r="L65" s="94"/>
      <x:c r="M65" s="94"/>
      <x:c r="N65" s="94"/>
      <x:c r="O65" s="94"/>
      <x:c r="P65" s="94"/>
      <x:c r="Q65" s="94"/>
      <x:c r="R65" s="94"/>
      <x:c r="S65" s="94"/>
      <x:c r="T65" s="94"/>
      <x:c r="U65" s="94"/>
      <x:c r="V65" s="94"/>
    </x:row>
    <x:row r="66">
      <x:c r="A66" s="129"/>
      <x:c r="B66" s="94"/>
      <x:c r="C66" s="94"/>
      <x:c r="D66" s="94"/>
      <x:c r="E66" s="130"/>
      <x:c r="F66" s="130"/>
      <x:c r="G66" s="130"/>
      <x:c r="H66" s="130"/>
      <x:c r="I66" s="94"/>
      <x:c r="J66" s="131"/>
      <x:c r="K66" s="94"/>
      <x:c r="L66" s="94"/>
      <x:c r="M66" s="94"/>
      <x:c r="N66" s="94"/>
      <x:c r="O66" s="94"/>
      <x:c r="P66" s="94"/>
      <x:c r="Q66" s="94"/>
      <x:c r="R66" s="94"/>
      <x:c r="S66" s="94"/>
      <x:c r="T66" s="94"/>
      <x:c r="U66" s="94"/>
      <x:c r="V66" s="94"/>
    </x:row>
    <x:row r="67">
      <x:c r="A67" s="129"/>
      <x:c r="B67" s="94"/>
      <x:c r="C67" s="94"/>
      <x:c r="D67" s="94"/>
      <x:c r="E67" s="130"/>
      <x:c r="F67" s="130"/>
      <x:c r="G67" s="130"/>
      <x:c r="H67" s="130"/>
      <x:c r="I67" s="94"/>
      <x:c r="J67" s="131"/>
      <x:c r="K67" s="94"/>
      <x:c r="L67" s="94"/>
      <x:c r="M67" s="94"/>
      <x:c r="N67" s="94"/>
      <x:c r="O67" s="94"/>
      <x:c r="P67" s="94"/>
      <x:c r="Q67" s="94"/>
      <x:c r="R67" s="94"/>
      <x:c r="S67" s="94"/>
      <x:c r="T67" s="94"/>
      <x:c r="U67" s="94"/>
      <x:c r="V67" s="94"/>
    </x:row>
    <x:row r="68">
      <x:c r="A68" s="129"/>
      <x:c r="B68" s="94"/>
      <x:c r="C68" s="94"/>
      <x:c r="D68" s="94"/>
      <x:c r="E68" s="130"/>
      <x:c r="F68" s="130"/>
      <x:c r="G68" s="130"/>
      <x:c r="H68" s="130"/>
      <x:c r="I68" s="94"/>
      <x:c r="J68" s="131"/>
      <x:c r="K68" s="94"/>
      <x:c r="L68" s="94"/>
      <x:c r="M68" s="94"/>
      <x:c r="N68" s="94"/>
      <x:c r="O68" s="94"/>
      <x:c r="P68" s="94"/>
      <x:c r="Q68" s="94"/>
      <x:c r="R68" s="94"/>
      <x:c r="S68" s="94"/>
      <x:c r="T68" s="94"/>
      <x:c r="U68" s="94"/>
      <x:c r="V68" s="94"/>
    </x:row>
    <x:row r="69">
      <x:c r="A69" s="129"/>
      <x:c r="B69" s="94"/>
      <x:c r="C69" s="94"/>
      <x:c r="D69" s="94"/>
      <x:c r="E69" s="130"/>
      <x:c r="F69" s="130"/>
      <x:c r="G69" s="130"/>
      <x:c r="H69" s="130"/>
      <x:c r="I69" s="94"/>
      <x:c r="J69" s="131"/>
      <x:c r="K69" s="94"/>
      <x:c r="L69" s="94"/>
      <x:c r="M69" s="94"/>
      <x:c r="N69" s="94"/>
      <x:c r="O69" s="94"/>
      <x:c r="P69" s="94"/>
      <x:c r="Q69" s="94"/>
      <x:c r="R69" s="94"/>
      <x:c r="S69" s="94"/>
      <x:c r="T69" s="94"/>
      <x:c r="U69" s="94"/>
      <x:c r="V69" s="94"/>
    </x:row>
    <x:row r="70">
      <x:c r="A70" s="129"/>
      <x:c r="B70" s="94"/>
      <x:c r="C70" s="94"/>
      <x:c r="D70" s="94"/>
      <x:c r="E70" s="130"/>
      <x:c r="F70" s="130"/>
      <x:c r="G70" s="130"/>
      <x:c r="H70" s="130"/>
      <x:c r="I70" s="94"/>
      <x:c r="J70" s="131"/>
      <x:c r="K70" s="94"/>
      <x:c r="L70" s="94"/>
      <x:c r="M70" s="94"/>
      <x:c r="N70" s="94"/>
      <x:c r="O70" s="94"/>
      <x:c r="P70" s="94"/>
      <x:c r="Q70" s="94"/>
      <x:c r="R70" s="94"/>
      <x:c r="S70" s="94"/>
      <x:c r="T70" s="94"/>
      <x:c r="U70" s="94"/>
      <x:c r="V70" s="94"/>
    </x:row>
    <x:row r="71">
      <x:c r="A71" s="129"/>
      <x:c r="B71" s="94"/>
      <x:c r="C71" s="94"/>
      <x:c r="D71" s="94"/>
      <x:c r="E71" s="130"/>
      <x:c r="F71" s="130"/>
      <x:c r="G71" s="130"/>
      <x:c r="H71" s="130"/>
      <x:c r="I71" s="94"/>
      <x:c r="J71" s="131"/>
      <x:c r="K71" s="94"/>
      <x:c r="L71" s="94"/>
      <x:c r="M71" s="94"/>
      <x:c r="N71" s="94"/>
      <x:c r="O71" s="94"/>
      <x:c r="P71" s="94"/>
      <x:c r="Q71" s="94"/>
      <x:c r="R71" s="94"/>
      <x:c r="S71" s="94"/>
      <x:c r="T71" s="94"/>
      <x:c r="U71" s="94"/>
      <x:c r="V71" s="94"/>
    </x:row>
    <x:row r="72">
      <x:c r="A72" s="129"/>
      <x:c r="B72" s="94"/>
      <x:c r="C72" s="94"/>
      <x:c r="D72" s="94"/>
      <x:c r="E72" s="130"/>
      <x:c r="F72" s="130"/>
      <x:c r="G72" s="130"/>
      <x:c r="H72" s="130"/>
      <x:c r="I72" s="94"/>
      <x:c r="J72" s="131"/>
      <x:c r="K72" s="94"/>
      <x:c r="L72" s="94"/>
      <x:c r="M72" s="94"/>
      <x:c r="N72" s="94"/>
      <x:c r="O72" s="94"/>
      <x:c r="P72" s="94"/>
      <x:c r="Q72" s="94"/>
      <x:c r="R72" s="94"/>
      <x:c r="S72" s="94"/>
      <x:c r="T72" s="94"/>
      <x:c r="U72" s="94"/>
      <x:c r="V72" s="94"/>
    </x:row>
    <x:row r="73">
      <x:c r="A73" s="129"/>
      <x:c r="B73" s="94"/>
      <x:c r="C73" s="94"/>
      <x:c r="D73" s="94"/>
      <x:c r="E73" s="130"/>
      <x:c r="F73" s="130"/>
      <x:c r="G73" s="130"/>
      <x:c r="H73" s="130"/>
      <x:c r="I73" s="94"/>
      <x:c r="J73" s="131"/>
      <x:c r="K73" s="94"/>
      <x:c r="L73" s="94"/>
      <x:c r="M73" s="94"/>
      <x:c r="N73" s="94"/>
      <x:c r="O73" s="94"/>
      <x:c r="P73" s="94"/>
      <x:c r="Q73" s="94"/>
      <x:c r="R73" s="94"/>
      <x:c r="S73" s="94"/>
      <x:c r="T73" s="94"/>
      <x:c r="U73" s="94"/>
      <x:c r="V73" s="94"/>
    </x:row>
    <x:row r="74">
      <x:c r="A74" s="129"/>
      <x:c r="B74" s="94"/>
      <x:c r="C74" s="94"/>
      <x:c r="D74" s="94"/>
      <x:c r="E74" s="130"/>
      <x:c r="F74" s="130"/>
      <x:c r="G74" s="130"/>
      <x:c r="H74" s="130"/>
      <x:c r="I74" s="94"/>
      <x:c r="J74" s="131"/>
      <x:c r="K74" s="94"/>
      <x:c r="L74" s="94"/>
      <x:c r="M74" s="94"/>
      <x:c r="N74" s="94"/>
      <x:c r="O74" s="94"/>
      <x:c r="P74" s="94"/>
      <x:c r="Q74" s="94"/>
      <x:c r="R74" s="94"/>
      <x:c r="S74" s="94"/>
      <x:c r="T74" s="94"/>
      <x:c r="U74" s="94"/>
      <x:c r="V74" s="94"/>
    </x:row>
    <x:row r="75">
      <x:c r="A75" s="129"/>
      <x:c r="B75" s="94"/>
      <x:c r="C75" s="94"/>
      <x:c r="D75" s="94"/>
      <x:c r="E75" s="130"/>
      <x:c r="F75" s="130"/>
      <x:c r="G75" s="130"/>
      <x:c r="H75" s="130"/>
      <x:c r="I75" s="94"/>
      <x:c r="J75" s="131"/>
      <x:c r="K75" s="94"/>
      <x:c r="L75" s="94"/>
      <x:c r="M75" s="94"/>
      <x:c r="N75" s="94"/>
      <x:c r="O75" s="94"/>
      <x:c r="P75" s="94"/>
      <x:c r="Q75" s="94"/>
      <x:c r="R75" s="94"/>
      <x:c r="S75" s="94"/>
      <x:c r="T75" s="94"/>
      <x:c r="U75" s="94"/>
      <x:c r="V75" s="94"/>
    </x:row>
    <x:row r="76">
      <x:c r="A76" s="129"/>
      <x:c r="B76" s="94"/>
      <x:c r="C76" s="94"/>
      <x:c r="D76" s="94"/>
      <x:c r="E76" s="130"/>
      <x:c r="F76" s="130"/>
      <x:c r="G76" s="130"/>
      <x:c r="H76" s="130"/>
      <x:c r="I76" s="94"/>
      <x:c r="J76" s="131"/>
      <x:c r="K76" s="94"/>
      <x:c r="L76" s="94"/>
      <x:c r="M76" s="94"/>
      <x:c r="N76" s="94"/>
      <x:c r="O76" s="94"/>
      <x:c r="P76" s="94"/>
      <x:c r="Q76" s="94"/>
      <x:c r="R76" s="94"/>
      <x:c r="S76" s="94"/>
      <x:c r="T76" s="94"/>
      <x:c r="U76" s="94"/>
      <x:c r="V76" s="94"/>
    </x:row>
    <x:row r="77">
      <x:c r="A77" s="129"/>
      <x:c r="B77" s="94"/>
      <x:c r="C77" s="94"/>
      <x:c r="D77" s="94"/>
      <x:c r="E77" s="130"/>
      <x:c r="F77" s="130"/>
      <x:c r="G77" s="130"/>
      <x:c r="H77" s="130"/>
      <x:c r="I77" s="94"/>
      <x:c r="J77" s="131"/>
      <x:c r="K77" s="94"/>
      <x:c r="L77" s="94"/>
      <x:c r="M77" s="94"/>
      <x:c r="N77" s="94"/>
      <x:c r="O77" s="94"/>
      <x:c r="P77" s="94"/>
      <x:c r="Q77" s="94"/>
      <x:c r="R77" s="94"/>
      <x:c r="S77" s="94"/>
      <x:c r="T77" s="94"/>
      <x:c r="U77" s="94"/>
      <x:c r="V77" s="94"/>
    </x:row>
    <x:row r="78">
      <x:c r="A78" s="129"/>
      <x:c r="B78" s="94"/>
      <x:c r="C78" s="94"/>
      <x:c r="D78" s="94"/>
      <x:c r="E78" s="130"/>
      <x:c r="F78" s="130"/>
      <x:c r="G78" s="130"/>
      <x:c r="H78" s="130"/>
      <x:c r="I78" s="94"/>
      <x:c r="J78" s="131"/>
      <x:c r="K78" s="94"/>
      <x:c r="L78" s="94"/>
      <x:c r="M78" s="94"/>
      <x:c r="N78" s="94"/>
      <x:c r="O78" s="94"/>
      <x:c r="P78" s="94"/>
      <x:c r="Q78" s="94"/>
      <x:c r="R78" s="94"/>
      <x:c r="S78" s="94"/>
      <x:c r="T78" s="94"/>
      <x:c r="U78" s="94"/>
      <x:c r="V78" s="94"/>
    </x:row>
    <x:row r="79">
      <x:c r="A79" s="129"/>
      <x:c r="B79" s="94"/>
      <x:c r="C79" s="94"/>
      <x:c r="D79" s="94"/>
      <x:c r="E79" s="130"/>
      <x:c r="F79" s="130"/>
      <x:c r="G79" s="130"/>
      <x:c r="H79" s="130"/>
      <x:c r="I79" s="94"/>
      <x:c r="J79" s="131"/>
      <x:c r="K79" s="94"/>
      <x:c r="L79" s="94"/>
      <x:c r="M79" s="94"/>
      <x:c r="N79" s="94"/>
      <x:c r="O79" s="94"/>
      <x:c r="P79" s="94"/>
      <x:c r="Q79" s="94"/>
      <x:c r="R79" s="94"/>
      <x:c r="S79" s="94"/>
      <x:c r="T79" s="94"/>
      <x:c r="U79" s="94"/>
      <x:c r="V79" s="94"/>
    </x:row>
    <x:row r="80">
      <x:c r="A80" s="129"/>
      <x:c r="B80" s="94"/>
      <x:c r="C80" s="94"/>
      <x:c r="D80" s="94"/>
      <x:c r="E80" s="130"/>
      <x:c r="F80" s="130"/>
      <x:c r="G80" s="130"/>
      <x:c r="H80" s="130"/>
      <x:c r="I80" s="94"/>
      <x:c r="J80" s="131"/>
      <x:c r="K80" s="94"/>
      <x:c r="L80" s="94"/>
      <x:c r="M80" s="94"/>
      <x:c r="N80" s="94"/>
      <x:c r="O80" s="94"/>
      <x:c r="P80" s="94"/>
      <x:c r="Q80" s="94"/>
      <x:c r="R80" s="94"/>
      <x:c r="S80" s="94"/>
      <x:c r="T80" s="94"/>
      <x:c r="U80" s="94"/>
      <x:c r="V80" s="94"/>
    </x:row>
    <x:row r="81">
      <x:c r="A81" s="129"/>
      <x:c r="B81" s="94"/>
      <x:c r="C81" s="94"/>
      <x:c r="D81" s="94"/>
      <x:c r="E81" s="130"/>
      <x:c r="F81" s="130"/>
      <x:c r="G81" s="130"/>
      <x:c r="H81" s="130"/>
      <x:c r="I81" s="94"/>
      <x:c r="J81" s="131"/>
      <x:c r="K81" s="94"/>
      <x:c r="L81" s="94"/>
      <x:c r="M81" s="94"/>
      <x:c r="N81" s="94"/>
      <x:c r="O81" s="94"/>
      <x:c r="P81" s="94"/>
      <x:c r="Q81" s="94"/>
      <x:c r="R81" s="94"/>
      <x:c r="S81" s="94"/>
      <x:c r="T81" s="94"/>
      <x:c r="U81" s="94"/>
      <x:c r="V81" s="94"/>
    </x:row>
    <x:row r="82">
      <x:c r="A82" s="129"/>
      <x:c r="B82" s="94"/>
      <x:c r="C82" s="94"/>
      <x:c r="D82" s="94"/>
      <x:c r="E82" s="130"/>
      <x:c r="F82" s="130"/>
      <x:c r="G82" s="130"/>
      <x:c r="H82" s="130"/>
      <x:c r="I82" s="94"/>
      <x:c r="J82" s="131"/>
      <x:c r="K82" s="94"/>
      <x:c r="L82" s="94"/>
      <x:c r="M82" s="94"/>
      <x:c r="N82" s="94"/>
      <x:c r="O82" s="94"/>
      <x:c r="P82" s="94"/>
      <x:c r="Q82" s="94"/>
      <x:c r="R82" s="94"/>
      <x:c r="S82" s="94"/>
      <x:c r="T82" s="94"/>
      <x:c r="U82" s="94"/>
      <x:c r="V82" s="94"/>
    </x:row>
    <x:row r="83">
      <x:c r="A83" s="129"/>
      <x:c r="B83" s="94"/>
      <x:c r="C83" s="94"/>
      <x:c r="D83" s="94"/>
      <x:c r="E83" s="130"/>
      <x:c r="F83" s="130"/>
      <x:c r="G83" s="130"/>
      <x:c r="H83" s="130"/>
      <x:c r="I83" s="94"/>
      <x:c r="J83" s="131"/>
      <x:c r="K83" s="94"/>
      <x:c r="L83" s="94"/>
      <x:c r="M83" s="94"/>
      <x:c r="N83" s="94"/>
      <x:c r="O83" s="94"/>
      <x:c r="P83" s="94"/>
      <x:c r="Q83" s="94"/>
      <x:c r="R83" s="94"/>
      <x:c r="S83" s="94"/>
      <x:c r="T83" s="94"/>
      <x:c r="U83" s="94"/>
      <x:c r="V83" s="94"/>
    </x:row>
    <x:row r="84">
      <x:c r="A84" s="129"/>
      <x:c r="B84" s="94"/>
      <x:c r="C84" s="94"/>
      <x:c r="D84" s="94"/>
      <x:c r="E84" s="130"/>
      <x:c r="F84" s="130"/>
      <x:c r="G84" s="130"/>
      <x:c r="H84" s="130"/>
      <x:c r="I84" s="94"/>
      <x:c r="J84" s="131"/>
      <x:c r="K84" s="94"/>
      <x:c r="L84" s="94"/>
      <x:c r="M84" s="94"/>
      <x:c r="N84" s="94"/>
      <x:c r="O84" s="94"/>
      <x:c r="P84" s="94"/>
      <x:c r="Q84" s="94"/>
      <x:c r="R84" s="94"/>
      <x:c r="S84" s="94"/>
      <x:c r="T84" s="94"/>
      <x:c r="U84" s="94"/>
      <x:c r="V84" s="94"/>
    </x:row>
    <x:row r="85">
      <x:c r="A85" s="129"/>
      <x:c r="B85" s="94"/>
      <x:c r="C85" s="94"/>
      <x:c r="D85" s="94"/>
      <x:c r="E85" s="130"/>
      <x:c r="F85" s="130"/>
      <x:c r="G85" s="130"/>
      <x:c r="H85" s="130"/>
      <x:c r="I85" s="94"/>
      <x:c r="J85" s="131"/>
      <x:c r="K85" s="94"/>
      <x:c r="L85" s="94"/>
      <x:c r="M85" s="94"/>
      <x:c r="N85" s="94"/>
      <x:c r="O85" s="94"/>
      <x:c r="P85" s="94"/>
      <x:c r="Q85" s="94"/>
      <x:c r="R85" s="94"/>
      <x:c r="S85" s="94"/>
      <x:c r="T85" s="94"/>
      <x:c r="U85" s="94"/>
      <x:c r="V85" s="94"/>
    </x:row>
    <x:row r="86">
      <x:c r="A86" s="129"/>
      <x:c r="B86" s="94"/>
      <x:c r="C86" s="94"/>
      <x:c r="D86" s="94"/>
      <x:c r="E86" s="130"/>
      <x:c r="F86" s="130"/>
      <x:c r="G86" s="130"/>
      <x:c r="H86" s="130"/>
      <x:c r="I86" s="94"/>
      <x:c r="J86" s="131"/>
      <x:c r="K86" s="94"/>
      <x:c r="L86" s="94"/>
      <x:c r="M86" s="94"/>
      <x:c r="N86" s="94"/>
      <x:c r="O86" s="94"/>
      <x:c r="P86" s="94"/>
      <x:c r="Q86" s="94"/>
      <x:c r="R86" s="94"/>
      <x:c r="S86" s="94"/>
      <x:c r="T86" s="94"/>
      <x:c r="U86" s="94"/>
      <x:c r="V86" s="94"/>
    </x:row>
    <x:row r="87">
      <x:c r="A87" s="129"/>
      <x:c r="B87" s="94"/>
      <x:c r="C87" s="94"/>
      <x:c r="D87" s="94"/>
      <x:c r="E87" s="130"/>
      <x:c r="F87" s="130"/>
      <x:c r="G87" s="130"/>
      <x:c r="H87" s="130"/>
      <x:c r="I87" s="94"/>
      <x:c r="J87" s="131"/>
      <x:c r="K87" s="94"/>
      <x:c r="L87" s="94"/>
      <x:c r="M87" s="94"/>
      <x:c r="N87" s="94"/>
      <x:c r="O87" s="94"/>
      <x:c r="P87" s="94"/>
      <x:c r="Q87" s="94"/>
      <x:c r="R87" s="94"/>
      <x:c r="S87" s="94"/>
      <x:c r="T87" s="94"/>
      <x:c r="U87" s="94"/>
      <x:c r="V87" s="94"/>
    </x:row>
    <x:row r="88">
      <x:c r="A88" s="129"/>
      <x:c r="B88" s="94"/>
      <x:c r="C88" s="94"/>
      <x:c r="D88" s="94"/>
      <x:c r="E88" s="130"/>
      <x:c r="F88" s="130"/>
      <x:c r="G88" s="130"/>
      <x:c r="H88" s="130"/>
      <x:c r="I88" s="94"/>
      <x:c r="J88" s="131"/>
      <x:c r="K88" s="94"/>
      <x:c r="L88" s="94"/>
      <x:c r="M88" s="94"/>
      <x:c r="N88" s="94"/>
      <x:c r="O88" s="94"/>
      <x:c r="P88" s="94"/>
      <x:c r="Q88" s="94"/>
      <x:c r="R88" s="94"/>
      <x:c r="S88" s="94"/>
      <x:c r="T88" s="94"/>
      <x:c r="U88" s="94"/>
      <x:c r="V88" s="94"/>
    </x:row>
    <x:row r="89">
      <x:c r="A89" s="129"/>
      <x:c r="B89" s="94"/>
      <x:c r="C89" s="94"/>
      <x:c r="D89" s="94"/>
      <x:c r="E89" s="130"/>
      <x:c r="F89" s="130"/>
      <x:c r="G89" s="130"/>
      <x:c r="H89" s="130"/>
      <x:c r="I89" s="94"/>
      <x:c r="J89" s="131"/>
      <x:c r="K89" s="94"/>
      <x:c r="L89" s="94"/>
      <x:c r="M89" s="94"/>
      <x:c r="N89" s="94"/>
      <x:c r="O89" s="94"/>
      <x:c r="P89" s="94"/>
      <x:c r="Q89" s="94"/>
      <x:c r="R89" s="94"/>
      <x:c r="S89" s="94"/>
      <x:c r="T89" s="94"/>
      <x:c r="U89" s="94"/>
      <x:c r="V89" s="94"/>
    </x:row>
    <x:row r="90">
      <x:c r="A90" s="129"/>
      <x:c r="B90" s="94"/>
      <x:c r="C90" s="94"/>
      <x:c r="D90" s="94"/>
      <x:c r="E90" s="130"/>
      <x:c r="F90" s="130"/>
      <x:c r="G90" s="130"/>
      <x:c r="H90" s="130"/>
      <x:c r="I90" s="94"/>
      <x:c r="J90" s="131"/>
      <x:c r="K90" s="94"/>
      <x:c r="L90" s="94"/>
      <x:c r="M90" s="94"/>
      <x:c r="N90" s="94"/>
      <x:c r="O90" s="94"/>
      <x:c r="P90" s="94"/>
      <x:c r="Q90" s="94"/>
      <x:c r="R90" s="94"/>
      <x:c r="S90" s="94"/>
      <x:c r="T90" s="94"/>
      <x:c r="U90" s="94"/>
      <x:c r="V90" s="94"/>
    </x:row>
    <x:row r="91">
      <x:c r="A91" s="129"/>
      <x:c r="B91" s="94"/>
      <x:c r="C91" s="94"/>
      <x:c r="D91" s="94"/>
      <x:c r="E91" s="130"/>
      <x:c r="F91" s="130"/>
      <x:c r="G91" s="130"/>
      <x:c r="H91" s="130"/>
      <x:c r="I91" s="94"/>
      <x:c r="J91" s="131"/>
      <x:c r="K91" s="94"/>
      <x:c r="L91" s="94"/>
      <x:c r="M91" s="94"/>
      <x:c r="N91" s="94"/>
      <x:c r="O91" s="94"/>
      <x:c r="P91" s="94"/>
      <x:c r="Q91" s="94"/>
      <x:c r="R91" s="94"/>
      <x:c r="S91" s="94"/>
      <x:c r="T91" s="94"/>
      <x:c r="U91" s="94"/>
      <x:c r="V91" s="94"/>
    </x:row>
    <x:row r="92">
      <x:c r="A92" s="129"/>
      <x:c r="B92" s="94"/>
      <x:c r="C92" s="94"/>
      <x:c r="D92" s="94"/>
      <x:c r="E92" s="130"/>
      <x:c r="F92" s="130"/>
      <x:c r="G92" s="130"/>
      <x:c r="H92" s="130"/>
      <x:c r="I92" s="94"/>
      <x:c r="J92" s="131"/>
      <x:c r="K92" s="94"/>
      <x:c r="L92" s="94"/>
      <x:c r="M92" s="94"/>
      <x:c r="N92" s="94"/>
      <x:c r="O92" s="94"/>
      <x:c r="P92" s="94"/>
      <x:c r="Q92" s="94"/>
      <x:c r="R92" s="94"/>
      <x:c r="S92" s="94"/>
      <x:c r="T92" s="94"/>
      <x:c r="U92" s="94"/>
      <x:c r="V92" s="94"/>
    </x:row>
    <x:row r="93">
      <x:c r="A93" s="129"/>
      <x:c r="B93" s="94"/>
      <x:c r="C93" s="94"/>
      <x:c r="D93" s="94"/>
      <x:c r="E93" s="130"/>
      <x:c r="F93" s="130"/>
      <x:c r="G93" s="130"/>
      <x:c r="H93" s="130"/>
      <x:c r="I93" s="94"/>
      <x:c r="J93" s="131"/>
      <x:c r="K93" s="94"/>
      <x:c r="L93" s="94"/>
      <x:c r="M93" s="94"/>
      <x:c r="N93" s="94"/>
      <x:c r="O93" s="94"/>
      <x:c r="P93" s="94"/>
      <x:c r="Q93" s="94"/>
      <x:c r="R93" s="94"/>
      <x:c r="S93" s="94"/>
      <x:c r="T93" s="94"/>
      <x:c r="U93" s="94"/>
      <x:c r="V93" s="94"/>
    </x:row>
    <x:row r="94">
      <x:c r="A94" s="129"/>
      <x:c r="B94" s="94"/>
      <x:c r="C94" s="94"/>
      <x:c r="D94" s="94"/>
      <x:c r="E94" s="130"/>
      <x:c r="F94" s="130"/>
      <x:c r="G94" s="130"/>
      <x:c r="H94" s="130"/>
      <x:c r="I94" s="94"/>
      <x:c r="J94" s="131"/>
      <x:c r="K94" s="94"/>
      <x:c r="L94" s="94"/>
      <x:c r="M94" s="94"/>
      <x:c r="N94" s="94"/>
      <x:c r="O94" s="94"/>
      <x:c r="P94" s="94"/>
      <x:c r="Q94" s="94"/>
      <x:c r="R94" s="94"/>
      <x:c r="S94" s="94"/>
      <x:c r="T94" s="94"/>
      <x:c r="U94" s="94"/>
      <x:c r="V94" s="94"/>
    </x:row>
    <x:row r="95">
      <x:c r="A95" s="129"/>
      <x:c r="B95" s="94"/>
      <x:c r="C95" s="94"/>
      <x:c r="D95" s="94"/>
      <x:c r="E95" s="130"/>
      <x:c r="F95" s="130"/>
      <x:c r="G95" s="130"/>
      <x:c r="H95" s="130"/>
      <x:c r="I95" s="94"/>
      <x:c r="J95" s="131"/>
      <x:c r="K95" s="94"/>
      <x:c r="L95" s="94"/>
      <x:c r="M95" s="94"/>
      <x:c r="N95" s="94"/>
      <x:c r="O95" s="94"/>
      <x:c r="P95" s="94"/>
      <x:c r="Q95" s="94"/>
      <x:c r="R95" s="94"/>
      <x:c r="S95" s="94"/>
      <x:c r="T95" s="94"/>
      <x:c r="U95" s="94"/>
      <x:c r="V95" s="94"/>
    </x:row>
    <x:row r="96">
      <x:c r="A96" s="129"/>
      <x:c r="B96" s="94"/>
      <x:c r="C96" s="94"/>
      <x:c r="D96" s="94"/>
      <x:c r="E96" s="130"/>
      <x:c r="F96" s="130"/>
      <x:c r="G96" s="130"/>
      <x:c r="H96" s="130"/>
      <x:c r="I96" s="94"/>
      <x:c r="J96" s="131"/>
      <x:c r="K96" s="94"/>
      <x:c r="L96" s="94"/>
      <x:c r="M96" s="94"/>
      <x:c r="N96" s="94"/>
      <x:c r="O96" s="94"/>
      <x:c r="P96" s="94"/>
      <x:c r="Q96" s="94"/>
      <x:c r="R96" s="94"/>
      <x:c r="S96" s="94"/>
      <x:c r="T96" s="94"/>
      <x:c r="U96" s="94"/>
      <x:c r="V96" s="94"/>
    </x:row>
    <x:row r="97">
      <x:c r="A97" s="129"/>
      <x:c r="B97" s="94"/>
      <x:c r="C97" s="94"/>
      <x:c r="D97" s="94"/>
      <x:c r="E97" s="130"/>
      <x:c r="F97" s="130"/>
      <x:c r="G97" s="130"/>
      <x:c r="H97" s="130"/>
      <x:c r="I97" s="94"/>
      <x:c r="J97" s="131"/>
      <x:c r="K97" s="94"/>
      <x:c r="L97" s="94"/>
      <x:c r="M97" s="94"/>
      <x:c r="N97" s="94"/>
      <x:c r="O97" s="94"/>
      <x:c r="P97" s="94"/>
      <x:c r="Q97" s="94"/>
      <x:c r="R97" s="94"/>
      <x:c r="S97" s="94"/>
      <x:c r="T97" s="94"/>
      <x:c r="U97" s="94"/>
      <x:c r="V97" s="94"/>
    </x:row>
    <x:row r="98">
      <x:c r="A98" s="129"/>
      <x:c r="B98" s="94"/>
      <x:c r="C98" s="94"/>
      <x:c r="D98" s="94"/>
      <x:c r="E98" s="130"/>
      <x:c r="F98" s="130"/>
      <x:c r="G98" s="130"/>
      <x:c r="H98" s="130"/>
      <x:c r="I98" s="94"/>
      <x:c r="J98" s="131"/>
      <x:c r="K98" s="94"/>
      <x:c r="L98" s="94"/>
      <x:c r="M98" s="94"/>
      <x:c r="N98" s="94"/>
      <x:c r="O98" s="94"/>
      <x:c r="P98" s="94"/>
      <x:c r="Q98" s="94"/>
      <x:c r="R98" s="94"/>
      <x:c r="S98" s="94"/>
      <x:c r="T98" s="94"/>
      <x:c r="U98" s="94"/>
      <x:c r="V98" s="94"/>
    </x:row>
    <x:row r="99">
      <x:c r="A99" s="129"/>
      <x:c r="B99" s="94"/>
      <x:c r="C99" s="94"/>
      <x:c r="D99" s="94"/>
      <x:c r="E99" s="130"/>
      <x:c r="F99" s="130"/>
      <x:c r="G99" s="130"/>
      <x:c r="H99" s="130"/>
      <x:c r="I99" s="94"/>
      <x:c r="J99" s="131"/>
      <x:c r="K99" s="94"/>
      <x:c r="L99" s="94"/>
      <x:c r="M99" s="94"/>
      <x:c r="N99" s="94"/>
      <x:c r="O99" s="94"/>
      <x:c r="P99" s="94"/>
      <x:c r="Q99" s="94"/>
      <x:c r="R99" s="94"/>
      <x:c r="S99" s="94"/>
      <x:c r="T99" s="94"/>
      <x:c r="U99" s="94"/>
      <x:c r="V99" s="94"/>
    </x:row>
    <x:row r="100">
      <x:c r="A100" s="129"/>
      <x:c r="B100" s="94"/>
      <x:c r="C100" s="94"/>
      <x:c r="D100" s="94"/>
      <x:c r="E100" s="130"/>
      <x:c r="F100" s="130"/>
      <x:c r="G100" s="130"/>
      <x:c r="H100" s="130"/>
      <x:c r="I100" s="94"/>
      <x:c r="J100" s="131"/>
      <x:c r="K100" s="94"/>
      <x:c r="L100" s="94"/>
      <x:c r="M100" s="94"/>
      <x:c r="N100" s="94"/>
      <x:c r="O100" s="94"/>
      <x:c r="P100" s="94"/>
      <x:c r="Q100" s="94"/>
      <x:c r="R100" s="94"/>
      <x:c r="S100" s="94"/>
      <x:c r="T100" s="94"/>
      <x:c r="U100" s="94"/>
      <x:c r="V100" s="94"/>
    </x:row>
    <x:row r="101">
      <x:c r="A101" s="129"/>
      <x:c r="B101" s="94"/>
      <x:c r="C101" s="94"/>
      <x:c r="D101" s="94"/>
      <x:c r="E101" s="130"/>
      <x:c r="F101" s="130"/>
      <x:c r="G101" s="130"/>
      <x:c r="H101" s="130"/>
      <x:c r="I101" s="94"/>
      <x:c r="J101" s="131"/>
      <x:c r="K101" s="94"/>
      <x:c r="L101" s="94"/>
      <x:c r="M101" s="94"/>
      <x:c r="N101" s="94"/>
      <x:c r="O101" s="94"/>
      <x:c r="P101" s="94"/>
      <x:c r="Q101" s="94"/>
      <x:c r="R101" s="94"/>
      <x:c r="S101" s="94"/>
      <x:c r="T101" s="94"/>
      <x:c r="U101" s="94"/>
      <x:c r="V101" s="94"/>
    </x:row>
    <x:row r="102">
      <x:c r="A102" s="129"/>
      <x:c r="B102" s="94"/>
      <x:c r="C102" s="94"/>
      <x:c r="D102" s="94"/>
      <x:c r="E102" s="130"/>
      <x:c r="F102" s="130"/>
      <x:c r="G102" s="130"/>
      <x:c r="H102" s="130"/>
      <x:c r="I102" s="94"/>
      <x:c r="J102" s="131"/>
      <x:c r="K102" s="94"/>
      <x:c r="L102" s="94"/>
      <x:c r="M102" s="94"/>
      <x:c r="N102" s="94"/>
      <x:c r="O102" s="94"/>
      <x:c r="P102" s="94"/>
      <x:c r="Q102" s="94"/>
      <x:c r="R102" s="94"/>
      <x:c r="S102" s="94"/>
      <x:c r="T102" s="94"/>
      <x:c r="U102" s="94"/>
      <x:c r="V102" s="94"/>
    </x:row>
    <x:row r="103">
      <x:c r="A103" s="129"/>
      <x:c r="B103" s="94"/>
      <x:c r="C103" s="94"/>
      <x:c r="D103" s="94"/>
      <x:c r="E103" s="130"/>
      <x:c r="F103" s="130"/>
      <x:c r="G103" s="130"/>
      <x:c r="H103" s="130"/>
      <x:c r="I103" s="94"/>
      <x:c r="J103" s="131"/>
      <x:c r="K103" s="94"/>
      <x:c r="L103" s="94"/>
      <x:c r="M103" s="94"/>
      <x:c r="N103" s="94"/>
      <x:c r="O103" s="94"/>
      <x:c r="P103" s="94"/>
      <x:c r="Q103" s="94"/>
      <x:c r="R103" s="94"/>
      <x:c r="S103" s="94"/>
      <x:c r="T103" s="94"/>
      <x:c r="U103" s="94"/>
      <x:c r="V103" s="94"/>
    </x:row>
    <x:row r="104">
      <x:c r="A104" s="129"/>
      <x:c r="B104" s="94"/>
      <x:c r="C104" s="94"/>
      <x:c r="D104" s="94"/>
      <x:c r="E104" s="130"/>
      <x:c r="F104" s="130"/>
      <x:c r="G104" s="130"/>
      <x:c r="H104" s="130"/>
      <x:c r="I104" s="94"/>
      <x:c r="J104" s="131"/>
      <x:c r="K104" s="94"/>
      <x:c r="L104" s="94"/>
      <x:c r="M104" s="94"/>
      <x:c r="N104" s="94"/>
      <x:c r="O104" s="94"/>
      <x:c r="P104" s="94"/>
      <x:c r="Q104" s="94"/>
      <x:c r="R104" s="94"/>
      <x:c r="S104" s="94"/>
      <x:c r="T104" s="94"/>
      <x:c r="U104" s="94"/>
      <x:c r="V104" s="94"/>
    </x:row>
    <x:row r="105">
      <x:c r="A105" s="129"/>
      <x:c r="B105" s="94"/>
      <x:c r="C105" s="94"/>
      <x:c r="D105" s="94"/>
      <x:c r="E105" s="130"/>
      <x:c r="F105" s="130"/>
      <x:c r="G105" s="130"/>
      <x:c r="H105" s="130"/>
      <x:c r="I105" s="94"/>
      <x:c r="J105" s="131"/>
      <x:c r="K105" s="94"/>
      <x:c r="L105" s="94"/>
      <x:c r="M105" s="94"/>
      <x:c r="N105" s="94"/>
      <x:c r="O105" s="94"/>
      <x:c r="P105" s="94"/>
      <x:c r="Q105" s="94"/>
      <x:c r="R105" s="94"/>
      <x:c r="S105" s="94"/>
      <x:c r="T105" s="94"/>
      <x:c r="U105" s="94"/>
      <x:c r="V105" s="94"/>
    </x:row>
    <x:row r="106">
      <x:c r="A106" s="129"/>
      <x:c r="B106" s="94"/>
      <x:c r="C106" s="94"/>
      <x:c r="D106" s="94"/>
      <x:c r="E106" s="130"/>
      <x:c r="F106" s="130"/>
      <x:c r="G106" s="130"/>
      <x:c r="H106" s="130"/>
      <x:c r="I106" s="94"/>
      <x:c r="J106" s="131"/>
      <x:c r="K106" s="94"/>
      <x:c r="L106" s="94"/>
      <x:c r="M106" s="94"/>
      <x:c r="N106" s="94"/>
      <x:c r="O106" s="94"/>
      <x:c r="P106" s="94"/>
      <x:c r="Q106" s="94"/>
      <x:c r="R106" s="94"/>
      <x:c r="S106" s="94"/>
      <x:c r="T106" s="94"/>
      <x:c r="U106" s="94"/>
      <x:c r="V106" s="94"/>
    </x:row>
    <x:row r="107">
      <x:c r="A107" s="129"/>
      <x:c r="B107" s="94"/>
      <x:c r="C107" s="94"/>
      <x:c r="D107" s="94"/>
      <x:c r="E107" s="130"/>
      <x:c r="F107" s="130"/>
      <x:c r="G107" s="130"/>
      <x:c r="H107" s="130"/>
      <x:c r="I107" s="94"/>
      <x:c r="J107" s="131"/>
      <x:c r="K107" s="94"/>
      <x:c r="L107" s="94"/>
      <x:c r="M107" s="94"/>
      <x:c r="N107" s="94"/>
      <x:c r="O107" s="94"/>
      <x:c r="P107" s="94"/>
      <x:c r="Q107" s="94"/>
      <x:c r="R107" s="94"/>
      <x:c r="S107" s="94"/>
      <x:c r="T107" s="94"/>
      <x:c r="U107" s="94"/>
      <x:c r="V107" s="94"/>
    </x:row>
    <x:row r="108">
      <x:c r="A108" s="129"/>
      <x:c r="B108" s="94"/>
      <x:c r="C108" s="94"/>
      <x:c r="D108" s="94"/>
      <x:c r="E108" s="130"/>
      <x:c r="F108" s="130"/>
      <x:c r="G108" s="130"/>
      <x:c r="H108" s="130"/>
      <x:c r="I108" s="94"/>
      <x:c r="J108" s="131"/>
      <x:c r="K108" s="94"/>
      <x:c r="L108" s="94"/>
      <x:c r="M108" s="94"/>
      <x:c r="N108" s="94"/>
      <x:c r="O108" s="94"/>
      <x:c r="P108" s="94"/>
      <x:c r="Q108" s="94"/>
      <x:c r="R108" s="94"/>
      <x:c r="S108" s="94"/>
      <x:c r="T108" s="94"/>
      <x:c r="U108" s="94"/>
      <x:c r="V108" s="94"/>
    </x:row>
    <x:row r="109">
      <x:c r="A109" s="129"/>
      <x:c r="B109" s="94"/>
      <x:c r="C109" s="94"/>
      <x:c r="D109" s="94"/>
      <x:c r="E109" s="130"/>
      <x:c r="F109" s="130"/>
      <x:c r="G109" s="130"/>
      <x:c r="H109" s="130"/>
      <x:c r="I109" s="94"/>
      <x:c r="J109" s="131"/>
      <x:c r="K109" s="94"/>
      <x:c r="L109" s="94"/>
      <x:c r="M109" s="94"/>
      <x:c r="N109" s="94"/>
      <x:c r="O109" s="94"/>
      <x:c r="P109" s="94"/>
      <x:c r="Q109" s="94"/>
      <x:c r="R109" s="94"/>
      <x:c r="S109" s="94"/>
      <x:c r="T109" s="94"/>
      <x:c r="U109" s="94"/>
      <x:c r="V109" s="94"/>
    </x:row>
    <x:row r="110">
      <x:c r="A110" s="129"/>
      <x:c r="B110" s="94"/>
      <x:c r="C110" s="94"/>
      <x:c r="D110" s="94"/>
      <x:c r="E110" s="130"/>
      <x:c r="F110" s="130"/>
      <x:c r="G110" s="130"/>
      <x:c r="H110" s="130"/>
      <x:c r="I110" s="94"/>
      <x:c r="J110" s="131"/>
      <x:c r="K110" s="94"/>
      <x:c r="L110" s="94"/>
      <x:c r="M110" s="94"/>
      <x:c r="N110" s="94"/>
      <x:c r="O110" s="94"/>
      <x:c r="P110" s="94"/>
      <x:c r="Q110" s="94"/>
      <x:c r="R110" s="94"/>
      <x:c r="S110" s="94"/>
      <x:c r="T110" s="94"/>
      <x:c r="U110" s="94"/>
      <x:c r="V110" s="94"/>
    </x:row>
    <x:row r="111">
      <x:c r="A111" s="129"/>
      <x:c r="B111" s="94"/>
      <x:c r="C111" s="94"/>
      <x:c r="D111" s="94"/>
      <x:c r="E111" s="130"/>
      <x:c r="F111" s="130"/>
      <x:c r="G111" s="130"/>
      <x:c r="H111" s="130"/>
      <x:c r="I111" s="94"/>
      <x:c r="J111" s="131"/>
      <x:c r="K111" s="94"/>
      <x:c r="L111" s="94"/>
      <x:c r="M111" s="94"/>
      <x:c r="N111" s="94"/>
      <x:c r="O111" s="94"/>
      <x:c r="P111" s="94"/>
      <x:c r="Q111" s="94"/>
      <x:c r="R111" s="94"/>
      <x:c r="S111" s="94"/>
      <x:c r="T111" s="94"/>
      <x:c r="U111" s="94"/>
      <x:c r="V111" s="94"/>
    </x:row>
    <x:row r="112">
      <x:c r="A112" s="129"/>
      <x:c r="B112" s="94"/>
      <x:c r="C112" s="94"/>
      <x:c r="D112" s="94"/>
      <x:c r="E112" s="130"/>
      <x:c r="F112" s="130"/>
      <x:c r="G112" s="130"/>
      <x:c r="H112" s="130"/>
      <x:c r="I112" s="94"/>
      <x:c r="J112" s="131"/>
      <x:c r="K112" s="94"/>
      <x:c r="L112" s="94"/>
      <x:c r="M112" s="94"/>
      <x:c r="N112" s="94"/>
      <x:c r="O112" s="94"/>
      <x:c r="P112" s="94"/>
      <x:c r="Q112" s="94"/>
      <x:c r="R112" s="94"/>
      <x:c r="S112" s="94"/>
      <x:c r="T112" s="94"/>
      <x:c r="U112" s="94"/>
      <x:c r="V112" s="94"/>
    </x:row>
    <x:row r="113">
      <x:c r="A113" s="129"/>
      <x:c r="B113" s="94"/>
      <x:c r="C113" s="94"/>
      <x:c r="D113" s="94"/>
      <x:c r="E113" s="130"/>
      <x:c r="F113" s="130"/>
      <x:c r="G113" s="130"/>
      <x:c r="H113" s="130"/>
      <x:c r="I113" s="94"/>
      <x:c r="J113" s="131"/>
      <x:c r="K113" s="94"/>
      <x:c r="L113" s="94"/>
      <x:c r="M113" s="94"/>
      <x:c r="N113" s="94"/>
      <x:c r="O113" s="94"/>
      <x:c r="P113" s="94"/>
      <x:c r="Q113" s="94"/>
      <x:c r="R113" s="94"/>
      <x:c r="S113" s="94"/>
      <x:c r="T113" s="94"/>
      <x:c r="U113" s="94"/>
      <x:c r="V113" s="94"/>
    </x:row>
    <x:row r="114">
      <x:c r="A114" s="129"/>
      <x:c r="B114" s="94"/>
      <x:c r="C114" s="94"/>
      <x:c r="D114" s="94"/>
      <x:c r="E114" s="130"/>
      <x:c r="F114" s="130"/>
      <x:c r="G114" s="130"/>
      <x:c r="H114" s="130"/>
      <x:c r="I114" s="94"/>
      <x:c r="J114" s="131"/>
      <x:c r="K114" s="94"/>
      <x:c r="L114" s="94"/>
      <x:c r="M114" s="94"/>
      <x:c r="N114" s="94"/>
      <x:c r="O114" s="94"/>
      <x:c r="P114" s="94"/>
      <x:c r="Q114" s="94"/>
      <x:c r="R114" s="94"/>
      <x:c r="S114" s="94"/>
      <x:c r="T114" s="94"/>
      <x:c r="U114" s="94"/>
      <x:c r="V114" s="94"/>
    </x:row>
    <x:row r="115">
      <x:c r="A115" s="129"/>
      <x:c r="B115" s="94"/>
      <x:c r="C115" s="94"/>
      <x:c r="D115" s="94"/>
      <x:c r="E115" s="130"/>
      <x:c r="F115" s="130"/>
      <x:c r="G115" s="130"/>
      <x:c r="H115" s="130"/>
      <x:c r="I115" s="94"/>
      <x:c r="J115" s="131"/>
      <x:c r="K115" s="94"/>
      <x:c r="L115" s="94"/>
      <x:c r="M115" s="94"/>
      <x:c r="N115" s="94"/>
      <x:c r="O115" s="94"/>
      <x:c r="P115" s="94"/>
      <x:c r="Q115" s="94"/>
      <x:c r="R115" s="94"/>
      <x:c r="S115" s="94"/>
      <x:c r="T115" s="94"/>
      <x:c r="U115" s="94"/>
      <x:c r="V115" s="94"/>
    </x:row>
    <x:row r="116">
      <x:c r="A116" s="129"/>
      <x:c r="B116" s="94"/>
      <x:c r="C116" s="94"/>
      <x:c r="D116" s="94"/>
      <x:c r="E116" s="130"/>
      <x:c r="F116" s="130"/>
      <x:c r="G116" s="130"/>
      <x:c r="H116" s="130"/>
      <x:c r="I116" s="94"/>
      <x:c r="J116" s="131"/>
      <x:c r="K116" s="94"/>
      <x:c r="L116" s="94"/>
      <x:c r="M116" s="94"/>
      <x:c r="N116" s="94"/>
      <x:c r="O116" s="94"/>
      <x:c r="P116" s="94"/>
      <x:c r="Q116" s="94"/>
      <x:c r="R116" s="94"/>
      <x:c r="S116" s="94"/>
      <x:c r="T116" s="94"/>
      <x:c r="U116" s="94"/>
      <x:c r="V116" s="94"/>
    </x:row>
    <x:row r="117">
      <x:c r="A117" s="129"/>
      <x:c r="B117" s="94"/>
      <x:c r="C117" s="94"/>
      <x:c r="D117" s="94"/>
      <x:c r="E117" s="130"/>
      <x:c r="F117" s="130"/>
      <x:c r="G117" s="130"/>
      <x:c r="H117" s="130"/>
      <x:c r="I117" s="94"/>
      <x:c r="J117" s="131"/>
      <x:c r="K117" s="94"/>
      <x:c r="L117" s="94"/>
      <x:c r="M117" s="94"/>
      <x:c r="N117" s="94"/>
      <x:c r="O117" s="94"/>
      <x:c r="P117" s="94"/>
      <x:c r="Q117" s="94"/>
      <x:c r="R117" s="94"/>
      <x:c r="S117" s="94"/>
      <x:c r="T117" s="94"/>
      <x:c r="U117" s="94"/>
      <x:c r="V117" s="94"/>
    </x:row>
    <x:row r="118">
      <x:c r="A118" s="129"/>
      <x:c r="B118" s="94"/>
      <x:c r="C118" s="94"/>
      <x:c r="D118" s="94"/>
      <x:c r="E118" s="130"/>
      <x:c r="F118" s="130"/>
      <x:c r="G118" s="130"/>
      <x:c r="H118" s="130"/>
      <x:c r="I118" s="94"/>
      <x:c r="J118" s="131"/>
      <x:c r="K118" s="94"/>
      <x:c r="L118" s="94"/>
      <x:c r="M118" s="94"/>
      <x:c r="N118" s="94"/>
      <x:c r="O118" s="94"/>
      <x:c r="P118" s="94"/>
      <x:c r="Q118" s="94"/>
      <x:c r="R118" s="94"/>
      <x:c r="S118" s="94"/>
      <x:c r="T118" s="94"/>
      <x:c r="U118" s="94"/>
      <x:c r="V118" s="94"/>
    </x:row>
    <x:row r="119">
      <x:c r="A119" s="129"/>
      <x:c r="B119" s="94"/>
      <x:c r="C119" s="94"/>
      <x:c r="D119" s="94"/>
      <x:c r="E119" s="130"/>
      <x:c r="F119" s="130"/>
      <x:c r="G119" s="130"/>
      <x:c r="H119" s="130"/>
      <x:c r="I119" s="94"/>
      <x:c r="J119" s="131"/>
      <x:c r="K119" s="94"/>
      <x:c r="L119" s="94"/>
      <x:c r="M119" s="94"/>
      <x:c r="N119" s="94"/>
      <x:c r="O119" s="94"/>
      <x:c r="P119" s="94"/>
      <x:c r="Q119" s="94"/>
      <x:c r="R119" s="94"/>
      <x:c r="S119" s="94"/>
      <x:c r="T119" s="94"/>
      <x:c r="U119" s="94"/>
      <x:c r="V119" s="94"/>
    </x:row>
    <x:row r="120">
      <x:c r="A120" s="129"/>
      <x:c r="B120" s="94"/>
      <x:c r="C120" s="94"/>
      <x:c r="D120" s="94"/>
      <x:c r="E120" s="130"/>
      <x:c r="F120" s="130"/>
      <x:c r="G120" s="130"/>
      <x:c r="H120" s="130"/>
      <x:c r="I120" s="94"/>
      <x:c r="J120" s="131"/>
      <x:c r="K120" s="94"/>
      <x:c r="L120" s="94"/>
      <x:c r="M120" s="94"/>
      <x:c r="N120" s="94"/>
      <x:c r="O120" s="94"/>
      <x:c r="P120" s="94"/>
      <x:c r="Q120" s="94"/>
      <x:c r="R120" s="94"/>
      <x:c r="S120" s="94"/>
      <x:c r="T120" s="94"/>
      <x:c r="U120" s="94"/>
      <x:c r="V120" s="94"/>
    </x:row>
    <x:row r="121">
      <x:c r="A121" s="129"/>
      <x:c r="B121" s="94"/>
      <x:c r="C121" s="94"/>
      <x:c r="D121" s="94"/>
      <x:c r="E121" s="130"/>
      <x:c r="F121" s="130"/>
      <x:c r="G121" s="130"/>
      <x:c r="H121" s="130"/>
      <x:c r="I121" s="94"/>
      <x:c r="J121" s="131"/>
      <x:c r="K121" s="94"/>
      <x:c r="L121" s="94"/>
      <x:c r="M121" s="94"/>
      <x:c r="N121" s="94"/>
      <x:c r="O121" s="94"/>
      <x:c r="P121" s="94"/>
      <x:c r="Q121" s="94"/>
      <x:c r="R121" s="94"/>
      <x:c r="S121" s="94"/>
      <x:c r="T121" s="94"/>
      <x:c r="U121" s="94"/>
      <x:c r="V121" s="94"/>
    </x:row>
    <x:row r="122">
      <x:c r="A122" s="129"/>
      <x:c r="B122" s="94"/>
      <x:c r="C122" s="94"/>
      <x:c r="D122" s="94"/>
      <x:c r="E122" s="130"/>
      <x:c r="F122" s="130"/>
      <x:c r="G122" s="130"/>
      <x:c r="H122" s="130"/>
      <x:c r="I122" s="94"/>
      <x:c r="J122" s="131"/>
      <x:c r="K122" s="94"/>
      <x:c r="L122" s="94"/>
      <x:c r="M122" s="94"/>
      <x:c r="N122" s="94"/>
      <x:c r="O122" s="94"/>
      <x:c r="P122" s="94"/>
      <x:c r="Q122" s="94"/>
      <x:c r="R122" s="94"/>
      <x:c r="S122" s="94"/>
      <x:c r="T122" s="94"/>
      <x:c r="U122" s="94"/>
      <x:c r="V122" s="94"/>
    </x:row>
    <x:row r="123">
      <x:c r="A123" s="129"/>
      <x:c r="B123" s="94"/>
      <x:c r="C123" s="94"/>
      <x:c r="D123" s="94"/>
      <x:c r="E123" s="130"/>
      <x:c r="F123" s="130"/>
      <x:c r="G123" s="130"/>
      <x:c r="H123" s="130"/>
      <x:c r="I123" s="94"/>
      <x:c r="J123" s="131"/>
      <x:c r="K123" s="94"/>
      <x:c r="L123" s="94"/>
      <x:c r="M123" s="94"/>
      <x:c r="N123" s="94"/>
      <x:c r="O123" s="94"/>
      <x:c r="P123" s="94"/>
      <x:c r="Q123" s="94"/>
      <x:c r="R123" s="94"/>
      <x:c r="S123" s="94"/>
      <x:c r="T123" s="94"/>
      <x:c r="U123" s="94"/>
      <x:c r="V123" s="94"/>
    </x:row>
    <x:row r="124">
      <x:c r="A124" s="129"/>
      <x:c r="B124" s="94"/>
      <x:c r="C124" s="94"/>
      <x:c r="D124" s="94"/>
      <x:c r="E124" s="130"/>
      <x:c r="F124" s="130"/>
      <x:c r="G124" s="130"/>
      <x:c r="H124" s="130"/>
      <x:c r="I124" s="94"/>
      <x:c r="J124" s="131"/>
      <x:c r="K124" s="94"/>
      <x:c r="L124" s="94"/>
      <x:c r="M124" s="94"/>
      <x:c r="N124" s="94"/>
      <x:c r="O124" s="94"/>
      <x:c r="P124" s="94"/>
      <x:c r="Q124" s="94"/>
      <x:c r="R124" s="94"/>
      <x:c r="S124" s="94"/>
      <x:c r="T124" s="94"/>
      <x:c r="U124" s="94"/>
      <x:c r="V124" s="94"/>
    </x:row>
    <x:row r="125">
      <x:c r="A125" s="129"/>
      <x:c r="B125" s="94"/>
      <x:c r="C125" s="94"/>
      <x:c r="D125" s="94"/>
      <x:c r="E125" s="130"/>
      <x:c r="F125" s="130"/>
      <x:c r="G125" s="130"/>
      <x:c r="H125" s="130"/>
      <x:c r="I125" s="94"/>
      <x:c r="J125" s="131"/>
      <x:c r="K125" s="94"/>
      <x:c r="L125" s="94"/>
      <x:c r="M125" s="94"/>
      <x:c r="N125" s="94"/>
      <x:c r="O125" s="94"/>
      <x:c r="P125" s="94"/>
      <x:c r="Q125" s="94"/>
      <x:c r="R125" s="94"/>
      <x:c r="S125" s="94"/>
      <x:c r="T125" s="94"/>
      <x:c r="U125" s="94"/>
      <x:c r="V125" s="94"/>
    </x:row>
    <x:row r="126">
      <x:c r="A126" s="129"/>
      <x:c r="B126" s="94"/>
      <x:c r="C126" s="94"/>
      <x:c r="D126" s="94"/>
      <x:c r="E126" s="130"/>
      <x:c r="F126" s="130"/>
      <x:c r="G126" s="130"/>
      <x:c r="H126" s="130"/>
      <x:c r="I126" s="94"/>
      <x:c r="J126" s="131"/>
      <x:c r="K126" s="94"/>
      <x:c r="L126" s="94"/>
      <x:c r="M126" s="94"/>
      <x:c r="N126" s="94"/>
      <x:c r="O126" s="94"/>
      <x:c r="P126" s="94"/>
      <x:c r="Q126" s="94"/>
      <x:c r="R126" s="94"/>
      <x:c r="S126" s="94"/>
      <x:c r="T126" s="94"/>
      <x:c r="U126" s="94"/>
      <x:c r="V126" s="94"/>
    </x:row>
    <x:row r="127">
      <x:c r="A127" s="129"/>
      <x:c r="B127" s="94"/>
      <x:c r="C127" s="94"/>
      <x:c r="D127" s="94"/>
      <x:c r="E127" s="130"/>
      <x:c r="F127" s="130"/>
      <x:c r="G127" s="130"/>
      <x:c r="H127" s="130"/>
      <x:c r="I127" s="94"/>
      <x:c r="J127" s="131"/>
      <x:c r="K127" s="94"/>
      <x:c r="L127" s="94"/>
      <x:c r="M127" s="94"/>
      <x:c r="N127" s="94"/>
      <x:c r="O127" s="94"/>
      <x:c r="P127" s="94"/>
      <x:c r="Q127" s="94"/>
      <x:c r="R127" s="94"/>
      <x:c r="S127" s="94"/>
      <x:c r="T127" s="94"/>
      <x:c r="U127" s="94"/>
      <x:c r="V127" s="94"/>
    </x:row>
    <x:row r="128">
      <x:c r="A128" s="129"/>
      <x:c r="B128" s="94"/>
      <x:c r="C128" s="94"/>
      <x:c r="D128" s="94"/>
      <x:c r="E128" s="130"/>
      <x:c r="F128" s="130"/>
      <x:c r="G128" s="130"/>
      <x:c r="H128" s="130"/>
      <x:c r="I128" s="94"/>
      <x:c r="J128" s="131"/>
      <x:c r="K128" s="94"/>
      <x:c r="L128" s="94"/>
      <x:c r="M128" s="94"/>
      <x:c r="N128" s="94"/>
      <x:c r="O128" s="94"/>
      <x:c r="P128" s="94"/>
      <x:c r="Q128" s="94"/>
      <x:c r="R128" s="94"/>
      <x:c r="S128" s="94"/>
      <x:c r="T128" s="94"/>
      <x:c r="U128" s="94"/>
      <x:c r="V128" s="94"/>
    </x:row>
    <x:row r="129">
      <x:c r="A129" s="129"/>
      <x:c r="B129" s="94"/>
      <x:c r="C129" s="94"/>
      <x:c r="D129" s="94"/>
      <x:c r="E129" s="130"/>
      <x:c r="F129" s="130"/>
      <x:c r="G129" s="130"/>
      <x:c r="H129" s="130"/>
      <x:c r="I129" s="94"/>
      <x:c r="J129" s="131"/>
      <x:c r="K129" s="94"/>
      <x:c r="L129" s="94"/>
      <x:c r="M129" s="94"/>
      <x:c r="N129" s="94"/>
      <x:c r="O129" s="94"/>
      <x:c r="P129" s="94"/>
      <x:c r="Q129" s="94"/>
      <x:c r="R129" s="94"/>
      <x:c r="S129" s="94"/>
      <x:c r="T129" s="94"/>
      <x:c r="U129" s="94"/>
      <x:c r="V129" s="94"/>
    </x:row>
    <x:row r="130">
      <x:c r="A130" s="129"/>
      <x:c r="B130" s="94"/>
      <x:c r="C130" s="94"/>
      <x:c r="D130" s="94"/>
      <x:c r="E130" s="130"/>
      <x:c r="F130" s="130"/>
      <x:c r="G130" s="130"/>
      <x:c r="H130" s="130"/>
      <x:c r="I130" s="94"/>
      <x:c r="J130" s="131"/>
      <x:c r="K130" s="94"/>
      <x:c r="L130" s="94"/>
      <x:c r="M130" s="94"/>
      <x:c r="N130" s="94"/>
      <x:c r="O130" s="94"/>
      <x:c r="P130" s="94"/>
      <x:c r="Q130" s="94"/>
      <x:c r="R130" s="94"/>
      <x:c r="S130" s="94"/>
      <x:c r="T130" s="94"/>
      <x:c r="U130" s="94"/>
      <x:c r="V130" s="94"/>
    </x:row>
    <x:row r="131">
      <x:c r="A131" s="129"/>
      <x:c r="B131" s="94"/>
      <x:c r="C131" s="94"/>
      <x:c r="D131" s="94"/>
      <x:c r="E131" s="130"/>
      <x:c r="F131" s="130"/>
      <x:c r="G131" s="130"/>
      <x:c r="H131" s="130"/>
      <x:c r="I131" s="94"/>
      <x:c r="J131" s="131"/>
      <x:c r="K131" s="94"/>
      <x:c r="L131" s="94"/>
      <x:c r="M131" s="94"/>
      <x:c r="N131" s="94"/>
      <x:c r="O131" s="94"/>
      <x:c r="P131" s="94"/>
      <x:c r="Q131" s="94"/>
      <x:c r="R131" s="94"/>
      <x:c r="S131" s="94"/>
      <x:c r="T131" s="94"/>
      <x:c r="U131" s="94"/>
      <x:c r="V131" s="94"/>
    </x:row>
    <x:row r="132">
      <x:c r="A132" s="129"/>
      <x:c r="B132" s="94"/>
      <x:c r="C132" s="94"/>
      <x:c r="D132" s="94"/>
      <x:c r="E132" s="130"/>
      <x:c r="F132" s="130"/>
      <x:c r="G132" s="130"/>
      <x:c r="H132" s="130"/>
      <x:c r="I132" s="94"/>
      <x:c r="J132" s="131"/>
      <x:c r="K132" s="94"/>
      <x:c r="L132" s="94"/>
      <x:c r="M132" s="94"/>
      <x:c r="N132" s="94"/>
      <x:c r="O132" s="94"/>
      <x:c r="P132" s="94"/>
      <x:c r="Q132" s="94"/>
      <x:c r="R132" s="94"/>
      <x:c r="S132" s="94"/>
      <x:c r="T132" s="94"/>
      <x:c r="U132" s="94"/>
      <x:c r="V132" s="94"/>
    </x:row>
    <x:row r="133">
      <x:c r="A133" s="129"/>
      <x:c r="B133" s="94"/>
      <x:c r="C133" s="94"/>
      <x:c r="D133" s="94"/>
      <x:c r="E133" s="130"/>
      <x:c r="F133" s="130"/>
      <x:c r="G133" s="130"/>
      <x:c r="H133" s="130"/>
      <x:c r="I133" s="94"/>
      <x:c r="J133" s="131"/>
      <x:c r="K133" s="94"/>
      <x:c r="L133" s="94"/>
      <x:c r="M133" s="94"/>
      <x:c r="N133" s="94"/>
      <x:c r="O133" s="94"/>
      <x:c r="P133" s="94"/>
      <x:c r="Q133" s="94"/>
      <x:c r="R133" s="94"/>
      <x:c r="S133" s="94"/>
      <x:c r="T133" s="94"/>
      <x:c r="U133" s="94"/>
      <x:c r="V133" s="94"/>
    </x:row>
    <x:row r="134">
      <x:c r="A134" s="129"/>
      <x:c r="B134" s="94"/>
      <x:c r="C134" s="94"/>
      <x:c r="D134" s="94"/>
      <x:c r="E134" s="130"/>
      <x:c r="F134" s="130"/>
      <x:c r="G134" s="130"/>
      <x:c r="H134" s="130"/>
      <x:c r="I134" s="94"/>
      <x:c r="J134" s="131"/>
      <x:c r="K134" s="94"/>
      <x:c r="L134" s="94"/>
      <x:c r="M134" s="94"/>
      <x:c r="N134" s="94"/>
      <x:c r="O134" s="94"/>
      <x:c r="P134" s="94"/>
      <x:c r="Q134" s="94"/>
      <x:c r="R134" s="94"/>
      <x:c r="S134" s="94"/>
      <x:c r="T134" s="94"/>
      <x:c r="U134" s="94"/>
      <x:c r="V134" s="94"/>
    </x:row>
    <x:row r="135">
      <x:c r="A135" s="129"/>
      <x:c r="B135" s="94"/>
      <x:c r="C135" s="94"/>
      <x:c r="D135" s="94"/>
      <x:c r="E135" s="130"/>
      <x:c r="F135" s="130"/>
      <x:c r="G135" s="130"/>
      <x:c r="H135" s="130"/>
      <x:c r="I135" s="94"/>
      <x:c r="J135" s="131"/>
      <x:c r="K135" s="94"/>
      <x:c r="L135" s="94"/>
      <x:c r="M135" s="94"/>
      <x:c r="N135" s="94"/>
      <x:c r="O135" s="94"/>
      <x:c r="P135" s="94"/>
      <x:c r="Q135" s="94"/>
      <x:c r="R135" s="94"/>
      <x:c r="S135" s="94"/>
      <x:c r="T135" s="94"/>
      <x:c r="U135" s="94"/>
      <x:c r="V135" s="94"/>
    </x:row>
    <x:row r="136">
      <x:c r="A136" s="129"/>
      <x:c r="B136" s="94"/>
      <x:c r="C136" s="94"/>
      <x:c r="D136" s="94"/>
      <x:c r="E136" s="130"/>
      <x:c r="F136" s="130"/>
      <x:c r="G136" s="130"/>
      <x:c r="H136" s="130"/>
      <x:c r="I136" s="94"/>
      <x:c r="J136" s="131"/>
      <x:c r="K136" s="94"/>
      <x:c r="L136" s="94"/>
      <x:c r="M136" s="94"/>
      <x:c r="N136" s="94"/>
      <x:c r="O136" s="94"/>
      <x:c r="P136" s="94"/>
      <x:c r="Q136" s="94"/>
      <x:c r="R136" s="94"/>
      <x:c r="S136" s="94"/>
      <x:c r="T136" s="94"/>
      <x:c r="U136" s="94"/>
      <x:c r="V136" s="94"/>
    </x:row>
    <x:row r="137">
      <x:c r="A137" s="129"/>
      <x:c r="B137" s="94"/>
      <x:c r="C137" s="94"/>
      <x:c r="D137" s="94"/>
      <x:c r="E137" s="130"/>
      <x:c r="F137" s="130"/>
      <x:c r="G137" s="130"/>
      <x:c r="H137" s="130"/>
      <x:c r="I137" s="94"/>
      <x:c r="J137" s="131"/>
      <x:c r="K137" s="94"/>
      <x:c r="L137" s="94"/>
      <x:c r="M137" s="94"/>
      <x:c r="N137" s="94"/>
      <x:c r="O137" s="94"/>
      <x:c r="P137" s="94"/>
      <x:c r="Q137" s="94"/>
      <x:c r="R137" s="94"/>
      <x:c r="S137" s="94"/>
      <x:c r="T137" s="94"/>
      <x:c r="U137" s="94"/>
      <x:c r="V137" s="94"/>
    </x:row>
    <x:row r="138">
      <x:c r="A138" s="129"/>
      <x:c r="B138" s="94"/>
      <x:c r="C138" s="94"/>
      <x:c r="D138" s="94"/>
      <x:c r="E138" s="130"/>
      <x:c r="F138" s="130"/>
      <x:c r="G138" s="130"/>
      <x:c r="H138" s="130"/>
      <x:c r="I138" s="94"/>
      <x:c r="J138" s="131"/>
      <x:c r="K138" s="94"/>
      <x:c r="L138" s="94"/>
      <x:c r="M138" s="94"/>
      <x:c r="N138" s="94"/>
      <x:c r="O138" s="94"/>
      <x:c r="P138" s="94"/>
      <x:c r="Q138" s="94"/>
      <x:c r="R138" s="94"/>
      <x:c r="S138" s="94"/>
      <x:c r="T138" s="94"/>
      <x:c r="U138" s="94"/>
      <x:c r="V138" s="94"/>
    </x:row>
    <x:row r="139">
      <x:c r="A139" s="129"/>
      <x:c r="B139" s="94"/>
      <x:c r="C139" s="94"/>
      <x:c r="D139" s="94"/>
      <x:c r="E139" s="130"/>
      <x:c r="F139" s="130"/>
      <x:c r="G139" s="130"/>
      <x:c r="H139" s="130"/>
      <x:c r="I139" s="94"/>
      <x:c r="J139" s="131"/>
      <x:c r="K139" s="94"/>
      <x:c r="L139" s="94"/>
      <x:c r="M139" s="94"/>
      <x:c r="N139" s="94"/>
      <x:c r="O139" s="94"/>
      <x:c r="P139" s="94"/>
      <x:c r="Q139" s="94"/>
      <x:c r="R139" s="94"/>
      <x:c r="S139" s="94"/>
      <x:c r="T139" s="94"/>
      <x:c r="U139" s="94"/>
      <x:c r="V139" s="94"/>
    </x:row>
    <x:row r="140">
      <x:c r="A140" s="129"/>
      <x:c r="B140" s="94"/>
      <x:c r="C140" s="94"/>
      <x:c r="D140" s="94"/>
      <x:c r="E140" s="130"/>
      <x:c r="F140" s="130"/>
      <x:c r="G140" s="130"/>
      <x:c r="H140" s="130"/>
      <x:c r="I140" s="94"/>
      <x:c r="J140" s="131"/>
      <x:c r="K140" s="94"/>
      <x:c r="L140" s="94"/>
      <x:c r="M140" s="94"/>
      <x:c r="N140" s="94"/>
      <x:c r="O140" s="94"/>
      <x:c r="P140" s="94"/>
      <x:c r="Q140" s="94"/>
      <x:c r="R140" s="94"/>
      <x:c r="S140" s="94"/>
      <x:c r="T140" s="94"/>
      <x:c r="U140" s="94"/>
      <x:c r="V140" s="94"/>
    </x:row>
    <x:row r="141">
      <x:c r="A141" s="129"/>
      <x:c r="B141" s="94"/>
      <x:c r="C141" s="94"/>
      <x:c r="D141" s="94"/>
      <x:c r="E141" s="130"/>
      <x:c r="F141" s="130"/>
      <x:c r="G141" s="130"/>
      <x:c r="H141" s="130"/>
      <x:c r="I141" s="94"/>
      <x:c r="J141" s="131"/>
      <x:c r="K141" s="94"/>
      <x:c r="L141" s="94"/>
      <x:c r="M141" s="94"/>
      <x:c r="N141" s="94"/>
      <x:c r="O141" s="94"/>
      <x:c r="P141" s="94"/>
      <x:c r="Q141" s="94"/>
      <x:c r="R141" s="94"/>
      <x:c r="S141" s="94"/>
      <x:c r="T141" s="94"/>
      <x:c r="U141" s="94"/>
      <x:c r="V141" s="94"/>
    </x:row>
    <x:row r="142">
      <x:c r="A142" s="129"/>
      <x:c r="B142" s="94"/>
      <x:c r="C142" s="94"/>
      <x:c r="D142" s="94"/>
      <x:c r="E142" s="130"/>
      <x:c r="F142" s="130"/>
      <x:c r="G142" s="130"/>
      <x:c r="H142" s="130"/>
      <x:c r="I142" s="94"/>
      <x:c r="J142" s="131"/>
      <x:c r="K142" s="94"/>
      <x:c r="L142" s="94"/>
      <x:c r="M142" s="94"/>
      <x:c r="N142" s="94"/>
      <x:c r="O142" s="94"/>
      <x:c r="P142" s="94"/>
      <x:c r="Q142" s="94"/>
      <x:c r="R142" s="94"/>
      <x:c r="S142" s="94"/>
      <x:c r="T142" s="94"/>
      <x:c r="U142" s="94"/>
      <x:c r="V142" s="94"/>
    </x:row>
    <x:row r="143">
      <x:c r="A143" s="129"/>
      <x:c r="B143" s="94"/>
      <x:c r="C143" s="94"/>
      <x:c r="D143" s="94"/>
      <x:c r="E143" s="130"/>
      <x:c r="F143" s="130"/>
      <x:c r="G143" s="130"/>
      <x:c r="H143" s="130"/>
      <x:c r="I143" s="94"/>
      <x:c r="J143" s="131"/>
      <x:c r="K143" s="94"/>
      <x:c r="L143" s="94"/>
      <x:c r="M143" s="94"/>
      <x:c r="N143" s="94"/>
      <x:c r="O143" s="94"/>
      <x:c r="P143" s="94"/>
      <x:c r="Q143" s="94"/>
      <x:c r="R143" s="94"/>
      <x:c r="S143" s="94"/>
      <x:c r="T143" s="94"/>
      <x:c r="U143" s="94"/>
      <x:c r="V143" s="94"/>
    </x:row>
    <x:row r="144">
      <x:c r="A144" s="129"/>
      <x:c r="B144" s="94"/>
      <x:c r="C144" s="94"/>
      <x:c r="D144" s="94"/>
      <x:c r="E144" s="130"/>
      <x:c r="F144" s="130"/>
      <x:c r="G144" s="130"/>
      <x:c r="H144" s="130"/>
      <x:c r="I144" s="94"/>
      <x:c r="J144" s="131"/>
      <x:c r="K144" s="94"/>
      <x:c r="L144" s="94"/>
      <x:c r="M144" s="94"/>
      <x:c r="N144" s="94"/>
      <x:c r="O144" s="94"/>
      <x:c r="P144" s="94"/>
      <x:c r="Q144" s="94"/>
      <x:c r="R144" s="94"/>
      <x:c r="S144" s="94"/>
      <x:c r="T144" s="94"/>
      <x:c r="U144" s="94"/>
      <x:c r="V144" s="94"/>
    </x:row>
    <x:row r="145">
      <x:c r="A145" s="129"/>
      <x:c r="B145" s="94"/>
      <x:c r="C145" s="94"/>
      <x:c r="D145" s="94"/>
      <x:c r="E145" s="130"/>
      <x:c r="F145" s="130"/>
      <x:c r="G145" s="130"/>
      <x:c r="H145" s="130"/>
      <x:c r="I145" s="94"/>
      <x:c r="J145" s="131"/>
      <x:c r="K145" s="94"/>
      <x:c r="L145" s="94"/>
      <x:c r="M145" s="94"/>
      <x:c r="N145" s="94"/>
      <x:c r="O145" s="94"/>
      <x:c r="P145" s="94"/>
      <x:c r="Q145" s="94"/>
      <x:c r="R145" s="94"/>
      <x:c r="S145" s="94"/>
      <x:c r="T145" s="94"/>
      <x:c r="U145" s="94"/>
      <x:c r="V145" s="94"/>
    </x:row>
    <x:row r="146">
      <x:c r="A146" s="129"/>
      <x:c r="B146" s="94"/>
      <x:c r="C146" s="94"/>
      <x:c r="D146" s="94"/>
      <x:c r="E146" s="130"/>
      <x:c r="F146" s="130"/>
      <x:c r="G146" s="130"/>
      <x:c r="H146" s="130"/>
      <x:c r="I146" s="94"/>
      <x:c r="J146" s="131"/>
      <x:c r="K146" s="94"/>
      <x:c r="L146" s="94"/>
      <x:c r="M146" s="94"/>
      <x:c r="N146" s="94"/>
      <x:c r="O146" s="94"/>
      <x:c r="P146" s="94"/>
      <x:c r="Q146" s="94"/>
      <x:c r="R146" s="94"/>
      <x:c r="S146" s="94"/>
      <x:c r="T146" s="94"/>
      <x:c r="U146" s="94"/>
      <x:c r="V146" s="94"/>
    </x:row>
    <x:row r="147">
      <x:c r="A147" s="129"/>
      <x:c r="B147" s="94"/>
      <x:c r="C147" s="94"/>
      <x:c r="D147" s="94"/>
      <x:c r="E147" s="130"/>
      <x:c r="F147" s="130"/>
      <x:c r="G147" s="130"/>
      <x:c r="H147" s="130"/>
      <x:c r="I147" s="94"/>
      <x:c r="J147" s="131"/>
      <x:c r="K147" s="94"/>
      <x:c r="L147" s="94"/>
      <x:c r="M147" s="94"/>
      <x:c r="N147" s="94"/>
      <x:c r="O147" s="94"/>
      <x:c r="P147" s="94"/>
      <x:c r="Q147" s="94"/>
      <x:c r="R147" s="94"/>
      <x:c r="S147" s="94"/>
      <x:c r="T147" s="94"/>
      <x:c r="U147" s="94"/>
      <x:c r="V147" s="94"/>
    </x:row>
    <x:row r="148">
      <x:c r="A148" s="129"/>
      <x:c r="B148" s="94"/>
      <x:c r="C148" s="94"/>
      <x:c r="D148" s="94"/>
      <x:c r="E148" s="130"/>
      <x:c r="F148" s="130"/>
      <x:c r="G148" s="130"/>
      <x:c r="H148" s="130"/>
      <x:c r="I148" s="94"/>
      <x:c r="J148" s="131"/>
      <x:c r="K148" s="94"/>
      <x:c r="L148" s="94"/>
      <x:c r="M148" s="94"/>
      <x:c r="N148" s="94"/>
      <x:c r="O148" s="94"/>
      <x:c r="P148" s="94"/>
      <x:c r="Q148" s="94"/>
      <x:c r="R148" s="94"/>
      <x:c r="S148" s="94"/>
      <x:c r="T148" s="94"/>
      <x:c r="U148" s="94"/>
      <x:c r="V148" s="94"/>
    </x:row>
    <x:row r="149">
      <x:c r="A149" s="129"/>
      <x:c r="B149" s="94"/>
      <x:c r="C149" s="94"/>
      <x:c r="D149" s="94"/>
      <x:c r="E149" s="130"/>
      <x:c r="F149" s="130"/>
      <x:c r="G149" s="130"/>
      <x:c r="H149" s="130"/>
      <x:c r="I149" s="94"/>
      <x:c r="J149" s="131"/>
      <x:c r="K149" s="94"/>
      <x:c r="L149" s="94"/>
      <x:c r="M149" s="94"/>
      <x:c r="N149" s="94"/>
      <x:c r="O149" s="94"/>
      <x:c r="P149" s="94"/>
      <x:c r="Q149" s="94"/>
      <x:c r="R149" s="94"/>
      <x:c r="S149" s="94"/>
      <x:c r="T149" s="94"/>
      <x:c r="U149" s="94"/>
      <x:c r="V149" s="94"/>
    </x:row>
    <x:row r="150">
      <x:c r="A150" s="129"/>
      <x:c r="B150" s="94"/>
      <x:c r="C150" s="94"/>
      <x:c r="D150" s="94"/>
      <x:c r="E150" s="130"/>
      <x:c r="F150" s="130"/>
      <x:c r="G150" s="130"/>
      <x:c r="H150" s="130"/>
      <x:c r="I150" s="94"/>
      <x:c r="J150" s="131"/>
      <x:c r="K150" s="94"/>
      <x:c r="L150" s="94"/>
      <x:c r="M150" s="94"/>
      <x:c r="N150" s="94"/>
      <x:c r="O150" s="94"/>
      <x:c r="P150" s="94"/>
      <x:c r="Q150" s="94"/>
      <x:c r="R150" s="94"/>
      <x:c r="S150" s="94"/>
      <x:c r="T150" s="94"/>
      <x:c r="U150" s="94"/>
      <x:c r="V150" s="94"/>
    </x:row>
    <x:row r="151">
      <x:c r="A151" s="129"/>
      <x:c r="B151" s="94"/>
      <x:c r="C151" s="94"/>
      <x:c r="D151" s="94"/>
      <x:c r="E151" s="130"/>
      <x:c r="F151" s="130"/>
      <x:c r="G151" s="130"/>
      <x:c r="H151" s="130"/>
      <x:c r="I151" s="94"/>
      <x:c r="J151" s="131"/>
      <x:c r="K151" s="94"/>
      <x:c r="L151" s="94"/>
      <x:c r="M151" s="94"/>
      <x:c r="N151" s="94"/>
      <x:c r="O151" s="94"/>
      <x:c r="P151" s="94"/>
      <x:c r="Q151" s="94"/>
      <x:c r="R151" s="94"/>
      <x:c r="S151" s="94"/>
      <x:c r="T151" s="94"/>
      <x:c r="U151" s="94"/>
      <x:c r="V151" s="94"/>
    </x:row>
    <x:row r="152">
      <x:c r="A152" s="129"/>
      <x:c r="B152" s="94"/>
      <x:c r="C152" s="94"/>
      <x:c r="D152" s="94"/>
      <x:c r="E152" s="130"/>
      <x:c r="F152" s="130"/>
      <x:c r="G152" s="130"/>
      <x:c r="H152" s="130"/>
      <x:c r="I152" s="94"/>
      <x:c r="J152" s="131"/>
      <x:c r="K152" s="94"/>
      <x:c r="L152" s="94"/>
      <x:c r="M152" s="94"/>
      <x:c r="N152" s="94"/>
      <x:c r="O152" s="94"/>
      <x:c r="P152" s="94"/>
      <x:c r="Q152" s="94"/>
      <x:c r="R152" s="94"/>
      <x:c r="S152" s="94"/>
      <x:c r="T152" s="94"/>
      <x:c r="U152" s="94"/>
      <x:c r="V152" s="94"/>
    </x:row>
    <x:row r="153">
      <x:c r="A153" s="129"/>
      <x:c r="B153" s="94"/>
      <x:c r="C153" s="94"/>
      <x:c r="D153" s="94"/>
      <x:c r="E153" s="130"/>
      <x:c r="F153" s="130"/>
      <x:c r="G153" s="130"/>
      <x:c r="H153" s="130"/>
      <x:c r="I153" s="94"/>
      <x:c r="J153" s="131"/>
      <x:c r="K153" s="94"/>
      <x:c r="L153" s="94"/>
      <x:c r="M153" s="94"/>
      <x:c r="N153" s="94"/>
      <x:c r="O153" s="94"/>
      <x:c r="P153" s="94"/>
      <x:c r="Q153" s="94"/>
      <x:c r="R153" s="94"/>
      <x:c r="S153" s="94"/>
      <x:c r="T153" s="94"/>
      <x:c r="U153" s="94"/>
      <x:c r="V153" s="94"/>
    </x:row>
    <x:row r="154">
      <x:c r="A154" s="129"/>
      <x:c r="B154" s="94"/>
      <x:c r="C154" s="94"/>
      <x:c r="D154" s="94"/>
      <x:c r="E154" s="130"/>
      <x:c r="F154" s="130"/>
      <x:c r="G154" s="130"/>
      <x:c r="H154" s="130"/>
      <x:c r="I154" s="94"/>
      <x:c r="J154" s="131"/>
      <x:c r="K154" s="94"/>
      <x:c r="L154" s="94"/>
      <x:c r="M154" s="94"/>
      <x:c r="N154" s="94"/>
      <x:c r="O154" s="94"/>
      <x:c r="P154" s="94"/>
      <x:c r="Q154" s="94"/>
      <x:c r="R154" s="94"/>
      <x:c r="S154" s="94"/>
      <x:c r="T154" s="94"/>
      <x:c r="U154" s="94"/>
      <x:c r="V154" s="94"/>
    </x:row>
    <x:row r="155">
      <x:c r="A155" s="129"/>
      <x:c r="B155" s="94"/>
      <x:c r="C155" s="94"/>
      <x:c r="D155" s="94"/>
      <x:c r="E155" s="130"/>
      <x:c r="F155" s="130"/>
      <x:c r="G155" s="130"/>
      <x:c r="H155" s="130"/>
      <x:c r="I155" s="94"/>
      <x:c r="J155" s="131"/>
      <x:c r="K155" s="94"/>
      <x:c r="L155" s="94"/>
      <x:c r="M155" s="94"/>
      <x:c r="N155" s="94"/>
      <x:c r="O155" s="94"/>
      <x:c r="P155" s="94"/>
      <x:c r="Q155" s="94"/>
      <x:c r="R155" s="94"/>
      <x:c r="S155" s="94"/>
      <x:c r="T155" s="94"/>
      <x:c r="U155" s="94"/>
      <x:c r="V155" s="94"/>
    </x:row>
    <x:row r="156">
      <x:c r="A156" s="129"/>
      <x:c r="B156" s="94"/>
      <x:c r="C156" s="94"/>
      <x:c r="D156" s="94"/>
      <x:c r="E156" s="130"/>
      <x:c r="F156" s="130"/>
      <x:c r="G156" s="130"/>
      <x:c r="H156" s="130"/>
      <x:c r="I156" s="94"/>
      <x:c r="J156" s="131"/>
      <x:c r="K156" s="94"/>
      <x:c r="L156" s="94"/>
      <x:c r="M156" s="94"/>
      <x:c r="N156" s="94"/>
      <x:c r="O156" s="94"/>
      <x:c r="P156" s="94"/>
      <x:c r="Q156" s="94"/>
      <x:c r="R156" s="94"/>
      <x:c r="S156" s="94"/>
      <x:c r="T156" s="94"/>
      <x:c r="U156" s="94"/>
      <x:c r="V156" s="94"/>
    </x:row>
    <x:row r="157">
      <x:c r="A157" s="129"/>
      <x:c r="B157" s="94"/>
      <x:c r="C157" s="94"/>
      <x:c r="D157" s="94"/>
      <x:c r="E157" s="130"/>
      <x:c r="F157" s="130"/>
      <x:c r="G157" s="130"/>
      <x:c r="H157" s="130"/>
      <x:c r="I157" s="94"/>
      <x:c r="J157" s="131"/>
      <x:c r="K157" s="94"/>
      <x:c r="L157" s="94"/>
      <x:c r="M157" s="94"/>
      <x:c r="N157" s="94"/>
      <x:c r="O157" s="94"/>
      <x:c r="P157" s="94"/>
      <x:c r="Q157" s="94"/>
      <x:c r="R157" s="94"/>
      <x:c r="S157" s="94"/>
      <x:c r="T157" s="94"/>
      <x:c r="U157" s="94"/>
      <x:c r="V157" s="94"/>
    </x:row>
    <x:row r="158">
      <x:c r="A158" s="129"/>
      <x:c r="B158" s="94"/>
      <x:c r="C158" s="94"/>
      <x:c r="D158" s="94"/>
      <x:c r="E158" s="130"/>
      <x:c r="F158" s="130"/>
      <x:c r="G158" s="130"/>
      <x:c r="H158" s="130"/>
      <x:c r="I158" s="94"/>
      <x:c r="J158" s="131"/>
      <x:c r="K158" s="94"/>
      <x:c r="L158" s="94"/>
      <x:c r="M158" s="94"/>
      <x:c r="N158" s="94"/>
      <x:c r="O158" s="94"/>
      <x:c r="P158" s="94"/>
      <x:c r="Q158" s="94"/>
      <x:c r="R158" s="94"/>
      <x:c r="S158" s="94"/>
      <x:c r="T158" s="94"/>
      <x:c r="U158" s="94"/>
      <x:c r="V158" s="94"/>
    </x:row>
    <x:row r="159">
      <x:c r="A159" s="129"/>
      <x:c r="B159" s="94"/>
      <x:c r="C159" s="94"/>
      <x:c r="D159" s="94"/>
      <x:c r="E159" s="130"/>
      <x:c r="F159" s="130"/>
      <x:c r="G159" s="130"/>
      <x:c r="H159" s="130"/>
      <x:c r="I159" s="94"/>
      <x:c r="J159" s="131"/>
      <x:c r="K159" s="94"/>
      <x:c r="L159" s="94"/>
      <x:c r="M159" s="94"/>
      <x:c r="N159" s="94"/>
      <x:c r="O159" s="94"/>
      <x:c r="P159" s="94"/>
      <x:c r="Q159" s="94"/>
      <x:c r="R159" s="94"/>
      <x:c r="S159" s="94"/>
      <x:c r="T159" s="94"/>
      <x:c r="U159" s="94"/>
      <x:c r="V159" s="94"/>
    </x:row>
    <x:row r="160">
      <x:c r="A160" s="129"/>
      <x:c r="B160" s="94"/>
      <x:c r="C160" s="94"/>
      <x:c r="D160" s="94"/>
      <x:c r="E160" s="130"/>
      <x:c r="F160" s="130"/>
      <x:c r="G160" s="130"/>
      <x:c r="H160" s="130"/>
      <x:c r="I160" s="94"/>
      <x:c r="J160" s="131"/>
      <x:c r="K160" s="94"/>
      <x:c r="L160" s="94"/>
      <x:c r="M160" s="94"/>
      <x:c r="N160" s="94"/>
      <x:c r="O160" s="94"/>
      <x:c r="P160" s="94"/>
      <x:c r="Q160" s="94"/>
      <x:c r="R160" s="94"/>
      <x:c r="S160" s="94"/>
      <x:c r="T160" s="94"/>
      <x:c r="U160" s="94"/>
      <x:c r="V160" s="94"/>
    </x:row>
    <x:row r="161">
      <x:c r="A161" s="129"/>
      <x:c r="B161" s="94"/>
      <x:c r="C161" s="94"/>
      <x:c r="D161" s="94"/>
      <x:c r="E161" s="130"/>
      <x:c r="F161" s="130"/>
      <x:c r="G161" s="130"/>
      <x:c r="H161" s="130"/>
      <x:c r="I161" s="94"/>
      <x:c r="J161" s="131"/>
      <x:c r="K161" s="94"/>
      <x:c r="L161" s="94"/>
      <x:c r="M161" s="94"/>
      <x:c r="N161" s="94"/>
      <x:c r="O161" s="94"/>
      <x:c r="P161" s="94"/>
      <x:c r="Q161" s="94"/>
      <x:c r="R161" s="94"/>
      <x:c r="S161" s="94"/>
      <x:c r="T161" s="94"/>
      <x:c r="U161" s="94"/>
      <x:c r="V161" s="94"/>
    </x:row>
    <x:row r="162">
      <x:c r="A162" s="129"/>
      <x:c r="B162" s="94"/>
      <x:c r="C162" s="94"/>
      <x:c r="D162" s="94"/>
      <x:c r="E162" s="130"/>
      <x:c r="F162" s="130"/>
      <x:c r="G162" s="130"/>
      <x:c r="H162" s="130"/>
      <x:c r="I162" s="94"/>
      <x:c r="J162" s="131"/>
      <x:c r="K162" s="94"/>
      <x:c r="L162" s="94"/>
      <x:c r="M162" s="94"/>
      <x:c r="N162" s="94"/>
      <x:c r="O162" s="94"/>
      <x:c r="P162" s="94"/>
      <x:c r="Q162" s="94"/>
      <x:c r="R162" s="94"/>
      <x:c r="S162" s="94"/>
      <x:c r="T162" s="94"/>
      <x:c r="U162" s="94"/>
      <x:c r="V162" s="94"/>
    </x:row>
    <x:row r="163">
      <x:c r="A163" s="129"/>
      <x:c r="B163" s="94"/>
      <x:c r="C163" s="94"/>
      <x:c r="D163" s="94"/>
      <x:c r="E163" s="130"/>
      <x:c r="F163" s="130"/>
      <x:c r="G163" s="130"/>
      <x:c r="H163" s="130"/>
      <x:c r="I163" s="94"/>
      <x:c r="J163" s="131"/>
      <x:c r="K163" s="94"/>
      <x:c r="L163" s="94"/>
      <x:c r="M163" s="94"/>
      <x:c r="N163" s="94"/>
      <x:c r="O163" s="94"/>
      <x:c r="P163" s="94"/>
      <x:c r="Q163" s="94"/>
      <x:c r="R163" s="94"/>
      <x:c r="S163" s="94"/>
      <x:c r="T163" s="94"/>
      <x:c r="U163" s="94"/>
      <x:c r="V163" s="94"/>
    </x:row>
    <x:row r="164">
      <x:c r="A164" s="129"/>
      <x:c r="B164" s="94"/>
      <x:c r="C164" s="94"/>
      <x:c r="D164" s="94"/>
      <x:c r="E164" s="130"/>
      <x:c r="F164" s="130"/>
      <x:c r="G164" s="130"/>
      <x:c r="H164" s="130"/>
      <x:c r="I164" s="94"/>
      <x:c r="J164" s="131"/>
      <x:c r="K164" s="94"/>
      <x:c r="L164" s="94"/>
      <x:c r="M164" s="94"/>
      <x:c r="N164" s="94"/>
      <x:c r="O164" s="94"/>
      <x:c r="P164" s="94"/>
      <x:c r="Q164" s="94"/>
      <x:c r="R164" s="94"/>
      <x:c r="S164" s="94"/>
      <x:c r="T164" s="94"/>
      <x:c r="U164" s="94"/>
      <x:c r="V164" s="94"/>
    </x:row>
    <x:row r="165">
      <x:c r="A165" s="129"/>
      <x:c r="B165" s="94"/>
      <x:c r="C165" s="94"/>
      <x:c r="D165" s="94"/>
      <x:c r="E165" s="130"/>
      <x:c r="F165" s="130"/>
      <x:c r="G165" s="130"/>
      <x:c r="H165" s="130"/>
      <x:c r="I165" s="94"/>
      <x:c r="J165" s="131"/>
      <x:c r="K165" s="94"/>
      <x:c r="L165" s="94"/>
      <x:c r="M165" s="94"/>
      <x:c r="N165" s="94"/>
      <x:c r="O165" s="94"/>
      <x:c r="P165" s="94"/>
      <x:c r="Q165" s="94"/>
      <x:c r="R165" s="94"/>
      <x:c r="S165" s="94"/>
      <x:c r="T165" s="94"/>
      <x:c r="U165" s="94"/>
      <x:c r="V165" s="94"/>
    </x:row>
    <x:row r="166">
      <x:c r="A166" s="129"/>
      <x:c r="B166" s="94"/>
      <x:c r="C166" s="94"/>
      <x:c r="D166" s="94"/>
      <x:c r="E166" s="130"/>
      <x:c r="F166" s="130"/>
      <x:c r="G166" s="130"/>
      <x:c r="H166" s="130"/>
      <x:c r="I166" s="94"/>
      <x:c r="J166" s="131"/>
      <x:c r="K166" s="94"/>
      <x:c r="L166" s="94"/>
      <x:c r="M166" s="94"/>
      <x:c r="N166" s="94"/>
      <x:c r="O166" s="94"/>
      <x:c r="P166" s="94"/>
      <x:c r="Q166" s="94"/>
      <x:c r="R166" s="94"/>
      <x:c r="S166" s="94"/>
      <x:c r="T166" s="94"/>
      <x:c r="U166" s="94"/>
      <x:c r="V166" s="94"/>
    </x:row>
    <x:row r="167">
      <x:c r="A167" s="129"/>
      <x:c r="B167" s="94"/>
      <x:c r="C167" s="94"/>
      <x:c r="D167" s="94"/>
      <x:c r="E167" s="130"/>
      <x:c r="F167" s="130"/>
      <x:c r="G167" s="130"/>
      <x:c r="H167" s="130"/>
      <x:c r="I167" s="94"/>
      <x:c r="J167" s="131"/>
      <x:c r="K167" s="94"/>
      <x:c r="L167" s="94"/>
      <x:c r="M167" s="94"/>
      <x:c r="N167" s="94"/>
      <x:c r="O167" s="94"/>
      <x:c r="P167" s="94"/>
      <x:c r="Q167" s="94"/>
      <x:c r="R167" s="94"/>
      <x:c r="S167" s="94"/>
      <x:c r="T167" s="94"/>
      <x:c r="U167" s="94"/>
      <x:c r="V167" s="94"/>
    </x:row>
    <x:row r="168">
      <x:c r="A168" s="129"/>
      <x:c r="B168" s="94"/>
      <x:c r="C168" s="94"/>
      <x:c r="D168" s="94"/>
      <x:c r="E168" s="130"/>
      <x:c r="F168" s="130"/>
      <x:c r="G168" s="130"/>
      <x:c r="H168" s="130"/>
      <x:c r="I168" s="94"/>
      <x:c r="J168" s="131"/>
      <x:c r="K168" s="94"/>
      <x:c r="L168" s="94"/>
      <x:c r="M168" s="94"/>
      <x:c r="N168" s="94"/>
      <x:c r="O168" s="94"/>
      <x:c r="P168" s="94"/>
      <x:c r="Q168" s="94"/>
      <x:c r="R168" s="94"/>
      <x:c r="S168" s="94"/>
      <x:c r="T168" s="94"/>
      <x:c r="U168" s="94"/>
      <x:c r="V168" s="94"/>
    </x:row>
    <x:row r="169">
      <x:c r="A169" s="129"/>
      <x:c r="B169" s="94"/>
      <x:c r="C169" s="94"/>
      <x:c r="D169" s="94"/>
      <x:c r="E169" s="130"/>
      <x:c r="F169" s="130"/>
      <x:c r="G169" s="130"/>
      <x:c r="H169" s="130"/>
      <x:c r="I169" s="94"/>
      <x:c r="J169" s="131"/>
      <x:c r="K169" s="94"/>
      <x:c r="L169" s="94"/>
      <x:c r="M169" s="94"/>
      <x:c r="N169" s="94"/>
      <x:c r="O169" s="94"/>
      <x:c r="P169" s="94"/>
      <x:c r="Q169" s="94"/>
      <x:c r="R169" s="94"/>
      <x:c r="S169" s="94"/>
      <x:c r="T169" s="94"/>
      <x:c r="U169" s="94"/>
      <x:c r="V169" s="94"/>
    </x:row>
    <x:row r="170">
      <x:c r="A170" s="129"/>
      <x:c r="B170" s="94"/>
      <x:c r="C170" s="94"/>
      <x:c r="D170" s="94"/>
      <x:c r="E170" s="130"/>
      <x:c r="F170" s="130"/>
      <x:c r="G170" s="130"/>
      <x:c r="H170" s="130"/>
      <x:c r="I170" s="94"/>
      <x:c r="J170" s="131"/>
      <x:c r="K170" s="94"/>
      <x:c r="L170" s="94"/>
      <x:c r="M170" s="94"/>
      <x:c r="N170" s="94"/>
      <x:c r="O170" s="94"/>
      <x:c r="P170" s="94"/>
      <x:c r="Q170" s="94"/>
      <x:c r="R170" s="94"/>
      <x:c r="S170" s="94"/>
      <x:c r="T170" s="94"/>
      <x:c r="U170" s="94"/>
      <x:c r="V170" s="94"/>
    </x:row>
    <x:row r="171">
      <x:c r="A171" s="129"/>
      <x:c r="B171" s="94"/>
      <x:c r="C171" s="94"/>
      <x:c r="D171" s="94"/>
      <x:c r="E171" s="130"/>
      <x:c r="F171" s="130"/>
      <x:c r="G171" s="130"/>
      <x:c r="H171" s="130"/>
      <x:c r="I171" s="94"/>
      <x:c r="J171" s="131"/>
      <x:c r="K171" s="94"/>
      <x:c r="L171" s="94"/>
      <x:c r="M171" s="94"/>
      <x:c r="N171" s="94"/>
      <x:c r="O171" s="94"/>
      <x:c r="P171" s="94"/>
      <x:c r="Q171" s="94"/>
      <x:c r="R171" s="94"/>
      <x:c r="S171" s="94"/>
      <x:c r="T171" s="94"/>
      <x:c r="U171" s="94"/>
      <x:c r="V171" s="94"/>
    </x:row>
    <x:row r="172">
      <x:c r="A172" s="129"/>
      <x:c r="B172" s="94"/>
      <x:c r="C172" s="94"/>
      <x:c r="D172" s="94"/>
      <x:c r="E172" s="130"/>
      <x:c r="F172" s="130"/>
      <x:c r="G172" s="130"/>
      <x:c r="H172" s="130"/>
      <x:c r="I172" s="94"/>
      <x:c r="J172" s="131"/>
      <x:c r="K172" s="94"/>
      <x:c r="L172" s="94"/>
      <x:c r="M172" s="94"/>
      <x:c r="N172" s="94"/>
      <x:c r="O172" s="94"/>
      <x:c r="P172" s="94"/>
      <x:c r="Q172" s="94"/>
      <x:c r="R172" s="94"/>
      <x:c r="S172" s="94"/>
      <x:c r="T172" s="94"/>
      <x:c r="U172" s="94"/>
      <x:c r="V172" s="94"/>
    </x:row>
    <x:row r="173">
      <x:c r="A173" s="129"/>
      <x:c r="B173" s="94"/>
      <x:c r="C173" s="94"/>
      <x:c r="D173" s="94"/>
      <x:c r="E173" s="130"/>
      <x:c r="F173" s="130"/>
      <x:c r="G173" s="130"/>
      <x:c r="H173" s="130"/>
      <x:c r="I173" s="94"/>
      <x:c r="J173" s="131"/>
      <x:c r="K173" s="94"/>
      <x:c r="L173" s="94"/>
      <x:c r="M173" s="94"/>
      <x:c r="N173" s="94"/>
      <x:c r="O173" s="94"/>
      <x:c r="P173" s="94"/>
      <x:c r="Q173" s="94"/>
      <x:c r="R173" s="94"/>
      <x:c r="S173" s="94"/>
      <x:c r="T173" s="94"/>
      <x:c r="U173" s="94"/>
      <x:c r="V173" s="94"/>
    </x:row>
    <x:row r="174">
      <x:c r="A174" s="129"/>
      <x:c r="B174" s="94"/>
      <x:c r="C174" s="94"/>
      <x:c r="D174" s="94"/>
      <x:c r="E174" s="130"/>
      <x:c r="F174" s="130"/>
      <x:c r="G174" s="130"/>
      <x:c r="H174" s="130"/>
      <x:c r="I174" s="94"/>
      <x:c r="J174" s="131"/>
      <x:c r="K174" s="94"/>
      <x:c r="L174" s="94"/>
      <x:c r="M174" s="94"/>
      <x:c r="N174" s="94"/>
      <x:c r="O174" s="94"/>
      <x:c r="P174" s="94"/>
      <x:c r="Q174" s="94"/>
      <x:c r="R174" s="94"/>
      <x:c r="S174" s="94"/>
      <x:c r="T174" s="94"/>
      <x:c r="U174" s="94"/>
      <x:c r="V174" s="94"/>
    </x:row>
    <x:row r="175">
      <x:c r="A175" s="129"/>
      <x:c r="B175" s="94"/>
      <x:c r="C175" s="94"/>
      <x:c r="D175" s="94"/>
      <x:c r="E175" s="130"/>
      <x:c r="F175" s="130"/>
      <x:c r="G175" s="130"/>
      <x:c r="H175" s="130"/>
      <x:c r="I175" s="94"/>
      <x:c r="J175" s="131"/>
      <x:c r="K175" s="94"/>
      <x:c r="L175" s="94"/>
      <x:c r="M175" s="94"/>
      <x:c r="N175" s="94"/>
      <x:c r="O175" s="94"/>
      <x:c r="P175" s="94"/>
      <x:c r="Q175" s="94"/>
      <x:c r="R175" s="94"/>
      <x:c r="S175" s="94"/>
      <x:c r="T175" s="94"/>
      <x:c r="U175" s="94"/>
      <x:c r="V175" s="94"/>
    </x:row>
    <x:row r="176">
      <x:c r="A176" s="129"/>
      <x:c r="B176" s="94"/>
      <x:c r="C176" s="94"/>
      <x:c r="D176" s="94"/>
      <x:c r="E176" s="130"/>
      <x:c r="F176" s="130"/>
      <x:c r="G176" s="130"/>
      <x:c r="H176" s="130"/>
      <x:c r="I176" s="94"/>
      <x:c r="J176" s="131"/>
      <x:c r="K176" s="94"/>
      <x:c r="L176" s="94"/>
      <x:c r="M176" s="94"/>
      <x:c r="N176" s="94"/>
      <x:c r="O176" s="94"/>
      <x:c r="P176" s="94"/>
      <x:c r="Q176" s="94"/>
      <x:c r="R176" s="94"/>
      <x:c r="S176" s="94"/>
      <x:c r="T176" s="94"/>
      <x:c r="U176" s="94"/>
      <x:c r="V176" s="94"/>
    </x:row>
    <x:row r="177">
      <x:c r="A177" s="129"/>
      <x:c r="B177" s="94"/>
      <x:c r="C177" s="94"/>
      <x:c r="D177" s="94"/>
      <x:c r="E177" s="130"/>
      <x:c r="F177" s="130"/>
      <x:c r="G177" s="130"/>
      <x:c r="H177" s="130"/>
      <x:c r="I177" s="94"/>
      <x:c r="J177" s="131"/>
      <x:c r="K177" s="94"/>
      <x:c r="L177" s="94"/>
      <x:c r="M177" s="94"/>
      <x:c r="N177" s="94"/>
      <x:c r="O177" s="94"/>
      <x:c r="P177" s="94"/>
      <x:c r="Q177" s="94"/>
      <x:c r="R177" s="94"/>
      <x:c r="S177" s="94"/>
      <x:c r="T177" s="94"/>
      <x:c r="U177" s="94"/>
      <x:c r="V177" s="94"/>
    </x:row>
    <x:row r="178">
      <x:c r="A178" s="129"/>
      <x:c r="B178" s="94"/>
      <x:c r="C178" s="94"/>
      <x:c r="D178" s="94"/>
      <x:c r="E178" s="130"/>
      <x:c r="F178" s="130"/>
      <x:c r="G178" s="130"/>
      <x:c r="H178" s="130"/>
      <x:c r="I178" s="94"/>
      <x:c r="J178" s="131"/>
      <x:c r="K178" s="94"/>
      <x:c r="L178" s="94"/>
      <x:c r="M178" s="94"/>
      <x:c r="N178" s="94"/>
      <x:c r="O178" s="94"/>
      <x:c r="P178" s="94"/>
      <x:c r="Q178" s="94"/>
      <x:c r="R178" s="94"/>
      <x:c r="S178" s="94"/>
      <x:c r="T178" s="94"/>
      <x:c r="U178" s="94"/>
      <x:c r="V178" s="94"/>
    </x:row>
    <x:row r="179">
      <x:c r="A179" s="129"/>
      <x:c r="B179" s="94"/>
      <x:c r="C179" s="94"/>
      <x:c r="D179" s="94"/>
      <x:c r="E179" s="130"/>
      <x:c r="F179" s="130"/>
      <x:c r="G179" s="130"/>
      <x:c r="H179" s="130"/>
      <x:c r="I179" s="94"/>
      <x:c r="J179" s="131"/>
      <x:c r="K179" s="94"/>
      <x:c r="L179" s="94"/>
      <x:c r="M179" s="94"/>
      <x:c r="N179" s="94"/>
      <x:c r="O179" s="94"/>
      <x:c r="P179" s="94"/>
      <x:c r="Q179" s="94"/>
      <x:c r="R179" s="94"/>
      <x:c r="S179" s="94"/>
      <x:c r="T179" s="94"/>
      <x:c r="U179" s="94"/>
      <x:c r="V179" s="94"/>
    </x:row>
    <x:row r="180">
      <x:c r="A180" s="129"/>
      <x:c r="B180" s="94"/>
      <x:c r="C180" s="94"/>
      <x:c r="D180" s="94"/>
      <x:c r="E180" s="130"/>
      <x:c r="F180" s="130"/>
      <x:c r="G180" s="130"/>
      <x:c r="H180" s="130"/>
      <x:c r="I180" s="94"/>
      <x:c r="J180" s="131"/>
      <x:c r="K180" s="94"/>
      <x:c r="L180" s="94"/>
      <x:c r="M180" s="94"/>
      <x:c r="N180" s="94"/>
      <x:c r="O180" s="94"/>
      <x:c r="P180" s="94"/>
      <x:c r="Q180" s="94"/>
      <x:c r="R180" s="94"/>
      <x:c r="S180" s="94"/>
      <x:c r="T180" s="94"/>
      <x:c r="U180" s="94"/>
      <x:c r="V180" s="94"/>
    </x:row>
    <x:row r="181">
      <x:c r="A181" s="129"/>
      <x:c r="B181" s="94"/>
      <x:c r="C181" s="94"/>
      <x:c r="D181" s="94"/>
      <x:c r="E181" s="130"/>
      <x:c r="F181" s="130"/>
      <x:c r="G181" s="130"/>
      <x:c r="H181" s="130"/>
      <x:c r="I181" s="94"/>
      <x:c r="J181" s="131"/>
      <x:c r="K181" s="94"/>
      <x:c r="L181" s="94"/>
      <x:c r="M181" s="94"/>
      <x:c r="N181" s="94"/>
      <x:c r="O181" s="94"/>
      <x:c r="P181" s="94"/>
      <x:c r="Q181" s="94"/>
      <x:c r="R181" s="94"/>
      <x:c r="S181" s="94"/>
      <x:c r="T181" s="94"/>
      <x:c r="U181" s="94"/>
      <x:c r="V181" s="94"/>
    </x:row>
    <x:row r="182">
      <x:c r="A182" s="129"/>
      <x:c r="B182" s="94"/>
      <x:c r="C182" s="94"/>
      <x:c r="D182" s="94"/>
      <x:c r="E182" s="130"/>
      <x:c r="F182" s="130"/>
      <x:c r="G182" s="130"/>
      <x:c r="H182" s="130"/>
      <x:c r="I182" s="94"/>
      <x:c r="J182" s="131"/>
      <x:c r="K182" s="94"/>
      <x:c r="L182" s="94"/>
      <x:c r="M182" s="94"/>
      <x:c r="N182" s="94"/>
      <x:c r="O182" s="94"/>
      <x:c r="P182" s="94"/>
      <x:c r="Q182" s="94"/>
      <x:c r="R182" s="94"/>
      <x:c r="S182" s="94"/>
      <x:c r="T182" s="94"/>
      <x:c r="U182" s="94"/>
      <x:c r="V182" s="94"/>
    </x:row>
    <x:row r="183">
      <x:c r="A183" s="129"/>
      <x:c r="B183" s="94"/>
      <x:c r="C183" s="94"/>
      <x:c r="D183" s="94"/>
      <x:c r="E183" s="130"/>
      <x:c r="F183" s="130"/>
      <x:c r="G183" s="130"/>
      <x:c r="H183" s="130"/>
      <x:c r="I183" s="94"/>
      <x:c r="J183" s="131"/>
      <x:c r="K183" s="94"/>
      <x:c r="L183" s="94"/>
      <x:c r="M183" s="94"/>
      <x:c r="N183" s="94"/>
      <x:c r="O183" s="94"/>
      <x:c r="P183" s="94"/>
      <x:c r="Q183" s="94"/>
      <x:c r="R183" s="94"/>
      <x:c r="S183" s="94"/>
      <x:c r="T183" s="94"/>
      <x:c r="U183" s="94"/>
      <x:c r="V183" s="94"/>
    </x:row>
    <x:row r="184">
      <x:c r="A184" s="129"/>
      <x:c r="B184" s="94"/>
      <x:c r="C184" s="94"/>
      <x:c r="D184" s="94"/>
      <x:c r="E184" s="130"/>
      <x:c r="F184" s="130"/>
      <x:c r="G184" s="130"/>
      <x:c r="H184" s="130"/>
      <x:c r="I184" s="94"/>
      <x:c r="J184" s="131"/>
      <x:c r="K184" s="94"/>
      <x:c r="L184" s="94"/>
      <x:c r="M184" s="94"/>
      <x:c r="N184" s="94"/>
      <x:c r="O184" s="94"/>
      <x:c r="P184" s="94"/>
      <x:c r="Q184" s="94"/>
      <x:c r="R184" s="94"/>
      <x:c r="S184" s="94"/>
      <x:c r="T184" s="94"/>
      <x:c r="U184" s="94"/>
      <x:c r="V184" s="94"/>
    </x:row>
    <x:row r="185">
      <x:c r="A185" s="129"/>
      <x:c r="B185" s="94"/>
      <x:c r="C185" s="94"/>
      <x:c r="D185" s="94"/>
      <x:c r="E185" s="130"/>
      <x:c r="F185" s="130"/>
      <x:c r="G185" s="130"/>
      <x:c r="H185" s="130"/>
      <x:c r="I185" s="94"/>
      <x:c r="J185" s="131"/>
      <x:c r="K185" s="94"/>
      <x:c r="L185" s="94"/>
      <x:c r="M185" s="94"/>
      <x:c r="N185" s="94"/>
      <x:c r="O185" s="94"/>
      <x:c r="P185" s="94"/>
      <x:c r="Q185" s="94"/>
      <x:c r="R185" s="94"/>
      <x:c r="S185" s="94"/>
      <x:c r="T185" s="94"/>
      <x:c r="U185" s="94"/>
      <x:c r="V185" s="94"/>
    </x:row>
    <x:row r="186">
      <x:c r="A186" s="129"/>
      <x:c r="B186" s="94"/>
      <x:c r="C186" s="94"/>
      <x:c r="D186" s="94"/>
      <x:c r="E186" s="130"/>
      <x:c r="F186" s="130"/>
      <x:c r="G186" s="130"/>
      <x:c r="H186" s="130"/>
      <x:c r="I186" s="94"/>
      <x:c r="J186" s="131"/>
      <x:c r="K186" s="94"/>
      <x:c r="L186" s="94"/>
      <x:c r="M186" s="94"/>
      <x:c r="N186" s="94"/>
      <x:c r="O186" s="94"/>
      <x:c r="P186" s="94"/>
      <x:c r="Q186" s="94"/>
      <x:c r="R186" s="94"/>
      <x:c r="S186" s="94"/>
      <x:c r="T186" s="94"/>
      <x:c r="U186" s="94"/>
      <x:c r="V186" s="94"/>
    </x:row>
    <x:row r="187">
      <x:c r="A187" s="129"/>
      <x:c r="B187" s="94"/>
      <x:c r="C187" s="94"/>
      <x:c r="D187" s="94"/>
      <x:c r="E187" s="130"/>
      <x:c r="F187" s="130"/>
      <x:c r="G187" s="130"/>
      <x:c r="H187" s="130"/>
      <x:c r="I187" s="94"/>
      <x:c r="J187" s="131"/>
      <x:c r="K187" s="94"/>
      <x:c r="L187" s="94"/>
      <x:c r="M187" s="94"/>
      <x:c r="N187" s="94"/>
      <x:c r="O187" s="94"/>
      <x:c r="P187" s="94"/>
      <x:c r="Q187" s="94"/>
      <x:c r="R187" s="94"/>
      <x:c r="S187" s="94"/>
      <x:c r="T187" s="94"/>
      <x:c r="U187" s="94"/>
      <x:c r="V187" s="94"/>
    </x:row>
    <x:row r="188">
      <x:c r="A188" s="129"/>
      <x:c r="B188" s="94"/>
      <x:c r="C188" s="94"/>
      <x:c r="D188" s="94"/>
      <x:c r="E188" s="130"/>
      <x:c r="F188" s="130"/>
      <x:c r="G188" s="130"/>
      <x:c r="H188" s="130"/>
      <x:c r="I188" s="94"/>
      <x:c r="J188" s="131"/>
      <x:c r="K188" s="94"/>
      <x:c r="L188" s="94"/>
      <x:c r="M188" s="94"/>
      <x:c r="N188" s="94"/>
      <x:c r="O188" s="94"/>
      <x:c r="P188" s="94"/>
      <x:c r="Q188" s="94"/>
      <x:c r="R188" s="94"/>
      <x:c r="S188" s="94"/>
      <x:c r="T188" s="94"/>
      <x:c r="U188" s="94"/>
      <x:c r="V188" s="94"/>
    </x:row>
    <x:row r="189">
      <x:c r="A189" s="129"/>
      <x:c r="B189" s="94"/>
      <x:c r="C189" s="94"/>
      <x:c r="D189" s="94"/>
      <x:c r="E189" s="130"/>
      <x:c r="F189" s="130"/>
      <x:c r="G189" s="130"/>
      <x:c r="H189" s="130"/>
      <x:c r="I189" s="94"/>
      <x:c r="J189" s="131"/>
      <x:c r="K189" s="94"/>
      <x:c r="L189" s="94"/>
      <x:c r="M189" s="94"/>
      <x:c r="N189" s="94"/>
      <x:c r="O189" s="94"/>
      <x:c r="P189" s="94"/>
      <x:c r="Q189" s="94"/>
      <x:c r="R189" s="94"/>
      <x:c r="S189" s="94"/>
      <x:c r="T189" s="94"/>
      <x:c r="U189" s="94"/>
      <x:c r="V189" s="94"/>
    </x:row>
    <x:row r="190">
      <x:c r="A190" s="129"/>
      <x:c r="B190" s="94"/>
      <x:c r="C190" s="94"/>
      <x:c r="D190" s="94"/>
      <x:c r="E190" s="130"/>
      <x:c r="F190" s="130"/>
      <x:c r="G190" s="130"/>
      <x:c r="H190" s="130"/>
      <x:c r="I190" s="94"/>
      <x:c r="J190" s="131"/>
      <x:c r="K190" s="94"/>
      <x:c r="L190" s="94"/>
      <x:c r="M190" s="94"/>
      <x:c r="N190" s="94"/>
      <x:c r="O190" s="94"/>
      <x:c r="P190" s="94"/>
      <x:c r="Q190" s="94"/>
      <x:c r="R190" s="94"/>
      <x:c r="S190" s="94"/>
      <x:c r="T190" s="94"/>
      <x:c r="U190" s="94"/>
      <x:c r="V190" s="94"/>
    </x:row>
    <x:row r="191">
      <x:c r="A191" s="129"/>
      <x:c r="B191" s="94"/>
      <x:c r="C191" s="94"/>
      <x:c r="D191" s="94"/>
      <x:c r="E191" s="130"/>
      <x:c r="F191" s="130"/>
      <x:c r="G191" s="130"/>
      <x:c r="H191" s="130"/>
      <x:c r="I191" s="94"/>
      <x:c r="J191" s="131"/>
      <x:c r="K191" s="94"/>
      <x:c r="L191" s="94"/>
      <x:c r="M191" s="94"/>
      <x:c r="N191" s="94"/>
      <x:c r="O191" s="94"/>
      <x:c r="P191" s="94"/>
      <x:c r="Q191" s="94"/>
      <x:c r="R191" s="94"/>
      <x:c r="S191" s="94"/>
      <x:c r="T191" s="94"/>
      <x:c r="U191" s="94"/>
      <x:c r="V191" s="94"/>
    </x:row>
    <x:row r="192">
      <x:c r="A192" s="129"/>
      <x:c r="B192" s="94"/>
      <x:c r="C192" s="94"/>
      <x:c r="D192" s="94"/>
      <x:c r="E192" s="130"/>
      <x:c r="F192" s="130"/>
      <x:c r="G192" s="130"/>
      <x:c r="H192" s="130"/>
      <x:c r="I192" s="94"/>
      <x:c r="J192" s="131"/>
      <x:c r="K192" s="94"/>
      <x:c r="L192" s="94"/>
      <x:c r="M192" s="94"/>
      <x:c r="N192" s="94"/>
      <x:c r="O192" s="94"/>
      <x:c r="P192" s="94"/>
      <x:c r="Q192" s="94"/>
      <x:c r="R192" s="94"/>
      <x:c r="S192" s="94"/>
      <x:c r="T192" s="94"/>
      <x:c r="U192" s="94"/>
      <x:c r="V192" s="94"/>
    </x:row>
    <x:row r="193">
      <x:c r="A193" s="129"/>
      <x:c r="B193" s="94"/>
      <x:c r="C193" s="94"/>
      <x:c r="D193" s="94"/>
      <x:c r="E193" s="130"/>
      <x:c r="F193" s="130"/>
      <x:c r="G193" s="130"/>
      <x:c r="H193" s="130"/>
      <x:c r="I193" s="94"/>
      <x:c r="J193" s="131"/>
      <x:c r="K193" s="94"/>
      <x:c r="L193" s="94"/>
      <x:c r="M193" s="94"/>
      <x:c r="N193" s="94"/>
      <x:c r="O193" s="94"/>
      <x:c r="P193" s="94"/>
      <x:c r="Q193" s="94"/>
      <x:c r="R193" s="94"/>
      <x:c r="S193" s="94"/>
      <x:c r="T193" s="94"/>
      <x:c r="U193" s="94"/>
      <x:c r="V193" s="94"/>
    </x:row>
    <x:row r="194">
      <x:c r="A194" s="129"/>
      <x:c r="B194" s="94"/>
      <x:c r="C194" s="94"/>
      <x:c r="D194" s="94"/>
      <x:c r="E194" s="130"/>
      <x:c r="F194" s="130"/>
      <x:c r="G194" s="130"/>
      <x:c r="H194" s="130"/>
      <x:c r="I194" s="94"/>
      <x:c r="J194" s="131"/>
      <x:c r="K194" s="94"/>
      <x:c r="L194" s="94"/>
      <x:c r="M194" s="94"/>
      <x:c r="N194" s="94"/>
      <x:c r="O194" s="94"/>
      <x:c r="P194" s="94"/>
      <x:c r="Q194" s="94"/>
      <x:c r="R194" s="94"/>
      <x:c r="S194" s="94"/>
      <x:c r="T194" s="94"/>
      <x:c r="U194" s="94"/>
      <x:c r="V194" s="94"/>
    </x:row>
    <x:row r="195">
      <x:c r="A195" s="129"/>
      <x:c r="B195" s="94"/>
      <x:c r="C195" s="94"/>
      <x:c r="D195" s="94"/>
      <x:c r="E195" s="130"/>
      <x:c r="F195" s="130"/>
      <x:c r="G195" s="130"/>
      <x:c r="H195" s="130"/>
      <x:c r="I195" s="94"/>
      <x:c r="J195" s="131"/>
      <x:c r="K195" s="94"/>
      <x:c r="L195" s="94"/>
      <x:c r="M195" s="94"/>
      <x:c r="N195" s="94"/>
      <x:c r="O195" s="94"/>
      <x:c r="P195" s="94"/>
      <x:c r="Q195" s="94"/>
      <x:c r="R195" s="94"/>
      <x:c r="S195" s="94"/>
      <x:c r="T195" s="94"/>
      <x:c r="U195" s="94"/>
      <x:c r="V195" s="94"/>
    </x:row>
    <x:row r="196">
      <x:c r="A196" s="129"/>
      <x:c r="B196" s="94"/>
      <x:c r="C196" s="94"/>
      <x:c r="D196" s="94"/>
      <x:c r="E196" s="130"/>
      <x:c r="F196" s="130"/>
      <x:c r="G196" s="130"/>
      <x:c r="H196" s="130"/>
      <x:c r="I196" s="94"/>
      <x:c r="J196" s="131"/>
      <x:c r="K196" s="94"/>
      <x:c r="L196" s="94"/>
      <x:c r="M196" s="94"/>
      <x:c r="N196" s="94"/>
      <x:c r="O196" s="94"/>
      <x:c r="P196" s="94"/>
      <x:c r="Q196" s="94"/>
      <x:c r="R196" s="94"/>
      <x:c r="S196" s="94"/>
      <x:c r="T196" s="94"/>
      <x:c r="U196" s="94"/>
      <x:c r="V196" s="94"/>
    </x:row>
    <x:row r="197">
      <x:c r="A197" s="129"/>
      <x:c r="B197" s="94"/>
      <x:c r="C197" s="94"/>
      <x:c r="D197" s="94"/>
      <x:c r="E197" s="130"/>
      <x:c r="F197" s="130"/>
      <x:c r="G197" s="130"/>
      <x:c r="H197" s="130"/>
      <x:c r="I197" s="94"/>
      <x:c r="J197" s="131"/>
      <x:c r="K197" s="94"/>
      <x:c r="L197" s="94"/>
      <x:c r="M197" s="94"/>
      <x:c r="N197" s="94"/>
      <x:c r="O197" s="94"/>
      <x:c r="P197" s="94"/>
      <x:c r="Q197" s="94"/>
      <x:c r="R197" s="94"/>
      <x:c r="S197" s="94"/>
      <x:c r="T197" s="94"/>
      <x:c r="U197" s="94"/>
      <x:c r="V197" s="94"/>
    </x:row>
    <x:row r="198">
      <x:c r="A198" s="129"/>
      <x:c r="B198" s="94"/>
      <x:c r="C198" s="94"/>
      <x:c r="D198" s="94"/>
      <x:c r="E198" s="130"/>
      <x:c r="F198" s="130"/>
      <x:c r="G198" s="130"/>
      <x:c r="H198" s="130"/>
      <x:c r="I198" s="94"/>
      <x:c r="J198" s="131"/>
      <x:c r="K198" s="94"/>
      <x:c r="L198" s="94"/>
      <x:c r="M198" s="94"/>
      <x:c r="N198" s="94"/>
      <x:c r="O198" s="94"/>
      <x:c r="P198" s="94"/>
      <x:c r="Q198" s="94"/>
      <x:c r="R198" s="94"/>
      <x:c r="S198" s="94"/>
      <x:c r="T198" s="94"/>
      <x:c r="U198" s="94"/>
      <x:c r="V198" s="94"/>
    </x:row>
    <x:row r="199">
      <x:c r="A199" s="129"/>
      <x:c r="B199" s="94"/>
      <x:c r="C199" s="94"/>
      <x:c r="D199" s="94"/>
      <x:c r="E199" s="130"/>
      <x:c r="F199" s="130"/>
      <x:c r="G199" s="130"/>
      <x:c r="H199" s="130"/>
      <x:c r="I199" s="94"/>
      <x:c r="J199" s="131"/>
      <x:c r="K199" s="94"/>
      <x:c r="L199" s="94"/>
      <x:c r="M199" s="94"/>
      <x:c r="N199" s="94"/>
      <x:c r="O199" s="94"/>
      <x:c r="P199" s="94"/>
      <x:c r="Q199" s="94"/>
      <x:c r="R199" s="94"/>
      <x:c r="S199" s="94"/>
      <x:c r="T199" s="94"/>
      <x:c r="U199" s="94"/>
      <x:c r="V199" s="94"/>
    </x:row>
    <x:row r="200">
      <x:c r="A200" s="129"/>
      <x:c r="B200" s="94"/>
      <x:c r="C200" s="94"/>
      <x:c r="D200" s="94"/>
      <x:c r="E200" s="130"/>
      <x:c r="F200" s="130"/>
      <x:c r="G200" s="130"/>
      <x:c r="H200" s="130"/>
      <x:c r="I200" s="94"/>
      <x:c r="J200" s="131"/>
      <x:c r="K200" s="94"/>
      <x:c r="L200" s="94"/>
      <x:c r="M200" s="94"/>
      <x:c r="N200" s="94"/>
      <x:c r="O200" s="94"/>
      <x:c r="P200" s="94"/>
      <x:c r="Q200" s="94"/>
      <x:c r="R200" s="94"/>
      <x:c r="S200" s="94"/>
      <x:c r="T200" s="94"/>
      <x:c r="U200" s="94"/>
      <x:c r="V200" s="94"/>
    </x:row>
    <x:row r="201">
      <x:c r="A201" s="129"/>
      <x:c r="B201" s="94"/>
      <x:c r="C201" s="94"/>
      <x:c r="D201" s="94"/>
      <x:c r="E201" s="130"/>
      <x:c r="F201" s="130"/>
      <x:c r="G201" s="130"/>
      <x:c r="H201" s="130"/>
      <x:c r="I201" s="94"/>
      <x:c r="J201" s="131"/>
      <x:c r="K201" s="94"/>
      <x:c r="L201" s="94"/>
      <x:c r="M201" s="94"/>
      <x:c r="N201" s="94"/>
      <x:c r="O201" s="94"/>
      <x:c r="P201" s="94"/>
      <x:c r="Q201" s="94"/>
      <x:c r="R201" s="94"/>
      <x:c r="S201" s="94"/>
      <x:c r="T201" s="94"/>
      <x:c r="U201" s="94"/>
      <x:c r="V201" s="94"/>
    </x:row>
    <x:row r="202">
      <x:c r="A202" s="129"/>
      <x:c r="B202" s="94"/>
      <x:c r="C202" s="94"/>
      <x:c r="D202" s="94"/>
      <x:c r="E202" s="130"/>
      <x:c r="F202" s="130"/>
      <x:c r="G202" s="130"/>
      <x:c r="H202" s="130"/>
      <x:c r="I202" s="94"/>
      <x:c r="J202" s="131"/>
      <x:c r="K202" s="94"/>
      <x:c r="L202" s="94"/>
      <x:c r="M202" s="94"/>
      <x:c r="N202" s="94"/>
      <x:c r="O202" s="94"/>
      <x:c r="P202" s="94"/>
      <x:c r="Q202" s="94"/>
      <x:c r="R202" s="94"/>
      <x:c r="S202" s="94"/>
      <x:c r="T202" s="94"/>
      <x:c r="U202" s="94"/>
      <x:c r="V202" s="94"/>
    </x:row>
    <x:row r="203">
      <x:c r="A203" s="129"/>
      <x:c r="B203" s="94"/>
      <x:c r="C203" s="94"/>
      <x:c r="D203" s="94"/>
      <x:c r="E203" s="130"/>
      <x:c r="F203" s="130"/>
      <x:c r="G203" s="130"/>
      <x:c r="H203" s="130"/>
      <x:c r="I203" s="94"/>
      <x:c r="J203" s="131"/>
      <x:c r="K203" s="94"/>
      <x:c r="L203" s="94"/>
      <x:c r="M203" s="94"/>
      <x:c r="N203" s="94"/>
      <x:c r="O203" s="94"/>
      <x:c r="P203" s="94"/>
      <x:c r="Q203" s="94"/>
      <x:c r="R203" s="94"/>
      <x:c r="S203" s="94"/>
      <x:c r="T203" s="94"/>
      <x:c r="U203" s="94"/>
      <x:c r="V203" s="94"/>
    </x:row>
    <x:row r="204">
      <x:c r="A204" s="129"/>
      <x:c r="B204" s="94"/>
      <x:c r="C204" s="94"/>
      <x:c r="D204" s="94"/>
      <x:c r="E204" s="130"/>
      <x:c r="F204" s="130"/>
      <x:c r="G204" s="130"/>
      <x:c r="H204" s="130"/>
      <x:c r="I204" s="94"/>
      <x:c r="J204" s="131"/>
      <x:c r="K204" s="94"/>
      <x:c r="L204" s="94"/>
      <x:c r="M204" s="94"/>
      <x:c r="N204" s="94"/>
      <x:c r="O204" s="94"/>
      <x:c r="P204" s="94"/>
      <x:c r="Q204" s="94"/>
      <x:c r="R204" s="94"/>
      <x:c r="S204" s="94"/>
      <x:c r="T204" s="94"/>
      <x:c r="U204" s="94"/>
      <x:c r="V204" s="94"/>
    </x:row>
    <x:row r="205">
      <x:c r="A205" s="129"/>
      <x:c r="B205" s="94"/>
      <x:c r="C205" s="94"/>
      <x:c r="D205" s="94"/>
      <x:c r="E205" s="130"/>
      <x:c r="F205" s="130"/>
      <x:c r="G205" s="130"/>
      <x:c r="H205" s="130"/>
      <x:c r="I205" s="94"/>
      <x:c r="J205" s="131"/>
      <x:c r="K205" s="94"/>
      <x:c r="L205" s="94"/>
      <x:c r="M205" s="94"/>
      <x:c r="N205" s="94"/>
      <x:c r="O205" s="94"/>
      <x:c r="P205" s="94"/>
      <x:c r="Q205" s="94"/>
      <x:c r="R205" s="94"/>
      <x:c r="S205" s="94"/>
      <x:c r="T205" s="94"/>
      <x:c r="U205" s="94"/>
      <x:c r="V205" s="94"/>
    </x:row>
    <x:row r="206">
      <x:c r="A206" s="129"/>
      <x:c r="B206" s="94"/>
      <x:c r="C206" s="94"/>
      <x:c r="D206" s="94"/>
      <x:c r="E206" s="130"/>
      <x:c r="F206" s="130"/>
      <x:c r="G206" s="130"/>
      <x:c r="H206" s="130"/>
      <x:c r="I206" s="94"/>
      <x:c r="J206" s="131"/>
      <x:c r="K206" s="94"/>
      <x:c r="L206" s="94"/>
      <x:c r="M206" s="94"/>
      <x:c r="N206" s="94"/>
      <x:c r="O206" s="94"/>
      <x:c r="P206" s="94"/>
      <x:c r="Q206" s="94"/>
      <x:c r="R206" s="94"/>
      <x:c r="S206" s="94"/>
      <x:c r="T206" s="94"/>
      <x:c r="U206" s="94"/>
      <x:c r="V206" s="94"/>
    </x:row>
    <x:row r="207">
      <x:c r="A207" s="129"/>
      <x:c r="B207" s="94"/>
      <x:c r="C207" s="94"/>
      <x:c r="D207" s="94"/>
      <x:c r="E207" s="130"/>
      <x:c r="F207" s="130"/>
      <x:c r="G207" s="130"/>
      <x:c r="H207" s="130"/>
      <x:c r="I207" s="94"/>
      <x:c r="J207" s="131"/>
      <x:c r="K207" s="94"/>
      <x:c r="L207" s="94"/>
      <x:c r="M207" s="94"/>
      <x:c r="N207" s="94"/>
      <x:c r="O207" s="94"/>
      <x:c r="P207" s="94"/>
      <x:c r="Q207" s="94"/>
      <x:c r="R207" s="94"/>
      <x:c r="S207" s="94"/>
      <x:c r="T207" s="94"/>
      <x:c r="U207" s="94"/>
      <x:c r="V207" s="94"/>
    </x:row>
    <x:row r="208">
      <x:c r="A208" s="129"/>
      <x:c r="B208" s="94"/>
      <x:c r="C208" s="94"/>
      <x:c r="D208" s="94"/>
      <x:c r="E208" s="130"/>
      <x:c r="F208" s="130"/>
      <x:c r="G208" s="130"/>
      <x:c r="H208" s="130"/>
      <x:c r="I208" s="94"/>
      <x:c r="J208" s="131"/>
      <x:c r="K208" s="94"/>
      <x:c r="L208" s="94"/>
      <x:c r="M208" s="94"/>
      <x:c r="N208" s="94"/>
      <x:c r="O208" s="94"/>
      <x:c r="P208" s="94"/>
      <x:c r="Q208" s="94"/>
      <x:c r="R208" s="94"/>
      <x:c r="S208" s="94"/>
      <x:c r="T208" s="94"/>
      <x:c r="U208" s="94"/>
      <x:c r="V208" s="94"/>
    </x:row>
    <x:row r="209">
      <x:c r="A209" s="129"/>
      <x:c r="B209" s="94"/>
      <x:c r="C209" s="94"/>
      <x:c r="D209" s="94"/>
      <x:c r="E209" s="130"/>
      <x:c r="F209" s="130"/>
      <x:c r="G209" s="130"/>
      <x:c r="H209" s="130"/>
      <x:c r="I209" s="94"/>
      <x:c r="J209" s="131"/>
      <x:c r="K209" s="94"/>
      <x:c r="L209" s="94"/>
      <x:c r="M209" s="94"/>
      <x:c r="N209" s="94"/>
      <x:c r="O209" s="94"/>
      <x:c r="P209" s="94"/>
      <x:c r="Q209" s="94"/>
      <x:c r="R209" s="94"/>
      <x:c r="S209" s="94"/>
      <x:c r="T209" s="94"/>
      <x:c r="U209" s="94"/>
      <x:c r="V209" s="94"/>
    </x:row>
    <x:row r="210">
      <x:c r="A210" s="129"/>
      <x:c r="B210" s="94"/>
      <x:c r="C210" s="94"/>
      <x:c r="D210" s="94"/>
      <x:c r="E210" s="130"/>
      <x:c r="F210" s="130"/>
      <x:c r="G210" s="130"/>
      <x:c r="H210" s="130"/>
      <x:c r="I210" s="94"/>
      <x:c r="J210" s="131"/>
      <x:c r="K210" s="94"/>
      <x:c r="L210" s="94"/>
      <x:c r="M210" s="94"/>
      <x:c r="N210" s="94"/>
      <x:c r="O210" s="94"/>
      <x:c r="P210" s="94"/>
      <x:c r="Q210" s="94"/>
      <x:c r="R210" s="94"/>
      <x:c r="S210" s="94"/>
      <x:c r="T210" s="94"/>
      <x:c r="U210" s="94"/>
      <x:c r="V210" s="94"/>
    </x:row>
    <x:row r="211">
      <x:c r="A211" s="129"/>
      <x:c r="B211" s="94"/>
      <x:c r="C211" s="94"/>
      <x:c r="D211" s="94"/>
      <x:c r="E211" s="130"/>
      <x:c r="F211" s="130"/>
      <x:c r="G211" s="130"/>
      <x:c r="H211" s="130"/>
      <x:c r="I211" s="94"/>
      <x:c r="J211" s="131"/>
      <x:c r="K211" s="94"/>
      <x:c r="L211" s="94"/>
      <x:c r="M211" s="94"/>
      <x:c r="N211" s="94"/>
      <x:c r="O211" s="94"/>
      <x:c r="P211" s="94"/>
      <x:c r="Q211" s="94"/>
      <x:c r="R211" s="94"/>
      <x:c r="S211" s="94"/>
      <x:c r="T211" s="94"/>
      <x:c r="U211" s="94"/>
      <x:c r="V211" s="94"/>
    </x:row>
    <x:row r="212">
      <x:c r="A212" s="129"/>
      <x:c r="B212" s="94"/>
      <x:c r="C212" s="94"/>
      <x:c r="D212" s="94"/>
      <x:c r="E212" s="130"/>
      <x:c r="F212" s="130"/>
      <x:c r="G212" s="130"/>
      <x:c r="H212" s="130"/>
      <x:c r="I212" s="94"/>
      <x:c r="J212" s="131"/>
      <x:c r="K212" s="94"/>
      <x:c r="L212" s="94"/>
      <x:c r="M212" s="94"/>
      <x:c r="N212" s="94"/>
      <x:c r="O212" s="94"/>
      <x:c r="P212" s="94"/>
      <x:c r="Q212" s="94"/>
      <x:c r="R212" s="94"/>
      <x:c r="S212" s="94"/>
      <x:c r="T212" s="94"/>
      <x:c r="U212" s="94"/>
      <x:c r="V212" s="94"/>
    </x:row>
    <x:row r="213">
      <x:c r="A213" s="129"/>
      <x:c r="B213" s="94"/>
      <x:c r="C213" s="94"/>
      <x:c r="D213" s="94"/>
      <x:c r="E213" s="130"/>
      <x:c r="F213" s="130"/>
      <x:c r="G213" s="130"/>
      <x:c r="H213" s="130"/>
      <x:c r="I213" s="94"/>
      <x:c r="J213" s="131"/>
      <x:c r="K213" s="94"/>
      <x:c r="L213" s="94"/>
      <x:c r="M213" s="94"/>
      <x:c r="N213" s="94"/>
      <x:c r="O213" s="94"/>
      <x:c r="P213" s="94"/>
      <x:c r="Q213" s="94"/>
      <x:c r="R213" s="94"/>
      <x:c r="S213" s="94"/>
      <x:c r="T213" s="94"/>
      <x:c r="U213" s="94"/>
      <x:c r="V213" s="94"/>
    </x:row>
    <x:row r="214">
      <x:c r="A214" s="129"/>
      <x:c r="B214" s="94"/>
      <x:c r="C214" s="94"/>
      <x:c r="D214" s="94"/>
      <x:c r="E214" s="130"/>
      <x:c r="F214" s="130"/>
      <x:c r="G214" s="130"/>
      <x:c r="H214" s="130"/>
      <x:c r="I214" s="94"/>
      <x:c r="J214" s="131"/>
      <x:c r="K214" s="94"/>
      <x:c r="L214" s="94"/>
      <x:c r="M214" s="94"/>
      <x:c r="N214" s="94"/>
      <x:c r="O214" s="94"/>
      <x:c r="P214" s="94"/>
      <x:c r="Q214" s="94"/>
      <x:c r="R214" s="94"/>
      <x:c r="S214" s="94"/>
      <x:c r="T214" s="94"/>
      <x:c r="U214" s="94"/>
      <x:c r="V214" s="94"/>
    </x:row>
    <x:row r="215">
      <x:c r="A215" s="129"/>
      <x:c r="B215" s="94"/>
      <x:c r="C215" s="94"/>
      <x:c r="D215" s="94"/>
      <x:c r="E215" s="130"/>
      <x:c r="F215" s="130"/>
      <x:c r="G215" s="130"/>
      <x:c r="H215" s="130"/>
      <x:c r="I215" s="94"/>
      <x:c r="J215" s="131"/>
      <x:c r="K215" s="94"/>
      <x:c r="L215" s="94"/>
      <x:c r="M215" s="94"/>
      <x:c r="N215" s="94"/>
      <x:c r="O215" s="94"/>
      <x:c r="P215" s="94"/>
      <x:c r="Q215" s="94"/>
      <x:c r="R215" s="94"/>
      <x:c r="S215" s="94"/>
      <x:c r="T215" s="94"/>
      <x:c r="U215" s="94"/>
      <x:c r="V215" s="94"/>
    </x:row>
    <x:row r="216">
      <x:c r="A216" s="129"/>
      <x:c r="B216" s="94"/>
      <x:c r="C216" s="94"/>
      <x:c r="D216" s="94"/>
      <x:c r="E216" s="130"/>
      <x:c r="F216" s="130"/>
      <x:c r="G216" s="130"/>
      <x:c r="H216" s="130"/>
      <x:c r="I216" s="94"/>
      <x:c r="J216" s="131"/>
      <x:c r="K216" s="94"/>
      <x:c r="L216" s="94"/>
      <x:c r="M216" s="94"/>
      <x:c r="N216" s="94"/>
      <x:c r="O216" s="94"/>
      <x:c r="P216" s="94"/>
      <x:c r="Q216" s="94"/>
      <x:c r="R216" s="94"/>
      <x:c r="S216" s="94"/>
      <x:c r="T216" s="94"/>
      <x:c r="U216" s="94"/>
      <x:c r="V216" s="94"/>
    </x:row>
    <x:row r="217">
      <x:c r="A217" s="129"/>
      <x:c r="B217" s="94"/>
      <x:c r="C217" s="94"/>
      <x:c r="D217" s="94"/>
      <x:c r="E217" s="130"/>
      <x:c r="F217" s="130"/>
      <x:c r="G217" s="130"/>
      <x:c r="H217" s="130"/>
      <x:c r="I217" s="94"/>
      <x:c r="J217" s="131"/>
      <x:c r="K217" s="94"/>
      <x:c r="L217" s="94"/>
      <x:c r="M217" s="94"/>
      <x:c r="N217" s="94"/>
      <x:c r="O217" s="94"/>
      <x:c r="P217" s="94"/>
      <x:c r="Q217" s="94"/>
      <x:c r="R217" s="94"/>
      <x:c r="S217" s="94"/>
      <x:c r="T217" s="94"/>
      <x:c r="U217" s="94"/>
      <x:c r="V217" s="94"/>
    </x:row>
    <x:row r="218">
      <x:c r="A218" s="129"/>
      <x:c r="B218" s="94"/>
      <x:c r="C218" s="94"/>
      <x:c r="D218" s="94"/>
      <x:c r="E218" s="130"/>
      <x:c r="F218" s="130"/>
      <x:c r="G218" s="130"/>
      <x:c r="H218" s="130"/>
      <x:c r="I218" s="94"/>
      <x:c r="J218" s="131"/>
      <x:c r="K218" s="94"/>
      <x:c r="L218" s="94"/>
      <x:c r="M218" s="94"/>
      <x:c r="N218" s="94"/>
      <x:c r="O218" s="94"/>
      <x:c r="P218" s="94"/>
      <x:c r="Q218" s="94"/>
      <x:c r="R218" s="94"/>
      <x:c r="S218" s="94"/>
      <x:c r="T218" s="94"/>
      <x:c r="U218" s="94"/>
      <x:c r="V218" s="94"/>
    </x:row>
    <x:row r="219">
      <x:c r="A219" s="129"/>
      <x:c r="B219" s="94"/>
      <x:c r="C219" s="94"/>
      <x:c r="D219" s="94"/>
      <x:c r="E219" s="130"/>
      <x:c r="F219" s="130"/>
      <x:c r="G219" s="130"/>
      <x:c r="H219" s="130"/>
      <x:c r="I219" s="94"/>
      <x:c r="J219" s="131"/>
      <x:c r="K219" s="94"/>
      <x:c r="L219" s="94"/>
      <x:c r="M219" s="94"/>
      <x:c r="N219" s="94"/>
      <x:c r="O219" s="94"/>
      <x:c r="P219" s="94"/>
      <x:c r="Q219" s="94"/>
      <x:c r="R219" s="94"/>
      <x:c r="S219" s="94"/>
      <x:c r="T219" s="94"/>
      <x:c r="U219" s="94"/>
      <x:c r="V219" s="94"/>
    </x:row>
    <x:row r="220">
      <x:c r="A220" s="129"/>
      <x:c r="B220" s="94"/>
      <x:c r="C220" s="94"/>
      <x:c r="D220" s="94"/>
      <x:c r="E220" s="130"/>
      <x:c r="F220" s="130"/>
      <x:c r="G220" s="130"/>
      <x:c r="H220" s="130"/>
      <x:c r="I220" s="94"/>
      <x:c r="J220" s="131"/>
      <x:c r="K220" s="94"/>
      <x:c r="L220" s="94"/>
      <x:c r="M220" s="94"/>
      <x:c r="N220" s="94"/>
      <x:c r="O220" s="94"/>
      <x:c r="P220" s="94"/>
      <x:c r="Q220" s="94"/>
      <x:c r="R220" s="94"/>
      <x:c r="S220" s="94"/>
      <x:c r="T220" s="94"/>
      <x:c r="U220" s="94"/>
      <x:c r="V220" s="94"/>
    </x:row>
    <x:row r="221">
      <x:c r="A221" s="129"/>
      <x:c r="B221" s="94"/>
      <x:c r="C221" s="94"/>
      <x:c r="D221" s="94"/>
      <x:c r="E221" s="130"/>
      <x:c r="F221" s="130"/>
      <x:c r="G221" s="130"/>
      <x:c r="H221" s="130"/>
      <x:c r="I221" s="94"/>
      <x:c r="J221" s="131"/>
      <x:c r="K221" s="94"/>
      <x:c r="L221" s="94"/>
      <x:c r="M221" s="94"/>
      <x:c r="N221" s="94"/>
      <x:c r="O221" s="94"/>
      <x:c r="P221" s="94"/>
      <x:c r="Q221" s="94"/>
      <x:c r="R221" s="94"/>
      <x:c r="S221" s="94"/>
      <x:c r="T221" s="94"/>
      <x:c r="U221" s="94"/>
      <x:c r="V221" s="94"/>
    </x:row>
  </x:sheetData>
  <x:mergeCells>
    <x:mergeCell ref="A27:A33"/>
    <x:mergeCell ref="B27:B33"/>
    <x:mergeCell ref="B20:B26"/>
    <x:mergeCell ref="A20:A26"/>
    <x:mergeCell ref="C4:D4"/>
    <x:mergeCell ref="A6:A8"/>
    <x:mergeCell ref="B6:B10"/>
    <x:mergeCell ref="A12:A16"/>
    <x:mergeCell ref="B12:B16"/>
  </x:mergeCells>
  <x:dataValidations count="1">
    <x:dataValidation type="list" errorStyle="stop" allowBlank="1" showErrorMessage="1" sqref="I3:I17 I19:I35 I37:I40">
      <x:formula1>"未开始,进行中,已延期,已完成"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42" hidden="0" customWidth="1"/>
    <x:col min="5" max="5" width="46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30" customHeight="1">
      <x:c r="A1" s="133" t="str">
        <x:v>NeuSAR AUTOSAR外包计划工程取证评审</x:v>
      </x:c>
      <x:c r="B1" s="133" t="str">
        <x:v>NeuSAR AUTOSAR外包计划工程取证评审</x:v>
      </x:c>
      <x:c r="C1" s="133" t="str">
        <x:v>NeuSAR AUTOSAR外包计划工程取证评审</x:v>
      </x:c>
      <x:c r="D1" s="133" t="str">
        <x:v>NeuSAR AUTOSAR外包计划工程取证评审</x:v>
      </x:c>
      <x:c r="E1" s="133" t="str">
        <x:v>NeuSAR AUTOSAR外包计划工程取证评审</x:v>
      </x:c>
      <x:c r="F1" s="133" t="str">
        <x:v>NeuSAR AUTOSAR外包计划工程取证评审</x:v>
      </x:c>
      <x:c r="G1" s="133" t="str">
        <x:v>NeuSAR AUTOSAR外包计划工程取证评审</x:v>
      </x:c>
      <x:c r="H1" s="133" t="str">
        <x:v>NeuSAR AUTOSAR外包计划工程取证评审</x:v>
      </x:c>
    </x:row>
    <x:row r="2" ht="36" customHeight="1">
      <x:c r="A2" s="136" t="str">
        <x:v>基于 D:/Project/CR60LightBYD/xxx 与附件实际内容；只输出中立需求、配置事实和验收标准，不复制源码。评审日期：2026-07-17。</x:v>
      </x:c>
      <x:c r="B2" s="136" t="str">
        <x:v>基于 D:/Project/CR60LightBYD/xxx 与附件实际内容；只输出中立需求、配置事实和验收标准，不复制源码。评审日期：2026-07-17。</x:v>
      </x:c>
      <x:c r="C2" s="136" t="str">
        <x:v>基于 D:/Project/CR60LightBYD/xxx 与附件实际内容；只输出中立需求、配置事实和验收标准，不复制源码。评审日期：2026-07-17。</x:v>
      </x:c>
      <x:c r="D2" s="136" t="str">
        <x:v>基于 D:/Project/CR60LightBYD/xxx 与附件实际内容；只输出中立需求、配置事实和验收标准，不复制源码。评审日期：2026-07-17。</x:v>
      </x:c>
      <x:c r="E2" s="136" t="str">
        <x:v>基于 D:/Project/CR60LightBYD/xxx 与附件实际内容；只输出中立需求、配置事实和验收标准，不复制源码。评审日期：2026-07-17。</x:v>
      </x:c>
      <x:c r="F2" s="136" t="str">
        <x:v>基于 D:/Project/CR60LightBYD/xxx 与附件实际内容；只输出中立需求、配置事实和验收标准，不复制源码。评审日期：2026-07-17。</x:v>
      </x:c>
      <x:c r="G2" s="136" t="str">
        <x:v>基于 D:/Project/CR60LightBYD/xxx 与附件实际内容；只输出中立需求、配置事实和验收标准，不复制源码。评审日期：2026-07-17。</x:v>
      </x:c>
      <x:c r="H2" s="136" t="str">
        <x:v>基于 D:/Project/CR60LightBYD/xxx 与附件实际内容；只输出中立需求、配置事实和验收标准，不复制源码。评审日期：2026-07-17。</x:v>
      </x:c>
    </x:row>
    <x:row r="3" ht="30" customHeight="1">
      <x:c r="A3" s="160" t="str">
        <x:v>细化WBS</x:v>
      </x:c>
      <x:c r="B3" s="161" t="n">
        <x:f>COUNTA('02_细化开发计划'!A6:A500)</x:f>
        <x:v>90</x:v>
      </x:c>
      <x:c r="C3" s="161" t="str">
        <x:v>验收用例</x:v>
      </x:c>
      <x:c r="D3" s="161" t="n">
        <x:f>COUNTA('03_验收矩阵'!A6:A500)</x:f>
        <x:v>52</x:v>
      </x:c>
      <x:c r="E3" s="161" t="str">
        <x:v>P0风险</x:v>
      </x:c>
      <x:c r="F3" s="161" t="n">
        <x:f>COUNTIF('08_待确认与风险'!B6:B200,"P0")</x:f>
        <x:v>25</x:v>
      </x:c>
      <x:c r="G3" s="161" t="str">
        <x:v>NvM业务块</x:v>
      </x:c>
      <x:c r="H3" s="162" t="n">
        <x:f>COUNTIF('05_NvM配置详表'!A6:A200,"&gt;=2")</x:f>
        <x:v>103</x:v>
      </x:c>
    </x:row>
    <x:row r="5" ht="32" customHeight="1">
      <x:c r="A5" s="165" t="str">
        <x:v>评审维度</x:v>
      </x:c>
      <x:c r="B5" s="165" t="str">
        <x:v>原计划状态</x:v>
      </x:c>
      <x:c r="C5" s="165" t="str">
        <x:v>评审结果</x:v>
      </x:c>
      <x:c r="D5" s="165" t="str">
        <x:v>必须调整</x:v>
      </x:c>
      <x:c r="E5" s="165" t="str">
        <x:v>实际工程依据</x:v>
      </x:c>
      <x:c r="F5" s="165" t="str">
        <x:v>对排期的影响</x:v>
      </x:c>
      <x:c r="G5" s="165" t="str">
        <x:v>Gate</x:v>
      </x:c>
      <x:c r="H5" s="165" t="str">
        <x:v>优先级</x:v>
      </x:c>
    </x:row>
    <x:row r="6" ht="76" customHeight="1">
      <x:c r="A6" s="171" t="str">
        <x:v>总体分期</x:v>
      </x:c>
      <x:c r="B6" s="171" t="str">
        <x:v>T1主链、T2完善，方向正确。</x:v>
      </x:c>
      <x:c r="C6" s="171" t="str">
        <x:v>保留方向但增加M0和M3。</x:v>
      </x:c>
      <x:c r="D6" s="171" t="str">
        <x:v>M0基线/合规/工具链；M3量产发布闸门。</x:v>
      </x:c>
      <x:c r="E6" s="171" t="str">
        <x:v>当前源码存在RF/构建/生成配置矛盾，不能直接作为唯一需求。</x:v>
      </x:c>
      <x:c r="F6" s="171" t="str">
        <x:v>原11周开发+笼统验收不足；建议M0 2–3周、M1 8–10周、M2 10–12周、M3 4–6周。</x:v>
      </x:c>
      <x:c r="G6" s="171" t="str">
        <x:v>M0/M3</x:v>
      </x:c>
      <x:c r="H6" s="171" t="str">
        <x:v>P0</x:v>
      </x:c>
    </x:row>
    <x:row r="7" ht="76" customHeight="1">
      <x:c r="A7" s="172" t="str">
        <x:v>T1定义</x:v>
      </x:c>
      <x:c r="B7" s="172" t="str">
        <x:v>能配置、编译、最小CAN/IPC即可。</x:v>
      </x:c>
      <x:c r="C7" s="172" t="str">
        <x:v>验收口径过软。</x:v>
      </x:c>
      <x:c r="D7" s="172" t="str">
        <x:v>必须是NORMAL/FUNTEST_OFF真实发波同帧闭环。</x:v>
      </x:c>
      <x:c r="E7" s="172" t="str">
        <x:v>HIL/INJECT绕开发波；主链实际依赖CUDA/CLDA、StbM、IPC、算法适配。</x:v>
      </x:c>
      <x:c r="F7" s="172" t="str">
        <x:v>T1从6周调整为M0后8–10周。</x:v>
      </x:c>
      <x:c r="G7" s="172" t="str">
        <x:v>M1</x:v>
      </x:c>
      <x:c r="H7" s="172" t="str">
        <x:v>P0</x:v>
      </x:c>
    </x:row>
    <x:row r="8" ht="76" customHeight="1">
      <x:c r="A8" s="172" t="str">
        <x:v>M1范围</x:v>
      </x:c>
      <x:c r="B8" s="172" t="str">
        <x:v>把完整NvM/NM/Wdg/诊断都推到T2。</x:v>
      </x:c>
      <x:c r="C8" s="172" t="str">
        <x:v>需要前移最小子集。</x:v>
      </x:c>
      <x:c r="D8" s="172" t="str">
        <x:v>CUDA/CLDA/rbBlock、最小ReadAll、StbM发波同步、PMIC Wdg、关键DEM/DCM前移。</x:v>
      </x:c>
      <x:c r="E8" s="172" t="str">
        <x:v>缺少这些会直接阻断或无法安全运行主链。</x:v>
      </x:c>
      <x:c r="F8" s="172" t="str">
        <x:v>M1任务增加，但降低后续返工。</x:v>
      </x:c>
      <x:c r="G8" s="172" t="str">
        <x:v>M1</x:v>
      </x:c>
      <x:c r="H8" s="172" t="str">
        <x:v>P0</x:v>
      </x:c>
    </x:row>
    <x:row r="9" ht="76" customHeight="1">
      <x:c r="A9" s="172" t="str">
        <x:v>RTE/AUTOSAR方案</x:v>
      </x:c>
      <x:c r="B9" s="172" t="str">
        <x:v>甲方不提供任何AUTOSAR资产。</x:v>
      </x:c>
      <x:c r="C9" s="172" t="str">
        <x:v>边界已明确，不再保留“提供参考ARXML”的选项。</x:v>
      </x:c>
      <x:c r="D9" s="172" t="str">
        <x:v>东软依据中立SRS/ICD/05-07矩阵，自行创建并交付ARXML/ECUC、RTE、OS、BSW和MCAL配置。</x:v>
      </x:c>
      <x:c r="E9" s="172" t="str">
        <x:v>参考生成物只用于甲方内部取证，且存在旧路径/版本痕迹，不适合作为实现输入。</x:v>
      </x:c>
      <x:c r="F9" s="172" t="str">
        <x:v>M0先完成东软工具链、接口设计和干净生成Gate。</x:v>
      </x:c>
      <x:c r="G9" s="172" t="str">
        <x:v>M0</x:v>
      </x:c>
      <x:c r="H9" s="172" t="str">
        <x:v>P0</x:v>
      </x:c>
    </x:row>
    <x:row r="10" ht="76" customHeight="1">
      <x:c r="A10" s="172" t="str">
        <x:v>T2工期</x:v>
      </x:c>
      <x:c r="B10" s="172" t="str">
        <x:v>T1+5周完成完整量产功能。</x:v>
      </x:c>
      <x:c r="C10" s="172" t="str">
        <x:v>显著低估。</x:v>
      </x:c>
      <x:c r="D10" s="172" t="str">
        <x:v>按通信、诊断、NvM/Fee、Dem、生命周期、Wdg、XCP、安全拆包。</x:v>
      </x:c>
      <x:c r="E10" s="172" t="str">
        <x:v>38/70 PDU、687/770 signal、105 NvM、217 Event、48 DID。</x:v>
      </x:c>
      <x:c r="F10" s="172" t="str">
        <x:v>建议10–12周，视输入关闭和人员并行度。</x:v>
      </x:c>
      <x:c r="G10" s="172" t="str">
        <x:v>M2</x:v>
      </x:c>
      <x:c r="H10" s="172" t="str">
        <x:v>P0</x:v>
      </x:c>
    </x:row>
    <x:row r="11" ht="76" customHeight="1">
      <x:c r="A11" s="172" t="str">
        <x:v>Boot</x:v>
      </x:c>
      <x:c r="B11" s="172" t="str">
        <x:v>BT0+9周，需求TBD。</x:v>
      </x:c>
      <x:c r="C11" s="172" t="str">
        <x:v>不能在TBD上承诺。</x:v>
      </x:c>
      <x:c r="D11" s="172" t="str">
        <x:v>独立并行轨，需求冻结后估10–12周；明确HSM/KMS/回滚职责。</x:v>
      </x:c>
      <x:c r="E11" s="172" t="str">
        <x:v>现工程anti-rollback未证实，签名依赖外部KMS。</x:v>
      </x:c>
      <x:c r="F11" s="172" t="str">
        <x:v>不占M1关键路径，但接口需M0冻结。</x:v>
      </x:c>
      <x:c r="G11" s="172" t="str">
        <x:v>BT</x:v>
      </x:c>
      <x:c r="H11" s="172" t="str">
        <x:v>P0</x:v>
      </x:c>
    </x:row>
    <x:row r="12" ht="76" customHeight="1">
      <x:c r="A12" s="172" t="str">
        <x:v>验收</x:v>
      </x:c>
      <x:c r="B12" s="172" t="str">
        <x:v>写“功能正常/自测报告”。</x:v>
      </x:c>
      <x:c r="C12" s="172" t="str">
        <x:v>不可客观签收。</x:v>
      </x:c>
      <x:c r="D12" s="172" t="str">
        <x:v>使用03页刺激—观测—判据矩阵；所有P0项为硬门禁。</x:v>
      </x:c>
      <x:c r="E12" s="172" t="str">
        <x:v>现任务计划缺量化周期、资源、断电、安全和同帧证据。</x:v>
      </x:c>
      <x:c r="F12" s="172" t="str">
        <x:v>M3单列4–6周。</x:v>
      </x:c>
      <x:c r="G12" s="172" t="str">
        <x:v>M1/M2/M3</x:v>
      </x:c>
      <x:c r="H12" s="172" t="str">
        <x:v>P0</x:v>
      </x:c>
    </x:row>
    <x:row r="13" ht="76" customHeight="1">
      <x:c r="A13" s="172" t="str">
        <x:v>IP/交付边界</x:v>
      </x:c>
      <x:c r="B13" s="172" t="str">
        <x:v>目标表述为“一模一样”。</x:v>
      </x:c>
      <x:c r="C13" s="172" t="str">
        <x:v>应改为功能/配置/接口等价。</x:v>
      </x:c>
      <x:c r="D13" s="172" t="str">
        <x:v>Clean-room三组隔离；实现组不接触参考源码、生成C、密钥和未授权商业库。</x:v>
      </x:c>
      <x:c r="E13" s="172" t="str">
        <x:v>用户明确参考源码不能交付。</x:v>
      </x:c>
      <x:c r="F13" s="172" t="str">
        <x:v>M0增加合规审查，不影响合法的黑盒/需求验证。</x:v>
      </x:c>
      <x:c r="G13" s="172" t="str">
        <x:v>M0</x:v>
      </x:c>
      <x:c r="H13" s="172" t="str">
        <x:v>P0</x:v>
      </x:c>
    </x:row>
    <x:row r="15" ht="30" customHeight="1">
      <x:c r="A15" s="173" t="str">
        <x:v>建议主线：M0（2–3周） → M1（8–10周） → M2（10–12周） → M3（4–6周）；Boot在需求冻结后并行10–12周</x:v>
      </x:c>
      <x:c r="B15" s="173"/>
      <x:c r="C15" s="173"/>
      <x:c r="D15" s="173"/>
      <x:c r="E15" s="173"/>
      <x:c r="F15" s="173"/>
      <x:c r="G15" s="173"/>
      <x:c r="H15" s="173"/>
    </x:row>
    <x:row r="16" ht="30" customHeight="1">
      <x:c r="A16" s="176" t="str">
        <x:v>阶段</x:v>
      </x:c>
      <x:c r="B16" s="176" t="str">
        <x:v>核心结果</x:v>
      </x:c>
      <x:c r="C16" s="176" t="str">
        <x:v>不可替代的Gate证据</x:v>
      </x:c>
      <x:c r="D16" s="176" t="str">
        <x:v>建议工期</x:v>
      </x:c>
      <x:c r="E16" s="176" t="str">
        <x:v>原计划</x:v>
      </x:c>
      <x:c r="F16" s="176" t="str">
        <x:v>评审判断</x:v>
      </x:c>
      <x:c r="G16" s="176" t="str">
        <x:v>主要风险</x:v>
      </x:c>
      <x:c r="H16" s="176" t="str">
        <x:v>详见</x:v>
      </x:c>
    </x:row>
    <x:row r="17" ht="58" customHeight="1">
      <x:c r="A17" s="171" t="str">
        <x:v>M0</x:v>
      </x:c>
      <x:c r="B17" s="171" t="str">
        <x:v>合法、可复现、可实现的唯一基线</x:v>
      </x:c>
      <x:c r="C17" s="171" t="str">
        <x:v>Clean-room审计；release/hash；clean build；RF/IPC/接口真值表</x:v>
      </x:c>
      <x:c r="D17" s="171" t="str">
        <x:v>2–3周</x:v>
      </x:c>
      <x:c r="E17" s="171" t="str">
        <x:v>缺失</x:v>
      </x:c>
      <x:c r="F17" s="171" t="str">
        <x:v>新增</x:v>
      </x:c>
      <x:c r="G17" s="171" t="str">
        <x:v>输入、工具、版本、RF矛盾</x:v>
      </x:c>
      <x:c r="H17" s="171" t="str">
        <x:v>01/02/08/09</x:v>
      </x:c>
    </x:row>
    <x:row r="18" ht="58" customHeight="1">
      <x:c r="A18" s="172" t="str">
        <x:v>M1</x:v>
      </x:c>
      <x:c r="B18" s="172" t="str">
        <x:v>真实雷达同帧闭环</x:v>
      </x:c>
      <x:c r="C18" s="172" t="str">
        <x:v>NORMAL/OFF真实发波→M4→IPC→R5→CAN；CUDA/CLDA与故障恢复</x:v>
      </x:c>
      <x:c r="D18" s="172" t="str">
        <x:v>8–10周</x:v>
      </x:c>
      <x:c r="E18" s="172" t="str">
        <x:v>T0+6周</x:v>
      </x:c>
      <x:c r="F18" s="172" t="str">
        <x:v>范围和工期上调</x:v>
      </x:c>
      <x:c r="G18" s="172" t="str">
        <x:v>多核、RF、调度、标定、资源</x:v>
      </x:c>
      <x:c r="H18" s="172" t="str">
        <x:v>02/03/07</x:v>
      </x:c>
    </x:row>
    <x:row r="19" ht="58" customHeight="1">
      <x:c r="A19" s="172" t="str">
        <x:v>M2</x:v>
      </x:c>
      <x:c r="B19" s="172" t="str">
        <x:v>完整量产功能</x:v>
      </x:c>
      <x:c r="C19" s="172" t="str">
        <x:v>全量通信/诊断/NvM/Dem/NM/Wdg/XCP/生命周期配置与自动回归</x:v>
      </x:c>
      <x:c r="D19" s="172" t="str">
        <x:v>10–12周</x:v>
      </x:c>
      <x:c r="E19" s="172" t="str">
        <x:v>T1+5周</x:v>
      </x:c>
      <x:c r="F19" s="172" t="str">
        <x:v>显著低估</x:v>
      </x:c>
      <x:c r="G19" s="172" t="str">
        <x:v>105 NvM、217 Event、48 DID、1457 signals</x:v>
      </x:c>
      <x:c r="H19" s="172" t="str">
        <x:v>02/03/05/06</x:v>
      </x:c>
    </x:row>
    <x:row r="20" ht="58" customHeight="1">
      <x:c r="A20" s="172" t="str">
        <x:v>M3</x:v>
      </x:c>
      <x:c r="B20" s="172" t="str">
        <x:v>可量产发布</x:v>
      </x:c>
      <x:c r="C20" s="172" t="str">
        <x:v>质量/覆盖/断电/安全/车辆/release/SBOM/回退全部硬门禁</x:v>
      </x:c>
      <x:c r="D20" s="172" t="str">
        <x:v>4–6周</x:v>
      </x:c>
      <x:c r="E20" s="172" t="str">
        <x:v>验收T1+8周</x:v>
      </x:c>
      <x:c r="F20" s="172" t="str">
        <x:v>必须单列</x:v>
      </x:c>
      <x:c r="G20" s="172" t="str">
        <x:v>CI/制品/安全/长稳</x:v>
      </x:c>
      <x:c r="H20" s="172" t="str">
        <x:v>02/03/08</x:v>
      </x:c>
    </x:row>
    <x:row r="21" ht="58" customHeight="1">
      <x:c r="A21" s="172" t="str">
        <x:v>BT</x:v>
      </x:c>
      <x:c r="B21" s="172" t="str">
        <x:v>独立Boot量产包</x:v>
      </x:c>
      <x:c r="C21" s="172" t="str">
        <x:v>刷写、签名、掉电恢复、App联调、生命周期</x:v>
      </x:c>
      <x:c r="D21" s="172" t="str">
        <x:v>10–12周</x:v>
      </x:c>
      <x:c r="E21" s="172" t="str">
        <x:v>BT0+9周</x:v>
      </x:c>
      <x:c r="F21" s="172" t="str">
        <x:v>需求冻结后重估</x:v>
      </x:c>
      <x:c r="G21" s="172" t="str">
        <x:v>HSM/KMS/anti-rollback/0x34等TBD</x:v>
      </x:c>
      <x:c r="H21" s="172" t="str">
        <x:v>01/02/03</x:v>
      </x:c>
    </x:row>
    <x:row r="23" ht="44" customHeight="1">
      <x:c r="A23" s="185" t="str">
        <x:v>使用说明：05/06/07页的“工程显式值”是需求提炼证据，不等于未经验证的量产真值；08页P0问题关闭后，才能把对应数值转为正式SRS/ECUC输入。对外合同应写“功能、配置、接口等价”，不写“复制现有源码或内部实现一模一样”。</x:v>
      </x:c>
      <x:c r="B23" s="186"/>
      <x:c r="C23" s="186"/>
      <x:c r="D23" s="186"/>
      <x:c r="E23" s="186"/>
      <x:c r="F23" s="186"/>
      <x:c r="G23" s="186"/>
      <x:c r="H23" s="187"/>
    </x:row>
    <x:row r="24" ht="44" customHeight="1">
      <x:c r="A24" s="188"/>
      <x:c r="B24" s="189"/>
      <x:c r="C24" s="189"/>
      <x:c r="D24" s="189"/>
      <x:c r="E24" s="189"/>
      <x:c r="F24" s="189"/>
      <x:c r="G24" s="189"/>
      <x:c r="H24" s="190"/>
    </x:row>
  </x:sheetData>
  <x:mergeCells>
    <x:mergeCell ref="A1:H1"/>
    <x:mergeCell ref="A2:H2"/>
    <x:mergeCell ref="A15:H15"/>
    <x:mergeCell ref="A23:H24"/>
  </x:mergeCells>
  <x:pageMargins left="0.7" right="0.7" top="0.75" bottom="0.75" header="0.3" footer="0.3"/>
  <x:tableParts count="2">
    <x:tablePart xmlns:r="http://schemas.openxmlformats.org/officeDocument/2006/relationships" r:id="Ra2d7bfd238e94f14"/>
    <x:tablePart xmlns:r="http://schemas.openxmlformats.org/officeDocument/2006/relationships" r:id="R711527dd612a42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52" hidden="0" customWidth="1"/>
    <x:col min="5" max="5" width="42" hidden="0" customWidth="1"/>
    <x:col min="6" max="6" width="48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32" hidden="0" customWidth="1"/>
  </x:cols>
  <x:sheetData>
    <x:row r="1" ht="30" customHeight="1">
      <x:c r="A1" s="133" t="str">
        <x:v>调整后里程碑计划（工程取证版）</x:v>
      </x:c>
      <x:c r="B1" s="133" t="str">
        <x:v>调整后里程碑计划（工程取证版）</x:v>
      </x:c>
      <x:c r="C1" s="133" t="str">
        <x:v>调整后里程碑计划（工程取证版）</x:v>
      </x:c>
      <x:c r="D1" s="133" t="str">
        <x:v>调整后里程碑计划（工程取证版）</x:v>
      </x:c>
      <x:c r="E1" s="133" t="str">
        <x:v>调整后里程碑计划（工程取证版）</x:v>
      </x:c>
      <x:c r="F1" s="133" t="str">
        <x:v>调整后里程碑计划（工程取证版）</x:v>
      </x:c>
      <x:c r="G1" s="133" t="str">
        <x:v>调整后里程碑计划（工程取证版）</x:v>
      </x:c>
      <x:c r="H1" s="133" t="str">
        <x:v>调整后里程碑计划（工程取证版）</x:v>
      </x:c>
      <x:c r="I1" s="133" t="str">
        <x:v>调整后里程碑计划（工程取证版）</x:v>
      </x:c>
      <x:c r="J1" s="133" t="str">
        <x:v>调整后里程碑计划（工程取证版）</x:v>
      </x:c>
      <x:c r="K1" s="133" t="str">
        <x:v>调整后里程碑计划（工程取证版）</x:v>
      </x:c>
    </x:row>
    <x:row r="2" ht="36" customHeight="1">
      <x:c r="A2" s="136" t="str">
        <x:v>工期为风险评估区间，不是未经资源确认的承诺日期。计时前提：M0输入/工具/接口Gate完成。</x:v>
      </x:c>
      <x:c r="B2" s="136" t="str">
        <x:v>工期为风险评估区间，不是未经资源确认的承诺日期。计时前提：M0输入/工具/接口Gate完成。</x:v>
      </x:c>
      <x:c r="C2" s="136" t="str">
        <x:v>工期为风险评估区间，不是未经资源确认的承诺日期。计时前提：M0输入/工具/接口Gate完成。</x:v>
      </x:c>
      <x:c r="D2" s="136" t="str">
        <x:v>工期为风险评估区间，不是未经资源确认的承诺日期。计时前提：M0输入/工具/接口Gate完成。</x:v>
      </x:c>
      <x:c r="E2" s="136" t="str">
        <x:v>工期为风险评估区间，不是未经资源确认的承诺日期。计时前提：M0输入/工具/接口Gate完成。</x:v>
      </x:c>
      <x:c r="F2" s="136" t="str">
        <x:v>工期为风险评估区间，不是未经资源确认的承诺日期。计时前提：M0输入/工具/接口Gate完成。</x:v>
      </x:c>
      <x:c r="G2" s="136" t="str">
        <x:v>工期为风险评估区间，不是未经资源确认的承诺日期。计时前提：M0输入/工具/接口Gate完成。</x:v>
      </x:c>
      <x:c r="H2" s="136" t="str">
        <x:v>工期为风险评估区间，不是未经资源确认的承诺日期。计时前提：M0输入/工具/接口Gate完成。</x:v>
      </x:c>
      <x:c r="I2" s="136" t="str">
        <x:v>工期为风险评估区间，不是未经资源确认的承诺日期。计时前提：M0输入/工具/接口Gate完成。</x:v>
      </x:c>
      <x:c r="J2" s="136" t="str">
        <x:v>工期为风险评估区间，不是未经资源确认的承诺日期。计时前提：M0输入/工具/接口Gate完成。</x:v>
      </x:c>
      <x:c r="K2" s="136" t="str">
        <x:v>工期为风险评估区间，不是未经资源确认的承诺日期。计时前提：M0输入/工具/接口Gate完成。</x:v>
      </x:c>
    </x:row>
    <x:row r="5" ht="34" customHeight="1">
      <x:c r="A5" s="150" t="str">
        <x:v>里程碑ID</x:v>
      </x:c>
      <x:c r="B5" s="151" t="str">
        <x:v>里程碑</x:v>
      </x:c>
      <x:c r="C5" s="151" t="str">
        <x:v>目标</x:v>
      </x:c>
      <x:c r="D5" s="151" t="str">
        <x:v>范围/关键活动</x:v>
      </x:c>
      <x:c r="E5" s="151" t="str">
        <x:v>前置输入</x:v>
      </x:c>
      <x:c r="F5" s="151" t="str">
        <x:v>必须交付物</x:v>
      </x:c>
      <x:c r="G5" s="151" t="str">
        <x:v>退出准则（合同Gate）</x:v>
      </x:c>
      <x:c r="H5" s="151" t="str">
        <x:v>建议工期</x:v>
      </x:c>
      <x:c r="I5" s="151" t="str">
        <x:v>对应原计划</x:v>
      </x:c>
      <x:c r="J5" s="151" t="str">
        <x:v>评审结论</x:v>
      </x:c>
      <x:c r="K5" s="152" t="str">
        <x:v>备注</x:v>
      </x:c>
    </x:row>
    <x:row r="6" ht="88" customHeight="1">
      <x:c r="A6" s="144" t="str">
        <x:v>M0</x:v>
      </x:c>
      <x:c r="B6" s="144" t="str">
        <x:v>基线与接口冻结</x:v>
      </x:c>
      <x:c r="C6" s="144" t="str">
        <x:v>把来源受限工程转成合法、可实现、可验收的中立需求基线。</x:v>
      </x:c>
      <x:c r="D6" s="144" t="str">
        <x:v>合规/clean-room边界；量产版本身份；东软自有AUTOSAR工具链；硬件/变体；M4/RSS/算法接口；黑盒轨迹；需求追踪矩阵。</x:v>
      </x:c>
      <x:c r="E6" s="144" t="str">
        <x:v>量产ECU黑盒结果；RSS/M4 bin；甲方算法/mmWaveLink ASW；OEM批准的中立通信/诊断需求；原理图摘要；甲方接口ICD。</x:v>
      </x:c>
      <x:c r="F6" s="144" t="str">
        <x:v>中立SRS/ICD、版本/hash manifest、东软工具版本矩阵、黑盒golden trace、待决问题清单、RTM。</x:v>
      </x:c>
      <x:c r="G6" s="144" t="str">
        <x:v>全新目录仅依赖允许输入即可生成/编译；所有输入有版本与责任人；P0风险关闭或签署偏差；东软资料库无参考AUTOSAR资产。</x:v>
      </x:c>
      <x:c r="H6" s="144" t="str">
        <x:v>2–3周</x:v>
      </x:c>
      <x:c r="I6" s="144" t="str">
        <x:v>原计划缺失</x:v>
      </x:c>
      <x:c r="J6" s="144" t="str">
        <x:v>必须新增</x:v>
      </x:c>
      <x:c r="K6" s="144" t="str">
        <x:v>未完成M0不得进入M1正式计时。</x:v>
      </x:c>
    </x:row>
    <x:row r="7" ht="88" customHeight="1">
      <x:c r="A7" s="144" t="str">
        <x:v>M1-A</x:v>
      </x:c>
      <x:c r="B7" s="144" t="str">
        <x:v>平台最小Bring-up</x:v>
      </x:c>
      <x:c r="C7" s="144" t="str">
        <x:v>在目标板上建立可调度、可观测、可恢复的MSS平台。</x:v>
      </x:c>
      <x:c r="D7" s="144" t="str">
        <x:v>三核镜像链；startup/linker/MPU/cache；Mcu/Port/Gpt/Can/Spi/Fls/DMA/IPC；EcuM/BswM；OS任务/ISR；RTE/SchM手工接口骨架。</x:v>
      </x:c>
      <x:c r="E7" s="144" t="str">
        <x:v>M0 Gate；板卡/线束/XDS；M4/RSS合法二进制；Pin/clock/memory/IRQ/DMA ownership。</x:v>
      </x:c>
      <x:c r="F7" s="144" t="str">
        <x:v>可复现集成工程、R5 ELF/map、M4/RSS镜像、appimage、启动时序、资源预算、最小CAN收发。</x:v>
      </x:c>
      <x:c r="G7" s="144" t="str">
        <x:v>冷启动100次无死机/OS错误；M4/RSS握手有超时和恢复；任务周期/栈/WCET初测通过；两次clean build结果可追溯。</x:v>
      </x:c>
      <x:c r="H7" s="144" t="str">
        <x:v>3–4周</x:v>
      </x:c>
      <x:c r="I7" s="144" t="str">
        <x:v>T1的一部分</x:v>
      </x:c>
      <x:c r="J7" s="144" t="str">
        <x:v>保留但重构</x:v>
      </x:c>
      <x:c r="K7" s="144" t="str">
        <x:v>不能只以“配置生成成功”验收。</x:v>
      </x:c>
    </x:row>
    <x:row r="8" ht="88" customHeight="1">
      <x:c r="A8" s="144" t="str">
        <x:v>M1-B</x:v>
      </x:c>
      <x:c r="B8" s="144" t="str">
        <x:v>真实雷达主链路</x:v>
      </x:c>
      <x:c r="C8" s="144" t="str">
        <x:v>实现上电→标定→发波→M4→IPC→R5算法→CAN输出的同帧闭环。</x:v>
      </x:c>
      <x:c r="D8" s="144" t="str">
        <x:v>CUDA/CLDA/rbBlock；mmWaveLink/RF；StbM/发波时片；ADCBuf/eDMA；共享内存ABI；算法回调；最小COM；基础DEM/看门狗。</x:v>
      </x:c>
      <x:c r="E8" s="144" t="str">
        <x:v>M1-A；冻结RF参数；甲方M4/算法接口包与golden vector；合法CUDA/CLDA样本；最小CAN矩阵。</x:v>
      </x:c>
      <x:c r="F8" s="144" t="str">
        <x:v>RF/IPC/共享内存ICD、量产参数表、同帧trace、golden对比、异常矩阵、阶段自测报告。</x:v>
      </x:c>
      <x:c r="G8" s="144" t="str">
        <x:v>NORMAL/FUNTEST_OFF真实发波；连续运行；同一frame ID贯通RF/M4/R5/CAN；无永久busy-wait；非法CUDA/CLDA禁止发波并可诊断。</x:v>
      </x:c>
      <x:c r="H8" s="144" t="str">
        <x:v>5–6周</x:v>
      </x:c>
      <x:c r="I8" s="144" t="str">
        <x:v>T1：T0+6周</x:v>
      </x:c>
      <x:c r="J8" s="144" t="str">
        <x:v>目标正确、工期和范围需调整</x:v>
      </x:c>
      <x:c r="K8" s="144" t="str">
        <x:v>M0后M1合计建议8–10周；HIL/注入不能替代此Gate。</x:v>
      </x:c>
    </x:row>
    <x:row r="9" ht="88" customHeight="1">
      <x:c r="A9" s="144" t="str">
        <x:v>M2</x:v>
      </x:c>
      <x:c r="B9" s="144" t="str">
        <x:v>量产功能完备</x:v>
      </x:c>
      <x:c r="C9" s="144" t="str">
        <x:v>补齐OEM集成、诊断、存储、网络管理、安全与服务功能。</x:v>
      </x:c>
      <x:c r="D9" s="144" t="str">
        <x:v>全量CAN/COM/E2E；Nm/CanSM/ComM；完整NvM/Fee；217 Dem事件/59 DTC；48 DID/5 Routine；Wdg策略；XCP量产策略；Boot/HSM接口；上下电/复位。</x:v>
      </x:c>
      <x:c r="E9" s="144" t="str">
        <x:v>M1 Gate；完整OEM/诊断/安全需求；DID/DTC/NvM数据字典；Boot与签名职责；Wdg监控矩阵。</x:v>
      </x:c>
      <x:c r="F9" s="144" t="str">
        <x:v>可编辑配置工程、全部矩阵、配置diff、接口代码、自测源码/报告、KnownIssues。</x:v>
      </x:c>
      <x:c r="G9" s="144" t="str">
        <x:v>全量正负向用例；断电一致性；休眠唤醒/Bus-Off；安全访问；故障持久化；需求↔配置↔测试双向追踪。</x:v>
      </x:c>
      <x:c r="H9" s="144" t="str">
        <x:v>10–12周</x:v>
      </x:c>
      <x:c r="I9" s="144" t="str">
        <x:v>T2：T1+5周</x:v>
      </x:c>
      <x:c r="J9" s="144" t="str">
        <x:v>范围明显低估</x:v>
      </x:c>
      <x:c r="K9" s="144" t="str">
        <x:v>信息安全与功能安全不能只写“待讨论”，应形成输入Gate。</x:v>
      </x:c>
    </x:row>
    <x:row r="10" ht="88" customHeight="1">
      <x:c r="A10" s="144" t="str">
        <x:v>M3</x:v>
      </x:c>
      <x:c r="B10" s="144" t="str">
        <x:v>量产发布闸门</x:v>
      </x:c>
      <x:c r="C10" s="144" t="str">
        <x:v>把“功能完成”与“可量产发布”分离。</x:v>
      </x:c>
      <x:c r="D10" s="144" t="str">
        <x:v>全变体回归；车辆/HIL；电源循环；Flash断电/耐久；总线鲁棒；静态分析；覆盖率；安全测试；可复现release；SBOM/许可证/回退。</x:v>
      </x:c>
      <x:c r="E10" s="144" t="str">
        <x:v>M2 Gate；车辆和台架；发布规范；质量阈值；签名/KMS接口。</x:v>
      </x:c>
      <x:c r="F10" s="144" t="str">
        <x:v>Release manifest、完整制品/hash、测试与质量报告、SBOM、许可证、烧写/回退手顺、培训材料。</x:v>
      </x:c>
      <x:c r="G10" s="144" t="str">
        <x:v>所有硬门禁通过；零未解释高危问题；发布包可从空环境复现；签名与容器校验通过；交付件无空归档。</x:v>
      </x:c>
      <x:c r="H10" s="144" t="str">
        <x:v>4–6周</x:v>
      </x:c>
      <x:c r="I10" s="144" t="str">
        <x:v>“验收 T1+8周”</x:v>
      </x:c>
      <x:c r="J10" s="144" t="str">
        <x:v>必须单列</x:v>
      </x:c>
      <x:c r="K10" s="144" t="str">
        <x:v>原验收节点与T2关系不清。</x:v>
      </x:c>
    </x:row>
    <x:row r="11" ht="88" customHeight="1">
      <x:c r="A11" s="144" t="str">
        <x:v>BT</x:v>
      </x:c>
      <x:c r="B11" s="144" t="str">
        <x:v>Bootloader并行轨</x:v>
      </x:c>
      <x:c r="C11" s="144" t="str">
        <x:v>按冻结的刷新、安全和生命周期需求实现Boot。</x:v>
      </x:c>
      <x:c r="D11" s="144" t="str">
        <x:v>PBL/FBL/容器；诊断编程；warm response；签名/加密接口；回滚策略；断电恢复。</x:v>
      </x:c>
      <x:c r="E11" s="144" t="str">
        <x:v>Boot需求、内存图、HSM/KMS职责、生命周期、反回滚决策。</x:v>
      </x:c>
      <x:c r="F11" s="144" t="str">
        <x:v>Boot源码/配置、容器recipe、unsigned制品、签名请求manifest、刷写/回退手顺和报告。</x:v>
      </x:c>
      <x:c r="G11" s="144" t="str">
        <x:v>正确/错误签名、篡改、截断、掉电、版本降级、HSM异常均有明确行为；禁止泄露密钥。</x:v>
      </x:c>
      <x:c r="H11" s="144" t="str">
        <x:v>需求冻结后10–12周</x:v>
      </x:c>
      <x:c r="I11" s="144" t="str">
        <x:v>BT0+9周</x:v>
      </x:c>
      <x:c r="J11" s="144" t="str">
        <x:v>待需求后重估</x:v>
      </x:c>
      <x:c r="K11" s="144" t="str">
        <x:v>现工程没有可据此承诺的完整anti-rollback。</x:v>
      </x:c>
    </x:row>
    <x:row r="12" ht="88" customHeight="1">
      <x:c r="A12" s="144" t="str">
        <x:v>TR</x:v>
      </x:c>
      <x:c r="B12" s="144" t="str">
        <x:v>培训与移交</x:v>
      </x:c>
      <x:c r="C12" s="144" t="str">
        <x:v>确保甲方可独立生成、构建、调试、配置和发布。</x:v>
      </x:c>
      <x:c r="D12" s="144" t="str">
        <x:v>NeuSAR/RTA/MCAL；配置生成；调试；NvM/诊断/通信；release；故障定位。</x:v>
      </x:c>
      <x:c r="E12" s="144" t="str">
        <x:v>M2或M3候选版本；培训环境与许可。</x:v>
      </x:c>
      <x:c r="F12" s="144" t="str">
        <x:v>不少于2次×4h培训、录屏/课件、实操练习、Q&amp;A关闭记录、维护手册。</x:v>
      </x:c>
      <x:c r="G12" s="144" t="str">
        <x:v>甲方人员在不依赖东软操作的情况下完成clean build、配置变更和回归；问题清单关闭。</x:v>
      </x:c>
      <x:c r="H12" s="144" t="str">
        <x:v>贯穿项目，M3前完成</x:v>
      </x:c>
      <x:c r="I12" s="144" t="str">
        <x:v>培训TBD</x:v>
      </x:c>
      <x:c r="J12" s="144" t="str">
        <x:v>补量化验收</x:v>
      </x:c>
      <x:c r="K12" s="144" t="str">
        <x:v>技术支持SLA另行合同化。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5f480f240304b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26" hidden="0" customWidth="1"/>
    <x:col min="5" max="5" width="52" hidden="0" customWidth="1"/>
    <x:col min="6" max="6" width="42" hidden="0" customWidth="1"/>
    <x:col min="7" max="7" width="38" hidden="0" customWidth="1"/>
    <x:col min="8" max="8" width="18" hidden="0" customWidth="1"/>
    <x:col min="9" max="9" width="22" hidden="0" customWidth="1"/>
    <x:col min="10" max="10" width="42" hidden="0" customWidth="1"/>
    <x:col min="11" max="11" width="52" hidden="0" customWidth="1"/>
    <x:col min="12" max="12" width="10" hidden="0" customWidth="1"/>
    <x:col min="13" max="13" width="14" hidden="0" customWidth="1"/>
    <x:col min="14" max="14" width="12" hidden="0" customWidth="1"/>
    <x:col min="15" max="15" width="22" hidden="0" customWidth="1"/>
    <x:col min="16" max="16" width="42" hidden="0" customWidth="1"/>
  </x:cols>
  <x:sheetData>
    <x:row r="1" ht="30" customHeight="1">
      <x:c r="A1" s="133" t="str">
        <x:v>东软外包细化开发计划（WBS）</x:v>
      </x:c>
      <x:c r="B1" s="133" t="str">
        <x:v>东软外包细化开发计划（WBS）</x:v>
      </x:c>
      <x:c r="C1" s="133" t="str">
        <x:v>东软外包细化开发计划（WBS）</x:v>
      </x:c>
      <x:c r="D1" s="133" t="str">
        <x:v>东软外包细化开发计划（WBS）</x:v>
      </x:c>
      <x:c r="E1" s="133" t="str">
        <x:v>东软外包细化开发计划（WBS）</x:v>
      </x:c>
      <x:c r="F1" s="133" t="str">
        <x:v>东软外包细化开发计划（WBS）</x:v>
      </x:c>
      <x:c r="G1" s="133" t="str">
        <x:v>东软外包细化开发计划（WBS）</x:v>
      </x:c>
      <x:c r="H1" s="133" t="str">
        <x:v>东软外包细化开发计划（WBS）</x:v>
      </x:c>
      <x:c r="I1" s="133" t="str">
        <x:v>东软外包细化开发计划（WBS）</x:v>
      </x:c>
      <x:c r="J1" s="133" t="str">
        <x:v>东软外包细化开发计划（WBS）</x:v>
      </x:c>
      <x:c r="K1" s="133" t="str">
        <x:v>东软外包细化开发计划（WBS）</x:v>
      </x:c>
      <x:c r="L1" s="133" t="str">
        <x:v>东软外包细化开发计划（WBS）</x:v>
      </x:c>
      <x:c r="M1" s="133" t="str">
        <x:v>东软外包细化开发计划（WBS）</x:v>
      </x:c>
      <x:c r="N1" s="133" t="str">
        <x:v>东软外包细化开发计划（WBS）</x:v>
      </x:c>
      <x:c r="O1" s="133" t="str">
        <x:v>东软外包细化开发计划（WBS）</x:v>
      </x:c>
      <x:c r="P1" s="133" t="str">
        <x:v>东软外包细化开发计划（WBS）</x:v>
      </x:c>
    </x:row>
    <x:row r="2" ht="36" customHeight="1">
      <x:c r="A2" s="136" t="str">
        <x:v>责任建议不替代合同责任；“工程现状”均来自只读取证，“需求化结论”需通过M0签署后作为正式输入。</x:v>
      </x:c>
      <x:c r="B2" s="136" t="str">
        <x:v>责任建议不替代合同责任；“工程现状”均来自只读取证，“需求化结论”需通过M0签署后作为正式输入。</x:v>
      </x:c>
      <x:c r="C2" s="136" t="str">
        <x:v>责任建议不替代合同责任；“工程现状”均来自只读取证，“需求化结论”需通过M0签署后作为正式输入。</x:v>
      </x:c>
      <x:c r="D2" s="136" t="str">
        <x:v>责任建议不替代合同责任；“工程现状”均来自只读取证，“需求化结论”需通过M0签署后作为正式输入。</x:v>
      </x:c>
      <x:c r="E2" s="136" t="str">
        <x:v>责任建议不替代合同责任；“工程现状”均来自只读取证，“需求化结论”需通过M0签署后作为正式输入。</x:v>
      </x:c>
      <x:c r="F2" s="136" t="str">
        <x:v>责任建议不替代合同责任；“工程现状”均来自只读取证，“需求化结论”需通过M0签署后作为正式输入。</x:v>
      </x:c>
      <x:c r="G2" s="136" t="str">
        <x:v>责任建议不替代合同责任；“工程现状”均来自只读取证，“需求化结论”需通过M0签署后作为正式输入。</x:v>
      </x:c>
      <x:c r="H2" s="136" t="str">
        <x:v>责任建议不替代合同责任；“工程现状”均来自只读取证，“需求化结论”需通过M0签署后作为正式输入。</x:v>
      </x:c>
      <x:c r="I2" s="136" t="str">
        <x:v>责任建议不替代合同责任；“工程现状”均来自只读取证，“需求化结论”需通过M0签署后作为正式输入。</x:v>
      </x:c>
      <x:c r="J2" s="136" t="str">
        <x:v>责任建议不替代合同责任；“工程现状”均来自只读取证，“需求化结论”需通过M0签署后作为正式输入。</x:v>
      </x:c>
      <x:c r="K2" s="136" t="str">
        <x:v>责任建议不替代合同责任；“工程现状”均来自只读取证，“需求化结论”需通过M0签署后作为正式输入。</x:v>
      </x:c>
      <x:c r="L2" s="136" t="str">
        <x:v>责任建议不替代合同责任；“工程现状”均来自只读取证，“需求化结论”需通过M0签署后作为正式输入。</x:v>
      </x:c>
      <x:c r="M2" s="136" t="str">
        <x:v>责任建议不替代合同责任；“工程现状”均来自只读取证，“需求化结论”需通过M0签署后作为正式输入。</x:v>
      </x:c>
      <x:c r="N2" s="136" t="str">
        <x:v>责任建议不替代合同责任；“工程现状”均来自只读取证，“需求化结论”需通过M0签署后作为正式输入。</x:v>
      </x:c>
      <x:c r="O2" s="136" t="str">
        <x:v>责任建议不替代合同责任；“工程现状”均来自只读取证，“需求化结论”需通过M0签署后作为正式输入。</x:v>
      </x:c>
      <x:c r="P2" s="136" t="str">
        <x:v>责任建议不替代合同责任；“工程现状”均来自只读取证，“需求化结论”需通过M0签署后作为正式输入。</x:v>
      </x:c>
    </x:row>
    <x:row r="5" ht="34" customHeight="1">
      <x:c r="A5" s="150" t="str">
        <x:v>WBS ID</x:v>
      </x:c>
      <x:c r="B5" s="151" t="str">
        <x:v>阶段</x:v>
      </x:c>
      <x:c r="C5" s="151" t="str">
        <x:v>工作流</x:v>
      </x:c>
      <x:c r="D5" s="151" t="str">
        <x:v>任务名称</x:v>
      </x:c>
      <x:c r="E5" s="151" t="str">
        <x:v>详细需求/工作内容</x:v>
      </x:c>
      <x:c r="F5" s="151" t="str">
        <x:v>工程现状或取证事实</x:v>
      </x:c>
      <x:c r="G5" s="151" t="str">
        <x:v>甲方/第三方输入</x:v>
      </x:c>
      <x:c r="H5" s="151" t="str">
        <x:v>责任建议</x:v>
      </x:c>
      <x:c r="I5" s="151" t="str">
        <x:v>前置依赖</x:v>
      </x:c>
      <x:c r="J5" s="151" t="str">
        <x:v>交付物</x:v>
      </x:c>
      <x:c r="K5" s="151" t="str">
        <x:v>验收方法与判据</x:v>
      </x:c>
      <x:c r="L5" s="151" t="str">
        <x:v>优先级</x:v>
      </x:c>
      <x:c r="M5" s="151" t="str">
        <x:v>建议工期(工作日)</x:v>
      </x:c>
      <x:c r="N5" s="151" t="str">
        <x:v>状态</x:v>
      </x:c>
      <x:c r="O5" s="151" t="str">
        <x:v>原计划映射</x:v>
      </x:c>
      <x:c r="P5" s="152" t="str">
        <x:v>主要证据</x:v>
      </x:c>
    </x:row>
    <x:row r="6" ht="82" customHeight="1">
      <x:c r="A6" s="144" t="str">
        <x:v>M0-01</x:v>
      </x:c>
      <x:c r="B6" s="144" t="str">
        <x:v>M0</x:v>
      </x:c>
      <x:c r="C6" s="144" t="str">
        <x:v>合规/IP</x:v>
      </x:c>
      <x:c r="D6" s="144" t="str">
        <x:v>Clean-room边界与授权审查</x:v>
      </x:c>
      <x:c r="E6" s="144" t="str">
        <x:v>建立参考组、实现组、独立验证组；定义允许披露的需求、接口、黑盒轨迹及禁止披露的源码/密钥/商业库。</x:v>
      </x:c>
      <x:c r="F6" s="144" t="str">
        <x:v>参考工程来源受限，不能交给外包方。</x:v>
      </x:c>
      <x:c r="G6" s="144" t="str">
        <x:v>授权链、第三方许可证、法务意见。</x:v>
      </x:c>
      <x:c r="H6" s="144" t="str">
        <x:v>双方/法务</x:v>
      </x:c>
      <x:c r="I6" s="144" t="str">
        <x:v>无</x:v>
      </x:c>
      <x:c r="J6" s="144" t="str">
        <x:v>边界协议、人员/资料访问矩阵、证据台账模板。</x:v>
      </x:c>
      <x:c r="K6" s="144" t="str">
        <x:v>实现组资料库抽查无参考源码/生成C/私钥；每份输入有批准记录。</x:v>
      </x:c>
      <x:c r="L6" s="144" t="str">
        <x:v>P0</x:v>
      </x:c>
      <x:c r="M6" s="153" t="n">
        <x:v>3</x:v>
      </x:c>
      <x:c r="N6" s="144" t="str">
        <x:v>未开始</x:v>
      </x:c>
      <x:c r="O6" s="144" t="str">
        <x:v>原计划缺失</x:v>
      </x:c>
      <x:c r="P6" s="144" t="str">
        <x:v>AGENTS.md安全提示；工程含商业BSW/HSM/KMS资产</x:v>
      </x:c>
    </x:row>
    <x:row r="7" ht="82" customHeight="1">
      <x:c r="A7" s="144" t="str">
        <x:v>M0-02</x:v>
      </x:c>
      <x:c r="B7" s="144" t="str">
        <x:v>M0</x:v>
      </x:c>
      <x:c r="C7" s="144" t="str">
        <x:v>版本基线</x:v>
      </x:c>
      <x:c r="D7" s="144" t="str">
        <x:v>量产Release Manifest</x:v>
      </x:c>
      <x:c r="E7" s="144" t="str">
        <x:v>甲方内部冻结参考ECU/烧录件/配置证据；对东软只发布允许的RSS/M4 bin、算法/mmWaveLink ASW及中立需求的版本/hash；区分DEVELOP/SERIES。</x:v>
      </x:c>
      <x:c r="F7" s="144" t="str">
        <x:v>参考快照的BYD调用为DEVELOP/KL15/FUNTEST_OFF/SYMMETRY，不能证明量产SERIES身份。</x:v>
      </x:c>
      <x:c r="G7" s="144" t="str">
        <x:v>量产ECU黑盒版本、允许输入文件及批准记录。</x:v>
      </x:c>
      <x:c r="H7" s="144" t="str">
        <x:v>我方</x:v>
      </x:c>
      <x:c r="I7" s="144" t="str">
        <x:v>M0-01</x:v>
      </x:c>
      <x:c r="J7" s="144" t="str">
        <x:v>对外输入manifest与内部证据manifest（隔离保存）。</x:v>
      </x:c>
      <x:c r="K7" s="144" t="str">
        <x:v>参考ECU行为可由中立用例复现；东软收到的每个允许文件hash与manifest一致。</x:v>
      </x:c>
      <x:c r="L7" s="144" t="str">
        <x:v>P0</x:v>
      </x:c>
      <x:c r="M7" s="153" t="n">
        <x:v>3</x:v>
      </x:c>
      <x:c r="N7" s="144" t="str">
        <x:v>未开始</x:v>
      </x:c>
      <x:c r="O7" s="144" t="str">
        <x:v>需求解析</x:v>
      </x:c>
      <x:c r="P7" s="144" t="str">
        <x:v>coem/BYD_UKE/buildscripts/build.bat:61</x:v>
      </x:c>
    </x:row>
    <x:row r="8" ht="82" customHeight="1">
      <x:c r="A8" s="144" t="str">
        <x:v>M0-03</x:v>
      </x:c>
      <x:c r="B8" s="144" t="str">
        <x:v>M0</x:v>
      </x:c>
      <x:c r="C8" s="144" t="str">
        <x:v>需求基线</x:v>
      </x:c>
      <x:c r="D8" s="144" t="str">
        <x:v>硬件/变体矩阵冻结</x:v>
      </x:c>
      <x:c r="E8" s="144" t="str">
        <x:v>冻结AWR2E44P、W25Q32、LP87745、TCAN1043、四角位置、KL30/KL15、天线/车型/生命周期及构建矩阵。</x:v>
      </x:c>
      <x:c r="F8" s="144" t="str">
        <x:v>当前工程和附件存在型号/目标OEM/构建变体表述差异。</x:v>
      </x:c>
      <x:c r="G8" s="144" t="str">
        <x:v>BOM、原理图、Pin map、样件矩阵。</x:v>
      </x:c>
      <x:c r="H8" s="144" t="str">
        <x:v>我方</x:v>
      </x:c>
      <x:c r="I8" s="144" t="str">
        <x:v>M0-02</x:v>
      </x:c>
      <x:c r="J8" s="144" t="str">
        <x:v>硬件与变体配置矩阵。</x:v>
      </x:c>
      <x:c r="K8" s="144" t="str">
        <x:v>每个变体均有唯一宏组合、Pin/clock/CAN/RF/标定/输出映射。</x:v>
      </x:c>
      <x:c r="L8" s="144" t="str">
        <x:v>P0</x:v>
      </x:c>
      <x:c r="M8" s="153" t="n">
        <x:v>4</x:v>
      </x:c>
      <x:c r="N8" s="144" t="str">
        <x:v>未开始</x:v>
      </x:c>
      <x:c r="O8" s="144" t="str">
        <x:v>需求解析</x:v>
      </x:c>
      <x:c r="P8" s="144" t="str">
        <x:v>settings.py:8,30-45；项目信息Sheet</x:v>
      </x:c>
    </x:row>
    <x:row r="9" ht="82" customHeight="1">
      <x:c r="A9" s="144" t="str">
        <x:v>M0-04</x:v>
      </x:c>
      <x:c r="B9" s="144" t="str">
        <x:v>M0</x:v>
      </x:c>
      <x:c r="C9" s="144" t="str">
        <x:v>工具链</x:v>
      </x:c>
      <x:c r="D9" s="144" t="str">
        <x:v>工具/许可证版本锁定</x:v>
      </x:c>
      <x:c r="E9" s="144" t="str">
        <x:v>锁定TI armclang、CCS、RTA-CAR/OS/RTE、MCAL配置工具、Python/SCons及许可证；禁止个人盘符。</x:v>
      </x:c>
      <x:c r="F9" s="144" t="str">
        <x:v>生成物标识RTA-CAR 12.3.2与RTA-RTE 12.4.0；脚本硬编码C:/I:/J:。</x:v>
      </x:c>
      <x:c r="G9" s="144" t="str">
        <x:v>合法安装包与License。</x:v>
      </x:c>
      <x:c r="H9" s="144" t="str">
        <x:v>东软</x:v>
      </x:c>
      <x:c r="I9" s="144" t="str">
        <x:v>M0-01</x:v>
      </x:c>
      <x:c r="J9" s="144" t="str">
        <x:v>工具版本矩阵、安装脚本、许可证说明。</x:v>
      </x:c>
      <x:c r="K9" s="144" t="str">
        <x:v>全新机器按说明安装后版本校验一致；无硬编码个人路径。</x:v>
      </x:c>
      <x:c r="L9" s="144" t="str">
        <x:v>P0</x:v>
      </x:c>
      <x:c r="M9" s="153" t="n">
        <x:v>5</x:v>
      </x:c>
      <x:c r="N9" s="144" t="str">
        <x:v>未开始</x:v>
      </x:c>
      <x:c r="O9" s="144" t="str">
        <x:v>环境搭建</x:v>
      </x:c>
      <x:c r="P9" s="144" t="str">
        <x:v>gen_bsw/Com/Com_Cfg.h:19；gen_rte/Rte.c:7-8</x:v>
      </x:c>
    </x:row>
    <x:row r="10" ht="82" customHeight="1">
      <x:c r="A10" s="144" t="str">
        <x:v>M0-05</x:v>
      </x:c>
      <x:c r="B10" s="144" t="str">
        <x:v>M0</x:v>
      </x:c>
      <x:c r="C10" s="144" t="str">
        <x:v>构建</x:v>
      </x:c>
      <x:c r="D10" s="144" t="str">
        <x:v>东软完整生成/编译/打包链与Fail-fast</x:v>
      </x:c>
      <x:c r="E10" s="144" t="str">
        <x:v>东软自建配置生成→代码生成→compile/link→三核镜像package→测试链；每步校验退出码和输入hash，不得依赖甲方参考脚本或“选最新文件”回退。</x:v>
      </x:c>
      <x:c r="F10" s="144" t="str">
        <x:v>参考快照中实际compile/link/package入口可运行，但旧预生成wrapper调用缺失脚本且含路径依赖，二者不能混为完整交付链。</x:v>
      </x:c>
      <x:c r="G10" s="144" t="str">
        <x:v>东软AUTOSAR工具接口、合法license、允许的RSS/M4 bin和算法/mmWaveLink ASW。</x:v>
      </x:c>
      <x:c r="H10" s="144" t="str">
        <x:v>东软</x:v>
      </x:c>
      <x:c r="I10" s="144" t="str">
        <x:v>M0-04</x:v>
      </x:c>
      <x:c r="J10" s="144" t="str">
        <x:v>一键generate/build/package/test脚本、容器/环境描述和日志规范。</x:v>
      </x:c>
      <x:c r="K10" s="144" t="str">
        <x:v>任一步缺输入/失败均非零退出；两次clean build制品hash一致或差异可解释；无甲方参考路径/脚本。</x:v>
      </x:c>
      <x:c r="L10" s="144" t="str">
        <x:v>P0</x:v>
      </x:c>
      <x:c r="M10" s="153" t="n">
        <x:v>8</x:v>
      </x:c>
      <x:c r="N10" s="144" t="str">
        <x:v>未开始</x:v>
      </x:c>
      <x:c r="O10" s="144" t="str">
        <x:v>环境搭建/系统BringUp</x:v>
      </x:c>
      <x:c r="P10" s="144" t="str">
        <x:v>scons_gen.bat:137,143-163；buildscripts/build.bat:31-49</x:v>
      </x:c>
    </x:row>
    <x:row r="11" ht="82" customHeight="1">
      <x:c r="A11" s="144" t="str">
        <x:v>M0-06</x:v>
      </x:c>
      <x:c r="B11" s="144" t="str">
        <x:v>M0</x:v>
      </x:c>
      <x:c r="C11" s="144" t="str">
        <x:v>生成配置</x:v>
      </x:c>
      <x:c r="D11" s="144" t="str">
        <x:v>东软自有AUTOSAR工程干净生成</x:v>
      </x:c>
      <x:c r="E11" s="144" t="str">
        <x:v>东软从空白项目自行创建ARXML/ECUC并生成RTE/OS/BSW/MCAL；不得接触或引用参考生成物。</x:v>
      </x:c>
      <x:c r="F11" s="144" t="str">
        <x:v>参考生成物含旧项目路径与大量warning，只能作为甲方内部风险证据。</x:v>
      </x:c>
      <x:c r="G11" s="144" t="str">
        <x:v>中立SRS/ICD、05-07矩阵、东软合法工具/license。</x:v>
      </x:c>
      <x:c r="H11" s="144" t="str">
        <x:v>东软</x:v>
      </x:c>
      <x:c r="I11" s="144" t="str">
        <x:v>M0-04,M0-05</x:v>
      </x:c>
      <x:c r="J11" s="144" t="str">
        <x:v>东软自有可编辑配置工程、生成命令、日志与warning处置表。</x:v>
      </x:c>
      <x:c r="K11" s="144" t="str">
        <x:v>干净生成无旧项目/甲方参考路径；warning=0或有批准偏差；外发输入扫描无AUTOSAR资产。</x:v>
      </x:c>
      <x:c r="L11" s="144" t="str">
        <x:v>P0</x:v>
      </x:c>
      <x:c r="M11" s="153" t="n">
        <x:v>8</x:v>
      </x:c>
      <x:c r="N11" s="144" t="str">
        <x:v>未开始</x:v>
      </x:c>
      <x:c r="O11" s="144" t="str">
        <x:v>NeuSAR CP配置</x:v>
      </x:c>
      <x:c r="P11" s="144" t="str">
        <x:v>coem/BYD_UKE/gen_rte/RteErr.xml</x:v>
      </x:c>
    </x:row>
    <x:row r="12" ht="82" customHeight="1">
      <x:c r="A12" s="144" t="str">
        <x:v>M0-07</x:v>
      </x:c>
      <x:c r="B12" s="144" t="str">
        <x:v>M0</x:v>
      </x:c>
      <x:c r="C12" s="144" t="str">
        <x:v>接口</x:v>
      </x:c>
      <x:c r="D12" s="144" t="str">
        <x:v>M4/RSS/算法接口包冻结</x:v>
      </x:c>
      <x:c r="E12" s="144" t="str">
        <x:v>定义镜像版本/hash、core ID、boot handshake、IPC消息、共享结构ABI、内存所有权、超时、缓存、endianness、升级兼容。</x:v>
      </x:c>
      <x:c r="F12" s="144" t="str">
        <x:v>M4为预编译xem4；现有pre-start两次只发同一0x11字节。</x:v>
      </x:c>
      <x:c r="G12" s="144" t="str">
        <x:v>甲方M4源码/二进制、公共头文件、golden数据。</x:v>
      </x:c>
      <x:c r="H12" s="144" t="str">
        <x:v>双方</x:v>
      </x:c>
      <x:c r="I12" s="144" t="str">
        <x:v>M0-02</x:v>
      </x:c>
      <x:c r="J12" s="144" t="str">
        <x:v>版本化ICD、sizeof/offsetof、序列图、兼容矩阵。</x:v>
      </x:c>
      <x:c r="K12" s="144" t="str">
        <x:v>双方编译期static assert通过；错误版本/超时/乱序有确定响应。</x:v>
      </x:c>
      <x:c r="L12" s="144" t="str">
        <x:v>P0</x:v>
      </x:c>
      <x:c r="M12" s="153" t="n">
        <x:v>8</x:v>
      </x:c>
      <x:c r="N12" s="144" t="str">
        <x:v>未开始</x:v>
      </x:c>
      <x:c r="O12" s="144" t="str">
        <x:v>T1 mmWave/IPC</x:v>
      </x:c>
      <x:c r="P12" s="144" t="str">
        <x:v>SConstruct:276-285；mmwave/mmw_main.c:1179-1197</x:v>
      </x:c>
    </x:row>
    <x:row r="13" ht="82" customHeight="1">
      <x:c r="A13" s="144" t="str">
        <x:v>M0-08</x:v>
      </x:c>
      <x:c r="B13" s="144" t="str">
        <x:v>M0</x:v>
      </x:c>
      <x:c r="C13" s="144" t="str">
        <x:v>RF</x:v>
      </x:c>
      <x:c r="D13" s="144" t="str">
        <x:v>RF参数与真实行为冻结</x:v>
      </x:c>
      <x:c r="E13" s="144" t="str">
        <x:v>用量产ECU抓取并冻结profile/chirp/frame/subframe/采样/Tx/Rx/时间片；关闭continuous与advanced-frame等矛盾。</x:v>
      </x:c>
      <x:c r="F13" s="144" t="str">
        <x:v>源码存在连续模式、advanced frame、2/4 subframe和profile参数冲突。</x:v>
      </x:c>
      <x:c r="G13" s="144" t="str">
        <x:v>量产ECU、频谱仪/采集工具、正式RF参数表。</x:v>
      </x:c>
      <x:c r="H13" s="144" t="str">
        <x:v>我方/验证组</x:v>
      </x:c>
      <x:c r="I13" s="144" t="str">
        <x:v>M0-02</x:v>
      </x:c>
      <x:c r="J13" s="144" t="str">
        <x:v>签署RF唯一真值表、抓测报告。</x:v>
      </x:c>
      <x:c r="K13" s="144" t="str">
        <x:v>实际下发/频谱测量与参数表一致；所有源码矛盾有结论。</x:v>
      </x:c>
      <x:c r="L13" s="144" t="str">
        <x:v>P0</x:v>
      </x:c>
      <x:c r="M13" s="153" t="n">
        <x:v>8</x:v>
      </x:c>
      <x:c r="N13" s="144" t="str">
        <x:v>未开始</x:v>
      </x:c>
      <x:c r="O13" s="144" t="str">
        <x:v>T1 mmWaveLink</x:v>
      </x:c>
      <x:c r="P13" s="144" t="str">
        <x:v>mmw_cli.c:140-177；mmwave_link_common.c:11667-11672</x:v>
      </x:c>
    </x:row>
    <x:row r="14" ht="82" customHeight="1">
      <x:c r="A14" s="144" t="str">
        <x:v>M0-09</x:v>
      </x:c>
      <x:c r="B14" s="144" t="str">
        <x:v>M0</x:v>
      </x:c>
      <x:c r="C14" s="144" t="str">
        <x:v>通信诊断</x:v>
      </x:c>
      <x:c r="D14" s="144" t="str">
        <x:v>中立通信/诊断/NvM需求包冻结</x:v>
      </x:c>
      <x:c r="E14" s="144" t="str">
        <x:v>冻结07页98个I-PDU/1457个Signal、06页诊断/Dem、05页NvM字典及E2E/NM/安全需求；不提供参考DBC/ARXML。</x:v>
      </x:c>
      <x:c r="F14" s="144" t="str">
        <x:v>QA中的DID业务语义、DEM业务审批、NvM owner/寿命等需由甲方/OEM签署。</x:v>
      </x:c>
      <x:c r="G14" s="144" t="str">
        <x:v>本工作簿05-08页、OEM书面业务补充、block owner。</x:v>
      </x:c>
      <x:c r="H14" s="144" t="str">
        <x:v>我方</x:v>
      </x:c>
      <x:c r="I14" s="144" t="str">
        <x:v>M0-01</x:v>
      </x:c>
      <x:c r="J14" s="144" t="str">
        <x:v>版本化中立SRS/矩阵、QA关闭记录、外发审计报告。</x:v>
      </x:c>
      <x:c r="K14" s="144" t="str">
        <x:v>每项有ID、输入、输出、边界、owner、版本和验收；外发包无参考AUTOSAR/DBC资产。</x:v>
      </x:c>
      <x:c r="L14" s="144" t="str">
        <x:v>P0</x:v>
      </x:c>
      <x:c r="M14" s="153" t="n">
        <x:v>10</x:v>
      </x:c>
      <x:c r="N14" s="144" t="str">
        <x:v>未开始</x:v>
      </x:c>
      <x:c r="O14" s="144" t="str">
        <x:v>需求解析</x:v>
      </x:c>
      <x:c r="P14" s="144" t="str">
        <x:v>附件问题清单List: QA 7-51；05-08页内部取证</x:v>
      </x:c>
    </x:row>
    <x:row r="15" ht="82" customHeight="1">
      <x:c r="A15" s="144" t="str">
        <x:v>M0-10</x:v>
      </x:c>
      <x:c r="B15" s="144" t="str">
        <x:v>M0</x:v>
      </x:c>
      <x:c r="C15" s="144" t="str">
        <x:v>验证</x:v>
      </x:c>
      <x:c r="D15" s="144" t="str">
        <x:v>黑盒Golden基线</x:v>
      </x:c>
      <x:c r="E15" s="144" t="str">
        <x:v>在参考ECU采集启动、RF、IPC、CAN、诊断、休眠/唤醒、故障与功耗轨迹，作为独立验证输入。</x:v>
      </x:c>
      <x:c r="F15" s="144" t="str">
        <x:v>现有源码存在矛盾，代码本身不是唯一量产真值。</x:v>
      </x:c>
      <x:c r="G15" s="144" t="str">
        <x:v>参考ECU与台架。</x:v>
      </x:c>
      <x:c r="H15" s="144" t="str">
        <x:v>独立验证组</x:v>
      </x:c>
      <x:c r="I15" s="144" t="str">
        <x:v>M0-01,M0-02</x:v>
      </x:c>
      <x:c r="J15" s="144" t="str">
        <x:v>可重复测试脚本、trace、容差与判定规则。</x:v>
      </x:c>
      <x:c r="K15" s="144" t="str">
        <x:v>同一用例重复结果稳定；实现组仅看到中立输入/输出。</x:v>
      </x:c>
      <x:c r="L15" s="144" t="str">
        <x:v>P0</x:v>
      </x:c>
      <x:c r="M15" s="153" t="n">
        <x:v>10</x:v>
      </x:c>
      <x:c r="N15" s="144" t="str">
        <x:v>未开始</x:v>
      </x:c>
      <x:c r="O15" s="144" t="str">
        <x:v>原计划缺失</x:v>
      </x:c>
      <x:c r="P15" s="144" t="str">
        <x:v>工程取证交叉验证结论</x:v>
      </x:c>
    </x:row>
    <x:row r="16" ht="82" customHeight="1">
      <x:c r="A16" s="144" t="str">
        <x:v>M0-11</x:v>
      </x:c>
      <x:c r="B16" s="144" t="str">
        <x:v>M0</x:v>
      </x:c>
      <x:c r="C16" s="144" t="str">
        <x:v>项目管理</x:v>
      </x:c>
      <x:c r="D16" s="144" t="str">
        <x:v>RTM与配置差异机制</x:v>
      </x:c>
      <x:c r="E16" s="144" t="str">
        <x:v>建立需求→ARXML/配置→生成物→代码→测试双向追踪；设置自动配置diff和变更审批。</x:v>
      </x:c>
      <x:c r="F16" s="144" t="str">
        <x:v>原计划交付物缺少RTM与配置差异报告。</x:v>
      </x:c>
      <x:c r="G16" s="144" t="str">
        <x:v>需求ID规则、基线仓库。</x:v>
      </x:c>
      <x:c r="H16" s="144" t="str">
        <x:v>东软</x:v>
      </x:c>
      <x:c r="I16" s="144" t="str">
        <x:v>M0-09</x:v>
      </x:c>
      <x:c r="J16" s="144" t="str">
        <x:v>RTM、diff工具、变更模板。</x:v>
      </x:c>
      <x:c r="K16" s="144" t="str">
        <x:v>抽样需求可双向追溯；未经批准的生成物差异为零。</x:v>
      </x:c>
      <x:c r="L16" s="144" t="str">
        <x:v>P1</x:v>
      </x:c>
      <x:c r="M16" s="153" t="n">
        <x:v>5</x:v>
      </x:c>
      <x:c r="N16" s="144" t="str">
        <x:v>未开始</x:v>
      </x:c>
      <x:c r="O16" s="144" t="str">
        <x:v>版本交付</x:v>
      </x:c>
      <x:c r="P16" s="144" t="str">
        <x:v>全工程配置/生成物</x:v>
      </x:c>
    </x:row>
    <x:row r="17" ht="82" customHeight="1">
      <x:c r="A17" s="144" t="str">
        <x:v>M0-12</x:v>
      </x:c>
      <x:c r="B17" s="144" t="str">
        <x:v>M0</x:v>
      </x:c>
      <x:c r="C17" s="144" t="str">
        <x:v>计划门禁</x:v>
      </x:c>
      <x:c r="D17" s="144" t="str">
        <x:v>P0 Gate Review</x:v>
      </x:c>
      <x:c r="E17" s="144" t="str">
        <x:v>逐项关闭工具、输入、接口、RF、合规和待决问题；冻结M1范围与量化指标。</x:v>
      </x:c>
      <x:c r="F17" s="144" t="str">
        <x:v>原T1直接从需求解析进入配置，缺少可开发门。</x:v>
      </x:c>
      <x:c r="G17" s="144" t="str">
        <x:v>M0全部交付物。</x:v>
      </x:c>
      <x:c r="H17" s="144" t="str">
        <x:v>双方</x:v>
      </x:c>
      <x:c r="I17" s="144" t="str">
        <x:v>M0-01..11</x:v>
      </x:c>
      <x:c r="J17" s="144" t="str">
        <x:v>Gate评审纪要和签署基线。</x:v>
      </x:c>
      <x:c r="K17" s="144" t="str">
        <x:v>P0项全关闭或有批准偏差、责任人和关闭日期。</x:v>
      </x:c>
      <x:c r="L17" s="144" t="str">
        <x:v>P0</x:v>
      </x:c>
      <x:c r="M17" s="153" t="n">
        <x:v>2</x:v>
      </x:c>
      <x:c r="N17" s="144" t="str">
        <x:v>未开始</x:v>
      </x:c>
      <x:c r="O17" s="144" t="str">
        <x:v>原计划缺失</x:v>
      </x:c>
      <x:c r="P17" s="144" t="str">
        <x:v>本评审结论</x:v>
      </x:c>
    </x:row>
    <x:row r="18" ht="82" customHeight="1">
      <x:c r="A18" s="144" t="str">
        <x:v>M1-01</x:v>
      </x:c>
      <x:c r="B18" s="144" t="str">
        <x:v>M1</x:v>
      </x:c>
      <x:c r="C18" s="144" t="str">
        <x:v>构建/镜像</x:v>
      </x:c>
      <x:c r="D18" s="144" t="str">
        <x:v>三核镜像生成链</x:v>
      </x:c>
      <x:c r="E18" s="144" t="str">
        <x:v>固定R5@0、M4@2、RadarSS@3的输入、header、CRC、对齐、文件名与hash。</x:v>
      </x:c>
      <x:c r="F18" s="144" t="str">
        <x:v>最终镜像实际由MSS R5、M4、RadarSS合成。</x:v>
      </x:c>
      <x:c r="G18" s="144" t="str">
        <x:v>M0 manifest、合法M4/RSS镜像。</x:v>
      </x:c>
      <x:c r="H18" s="144" t="str">
        <x:v>东软</x:v>
      </x:c>
      <x:c r="I18" s="144" t="str">
        <x:v>M0-05,M0-07</x:v>
      </x:c>
      <x:c r="J18" s="144" t="str">
        <x:v>ELF/HEX/XEM4/RSS BIN/appimage/map/manifest。</x:v>
      </x:c>
      <x:c r="K18" s="144" t="str">
        <x:v>两次clean build可追溯；镜像核ID、CRC、大小、地址正确。</x:v>
      </x:c>
      <x:c r="L18" s="144" t="str">
        <x:v>P0</x:v>
      </x:c>
      <x:c r="M18" s="153" t="n">
        <x:v>6</x:v>
      </x:c>
      <x:c r="N18" s="144" t="str">
        <x:v>未开始</x:v>
      </x:c>
      <x:c r="O18" s="144" t="str">
        <x:v>集成编译工程</x:v>
      </x:c>
      <x:c r="P18" s="144" t="str">
        <x:v>tools/ImageGen/ImageGen.py:388-406</x:v>
      </x:c>
    </x:row>
    <x:row r="19" ht="82" customHeight="1">
      <x:c r="A19" s="144" t="str">
        <x:v>M1-02</x:v>
      </x:c>
      <x:c r="B19" s="144" t="str">
        <x:v>M1</x:v>
      </x:c>
      <x:c r="C19" s="144" t="str">
        <x:v>启动/内存</x:v>
      </x:c>
      <x:c r="D19" s="144" t="str">
        <x:v>Reset与启动链</x:v>
      </x:c>
      <x:c r="E19" s="144" t="str">
        <x:v>实现R5 reset/vector、Mcu/clock/RAM、EcuM DriverInit、StartupTwo、OS启动和异常trap。</x:v>
      </x:c>
      <x:c r="F19" s="144" t="str">
        <x:v>现工程EcuM按Mcu/Gpt/Port/Can/Spi/Fls/IPC等顺序初始化。</x:v>
      </x:c>
      <x:c r="G19" s="144" t="str">
        <x:v>原理图、clock tree、复位需求。</x:v>
      </x:c>
      <x:c r="H19" s="144" t="str">
        <x:v>东软</x:v>
      </x:c>
      <x:c r="I19" s="144" t="str">
        <x:v>M1-01</x:v>
      </x:c>
      <x:c r="J19" s="144" t="str">
        <x:v>startup、EcuM callout、启动时序图。</x:v>
      </x:c>
      <x:c r="K19" s="144" t="str">
        <x:v>冷/热/欠压复位均进入预期状态，无未解释DET/OS Error。</x:v>
      </x:c>
      <x:c r="L19" s="144" t="str">
        <x:v>P0</x:v>
      </x:c>
      <x:c r="M19" s="153" t="n">
        <x:v>8</x:v>
      </x:c>
      <x:c r="N19" s="144" t="str">
        <x:v>未开始</x:v>
      </x:c>
      <x:c r="O19" s="144" t="str">
        <x:v>环境搭建/系统BringUp</x:v>
      </x:c>
      <x:c r="P19" s="144" t="str">
        <x:v>EcuM_Callout_Stubs.c:515-586</x:v>
      </x:c>
    </x:row>
    <x:row r="20" ht="82" customHeight="1">
      <x:c r="A20" s="144" t="str">
        <x:v>M1-03</x:v>
      </x:c>
      <x:c r="B20" s="144" t="str">
        <x:v>M1</x:v>
      </x:c>
      <x:c r="C20" s="144" t="str">
        <x:v>内存</x:v>
      </x:c>
      <x:c r="D20" s="144" t="str">
        <x:v>Linker/MPU/共享内存冻结</x:v>
      </x:c>
      <x:c r="E20" s="144" t="str">
        <x:v>冻结TCMA/B、L2/L3、M4保留、Mailbox、shared_mem、算法heap；设置non-cacheable/shareable属性。</x:v>
      </x:c>
      <x:c r="F20" s="144" t="str">
        <x:v>shared_mem 0x88180F00/0x1000；gheapSigL3 0x88181F00/0x1E000；Mailbox 0xC5000200。</x:v>
      </x:c>
      <x:c r="G20" s="144" t="str">
        <x:v>M4/算法内存需求。</x:v>
      </x:c>
      <x:c r="H20" s="144" t="str">
        <x:v>东软</x:v>
      </x:c>
      <x:c r="I20" s="144" t="str">
        <x:v>M0-07,M1-01</x:v>
      </x:c>
      <x:c r="J20" s="144" t="str">
        <x:v>linker、MPU配置、map审计和余量表。</x:v>
      </x:c>
      <x:c r="K20" s="144" t="str">
        <x:v>无重叠/越界；共享区属性一致；运行期内存保护异常可定位。</x:v>
      </x:c>
      <x:c r="L20" s="144" t="str">
        <x:v>P0</x:v>
      </x:c>
      <x:c r="M20" s="153" t="n">
        <x:v>7</x:v>
      </x:c>
      <x:c r="N20" s="144" t="str">
        <x:v>未开始</x:v>
      </x:c>
      <x:c r="O20" s="144" t="str">
        <x:v>eDMA/共享内存</x:v>
      </x:c>
      <x:c r="P20" s="144" t="str">
        <x:v>TPR12_MCU_LS.lds:25-48,164-171；ti_dpl_config.c:156-183</x:v>
      </x:c>
    </x:row>
    <x:row r="21" ht="82" customHeight="1">
      <x:c r="A21" s="144" t="str">
        <x:v>M1-04</x:v>
      </x:c>
      <x:c r="B21" s="144" t="str">
        <x:v>M1</x:v>
      </x:c>
      <x:c r="C21" s="144" t="str">
        <x:v>MCAL</x:v>
      </x:c>
      <x:c r="D21" s="144" t="str">
        <x:v>Mcu/Port/Dio/Gpt基础配置</x:v>
      </x:c>
      <x:c r="E21" s="144" t="str">
        <x:v>配置40MHz晶振/DPLL、43 pin、GPIO/电源/CAN/QSPI/SPI、GPT OS/看门狗通道。</x:v>
      </x:c>
      <x:c r="F21" s="144" t="str">
        <x:v>生成配置含20 clock consumer、43 pin、2 GPT连续通道。</x:v>
      </x:c>
      <x:c r="G21" s="144" t="str">
        <x:v>Pin map、时钟、电平/上下电要求。</x:v>
      </x:c>
      <x:c r="H21" s="144" t="str">
        <x:v>东软</x:v>
      </x:c>
      <x:c r="I21" s="144" t="str">
        <x:v>M1-02</x:v>
      </x:c>
      <x:c r="J21" s="144" t="str">
        <x:v>可编辑MCAL配置、寄存器golden、板级测试。</x:v>
      </x:c>
      <x:c r="K21" s="144" t="str">
        <x:v>实测频率/Pin电平/时序与矩阵一致；预留Pin不误驱动。</x:v>
      </x:c>
      <x:c r="L21" s="144" t="str">
        <x:v>P0</x:v>
      </x:c>
      <x:c r="M21" s="153" t="n">
        <x:v>8</x:v>
      </x:c>
      <x:c r="N21" s="144" t="str">
        <x:v>未开始</x:v>
      </x:c>
      <x:c r="O21" s="144" t="str">
        <x:v>MCAL配置</x:v>
      </x:c>
      <x:c r="P21" s="144" t="str">
        <x:v>Mcu_PBcfg_awr2e44p.c:81-290；Port_PBcfg_awr2e44p.c:67-1333</x:v>
      </x:c>
    </x:row>
    <x:row r="22" ht="82" customHeight="1">
      <x:c r="A22" s="144" t="str">
        <x:v>M1-05</x:v>
      </x:c>
      <x:c r="B22" s="144" t="str">
        <x:v>M1</x:v>
      </x:c>
      <x:c r="C22" s="144" t="str">
        <x:v>MCAL</x:v>
      </x:c>
      <x:c r="D22" s="144" t="str">
        <x:v>CAN/CANFD最小驱动</x:v>
      </x:c>
      <x:c r="E22" s="144" t="str">
        <x:v>两路MCAN默认500k/2M，配置中断/mailbox/auto wake；完成最小Tx/Rx。</x:v>
      </x:c>
      <x:c r="F22" s="144" t="str">
        <x:v>参考工程另支持1M/5M且auto retransmission关闭。</x:v>
      </x:c>
      <x:c r="G22" s="144" t="str">
        <x:v>收发器控制、中立最小CAN ID/DLC/周期矩阵、终端/网络环境。</x:v>
      </x:c>
      <x:c r="H22" s="144" t="str">
        <x:v>东软</x:v>
      </x:c>
      <x:c r="I22" s="144" t="str">
        <x:v>M1-04</x:v>
      </x:c>
      <x:c r="J22" s="144" t="str">
        <x:v>东软自有Can MCAL配置、loopback/总线日志。</x:v>
      </x:c>
      <x:c r="K22" s="144" t="str">
        <x:v>两控制器500k/2M稳定收发；错误DLC/Bus-Off可观测并恢复。</x:v>
      </x:c>
      <x:c r="L22" s="144" t="str">
        <x:v>P0</x:v>
      </x:c>
      <x:c r="M22" s="153" t="n">
        <x:v>6</x:v>
      </x:c>
      <x:c r="N22" s="144" t="str">
        <x:v>未开始</x:v>
      </x:c>
      <x:c r="O22" s="144" t="str">
        <x:v>MCAL CAN</x:v>
      </x:c>
      <x:c r="P22" s="144" t="str">
        <x:v>gen_mcal/src/Can_PBcfg.c:69-223,1684-1695</x:v>
      </x:c>
    </x:row>
    <x:row r="23" ht="82" customHeight="1">
      <x:c r="A23" s="144" t="str">
        <x:v>M1-06</x:v>
      </x:c>
      <x:c r="B23" s="144" t="str">
        <x:v>M1</x:v>
      </x:c>
      <x:c r="C23" s="144" t="str">
        <x:v>MCAL</x:v>
      </x:c>
      <x:c r="D23" s="144" t="str">
        <x:v>SPI/PMIC/TCAN基础链</x:v>
      </x:c>
      <x:c r="E23" s="144" t="str">
        <x:v>配置MIBSPI1 CS0 mode0 8bit并完成LP87745/TCAN1043基础控制。</x:v>
      </x:c>
      <x:c r="F23" s="144" t="str">
        <x:v>现SPI为EB、无DMA、最大100字节。</x:v>
      </x:c>
      <x:c r="G23" s="144" t="str">
        <x:v>LP87745/TCAN1043手册和CDD接口。</x:v>
      </x:c>
      <x:c r="H23" s="144" t="str">
        <x:v>东软</x:v>
      </x:c>
      <x:c r="I23" s="144" t="str">
        <x:v>M1-04</x:v>
      </x:c>
      <x:c r="J23" s="144" t="str">
        <x:v>SPI配置、CDD适配、上电/故障日志。</x:v>
      </x:c>
      <x:c r="K23" s="144" t="str">
        <x:v>寄存器读写正确；早/晚CS、CRC/超时和掉线有错误处理。</x:v>
      </x:c>
      <x:c r="L23" s="144" t="str">
        <x:v>P0</x:v>
      </x:c>
      <x:c r="M23" s="153" t="n">
        <x:v>6</x:v>
      </x:c>
      <x:c r="N23" s="144" t="str">
        <x:v>未开始</x:v>
      </x:c>
      <x:c r="O23" s="144" t="str">
        <x:v>SBC联调</x:v>
      </x:c>
      <x:c r="P23" s="144" t="str">
        <x:v>Spi_PBCfg.c:68-147</x:v>
      </x:c>
    </x:row>
    <x:row r="24" ht="82" customHeight="1">
      <x:c r="A24" s="144" t="str">
        <x:v>M1-07</x:v>
      </x:c>
      <x:c r="B24" s="144" t="str">
        <x:v>M1</x:v>
      </x:c>
      <x:c r="C24" s="144" t="str">
        <x:v>MCAL</x:v>
      </x:c>
      <x:c r="D24" s="144" t="str">
        <x:v>Fls最小访问与rbBlock</x:v>
      </x:c>
      <x:c r="E24" s="144" t="str">
        <x:v>集成QSPI/Fls，为CUDA/CLDA/rbBlock和后续Fee提供读/擦/写/compare。</x:v>
      </x:c>
      <x:c r="F24" s="144" t="str">
        <x:v>Fls单4MiB sector模型、page 8、max read/write 768；QSPI base 0xC8000000。</x:v>
      </x:c>
      <x:c r="G24" s="144" t="str">
        <x:v>W25Q32器件参数、烧录边界。</x:v>
      </x:c>
      <x:c r="H24" s="144" t="str">
        <x:v>东软</x:v>
      </x:c>
      <x:c r="I24" s="144" t="str">
        <x:v>M1-04</x:v>
      </x:c>
      <x:c r="J24" s="144" t="str">
        <x:v>Fls配置、访问测试、地址窗口说明。</x:v>
      </x:c>
      <x:c r="K24" s="144" t="str">
        <x:v>边界/对齐/blank/compare通过；非法地址拒绝；解释4MiB与1GiB宏口径。</x:v>
      </x:c>
      <x:c r="L24" s="144" t="str">
        <x:v>P0</x:v>
      </x:c>
      <x:c r="M24" s="153" t="n">
        <x:v>6</x:v>
      </x:c>
      <x:c r="N24" s="144" t="str">
        <x:v>未开始</x:v>
      </x:c>
      <x:c r="O24" s="144" t="str">
        <x:v>Fls最小闭环</x:v>
      </x:c>
      <x:c r="P24" s="144" t="str">
        <x:v>Fls_PBcfg.c:63-81；Fls_Cfg.h:95-155</x:v>
      </x:c>
    </x:row>
    <x:row r="25" ht="82" customHeight="1">
      <x:c r="A25" s="144" t="str">
        <x:v>M1-08</x:v>
      </x:c>
      <x:c r="B25" s="144" t="str">
        <x:v>M1</x:v>
      </x:c>
      <x:c r="C25" s="144" t="str">
        <x:v>OS</x:v>
      </x:c>
      <x:c r="D25" s="144" t="str">
        <x:v>SC1任务/ISR与节拍</x:v>
      </x:c>
      <x:c r="E25" s="144" t="str">
        <x:v>配置10个BCC2 Basic Task、14 Cat2+3 Cat1 ISR、10ms schedule table；明确1ms GPT与10ms RTE tick关系。</x:v>
      </x:c>
      <x:c r="F25" s="144" t="str">
        <x:v>现任务栈预算为空；TriggerWave激活点可疑。</x:v>
      </x:c>
      <x:c r="G25" s="144" t="str">
        <x:v>任务/中断表、M4/RF调度需求。</x:v>
      </x:c>
      <x:c r="H25" s="144" t="str">
        <x:v>东软</x:v>
      </x:c>
      <x:c r="I25" s="144" t="str">
        <x:v>M1-02,M1-04</x:v>
      </x:c>
      <x:c r="J25" s="144" t="str">
        <x:v>OS配置、优先级/激活/栈/WCET预算、trace。</x:v>
      </x:c>
      <x:c r="K25" s="144" t="str">
        <x:v>1/10/20/66/100ms周期和jitter满足冻结指标；无丢激活/优先级反转。</x:v>
      </x:c>
      <x:c r="L25" s="144" t="str">
        <x:v>P0</x:v>
      </x:c>
      <x:c r="M25" s="153" t="n">
        <x:v>8</x:v>
      </x:c>
      <x:c r="N25" s="144" t="str">
        <x:v>未开始</x:v>
      </x:c>
      <x:c r="O25" s="144" t="str">
        <x:v>OS SC1/Task调度</x:v>
      </x:c>
      <x:c r="P25" s="144" t="str">
        <x:v>Configuration Summary.txt:524-600；Rte_Const.h:45</x:v>
      </x:c>
    </x:row>
    <x:row r="26" ht="82" customHeight="1">
      <x:c r="A26" s="144" t="str">
        <x:v>M1-09</x:v>
      </x:c>
      <x:c r="B26" s="144" t="str">
        <x:v>M1</x:v>
      </x:c>
      <x:c r="C26" s="144" t="str">
        <x:v>RTE/SchM</x:v>
      </x:c>
      <x:c r="D26" s="144" t="str">
        <x:v>东软自有RTE/SchM接口设计与生成</x:v>
      </x:c>
      <x:c r="E26" s="144" t="str">
        <x:v>东软依据甲方ASW API/调用时序和中立Runnable/数据合同，自行建立SWC/Port/Interface/Mapping并生成RTE/SchM；甲方不提供任何参考ARXML。</x:v>
      </x:c>
      <x:c r="F26" s="144" t="str">
        <x:v>参考RTE只用于甲方内部提取接口事实，不作为东软输入。</x:v>
      </x:c>
      <x:c r="G26" s="144" t="str">
        <x:v>甲方自有ASW公共API/数据结构/调用时序、07页OS合同。</x:v>
      </x:c>
      <x:c r="H26" s="144" t="str">
        <x:v>东软</x:v>
      </x:c>
      <x:c r="I26" s="144" t="str">
        <x:v>M0-06,M0-07,M1-08</x:v>
      </x:c>
      <x:c r="J26" s="144" t="str">
        <x:v>东软自有ARXML/ECUC、RTE/SchM生成物、接口映射和设计说明。</x:v>
      </x:c>
      <x:c r="K26" s="144" t="str">
        <x:v>接口逐项编译/单测；重入/线程上下文/超时明确；不含任何参考文件/path/符号拷贝。</x:v>
      </x:c>
      <x:c r="L26" s="144" t="str">
        <x:v>P0</x:v>
      </x:c>
      <x:c r="M26" s="153" t="n">
        <x:v>8</x:v>
      </x:c>
      <x:c r="N26" s="144" t="str">
        <x:v>未开始</x:v>
      </x:c>
      <x:c r="O26" s="144" t="str">
        <x:v>RTE骨架/ASW集成</x:v>
      </x:c>
      <x:c r="P26" s="144" t="str">
        <x:v>问题清单QA7；gen_rte内部取证</x:v>
      </x:c>
    </x:row>
    <x:row r="27" ht="82" customHeight="1">
      <x:c r="A27" s="144" t="str">
        <x:v>M1-10</x:v>
      </x:c>
      <x:c r="B27" s="144" t="str">
        <x:v>M1</x:v>
      </x:c>
      <x:c r="C27" s="144" t="str">
        <x:v>EcuM/BswM</x:v>
      </x:c>
      <x:c r="D27" s="144" t="str">
        <x:v>最小生命周期</x:v>
      </x:c>
      <x:c r="E27" s="144" t="str">
        <x:v>实现StartupTwo→CDD/Fee/NvM/ReadAll→Run；最小FullCom；PrepareShutdown/复位路径可观测。</x:v>
      </x:c>
      <x:c r="F27" s="144" t="str">
        <x:v>现BswM有23规则、24 action list，ReadAll在启动链中。</x:v>
      </x:c>
      <x:c r="G27" s="144" t="str">
        <x:v>启动/下电/复位策略。</x:v>
      </x:c>
      <x:c r="H27" s="144" t="str">
        <x:v>东软</x:v>
      </x:c>
      <x:c r="I27" s="144" t="str">
        <x:v>M1-02,M1-08</x:v>
      </x:c>
      <x:c r="J27" s="144" t="str">
        <x:v>EcuM/BswM配置、状态图和trace。</x:v>
      </x:c>
      <x:c r="K27" s="144" t="str">
        <x:v>ReadAll完成前不启动依赖标定的雷达；复位不绕过NvM/DEM收尾。</x:v>
      </x:c>
      <x:c r="L27" s="144" t="str">
        <x:v>P0</x:v>
      </x:c>
      <x:c r="M27" s="153" t="n">
        <x:v>7</x:v>
      </x:c>
      <x:c r="N27" s="144" t="str">
        <x:v>未开始</x:v>
      </x:c>
      <x:c r="O27" s="144" t="str">
        <x:v>EcuM/BswM</x:v>
      </x:c>
      <x:c r="P27" s="144" t="str">
        <x:v>BswM_PBcfg.c:115-255,917-2214</x:v>
      </x:c>
    </x:row>
    <x:row r="28" ht="82" customHeight="1">
      <x:c r="A28" s="144" t="str">
        <x:v>M1-11</x:v>
      </x:c>
      <x:c r="B28" s="144" t="str">
        <x:v>M1</x:v>
      </x:c>
      <x:c r="C28" s="144" t="str">
        <x:v>工厂数据</x:v>
      </x:c>
      <x:c r="D28" s="144" t="str">
        <x:v>CUDA/CLDA数据链</x:v>
      </x:c>
      <x:c r="E28" s="144" t="str">
        <x:v>实现CUDA 0x320000/64KiB、CLDA 0x330000/64KiB的读取、校验、位置/variant选择、默认/损坏策略。</x:v>
      </x:c>
      <x:c r="F28" s="144" t="str">
        <x:v>CUDA含EgoCar/RadarPos/CalibInput；CLDA子块2048/1212/1172；失败则不启动雷达。</x:v>
      </x:c>
      <x:c r="G28" s="144" t="str">
        <x:v>合法样本、schema、CRC/保护和烧录工具。</x:v>
      </x:c>
      <x:c r="H28" s="144" t="str">
        <x:v>双方</x:v>
      </x:c>
      <x:c r="I28" s="144" t="str">
        <x:v>M1-07,M1-10</x:v>
      </x:c>
      <x:c r="J28" s="144" t="str">
        <x:v>数据字典、生成/烧录工具、读取接口与故障码。</x:v>
      </x:c>
      <x:c r="K28" s="144" t="str">
        <x:v>逐块合法/损坏/缺失注入；错误时禁止发波并报告；四位置选择正确。</x:v>
      </x:c>
      <x:c r="L28" s="144" t="str">
        <x:v>P0</x:v>
      </x:c>
      <x:c r="M28" s="153" t="n">
        <x:v>8</x:v>
      </x:c>
      <x:c r="N28" s="144" t="str">
        <x:v>未开始</x:v>
      </x:c>
      <x:c r="O28" s="144" t="str">
        <x:v>原T1未列</x:v>
      </x:c>
      <x:c r="P28" s="144" t="str">
        <x:v>rbBlock.h:45-50；rbBlock.c:34-40；ReadCUDA2Asw.c:31-97</x:v>
      </x:c>
    </x:row>
    <x:row r="29" ht="82" customHeight="1">
      <x:c r="A29" s="144" t="str">
        <x:v>M1-12</x:v>
      </x:c>
      <x:c r="B29" s="144" t="str">
        <x:v>M1</x:v>
      </x:c>
      <x:c r="C29" s="144" t="str">
        <x:v>多核</x:v>
      </x:c>
      <x:c r="D29" s="144" t="str">
        <x:v>M4/RSS启动握手</x:v>
      </x:c>
      <x:c r="E29" s="144" t="str">
        <x:v>实现mmWave FULL init/sync、MSS/M4 boot bits、超时、复位和降级；禁止无界循环。</x:v>
      </x:c>
      <x:c r="F29" s="144" t="str">
        <x:v>当前M4同步和DPM ACK均有busy-wait无timeout。</x:v>
      </x:c>
      <x:c r="G29" s="144" t="str">
        <x:v>M0-07 ICD、RSS API。</x:v>
      </x:c>
      <x:c r="H29" s="144" t="str">
        <x:v>东软</x:v>
      </x:c>
      <x:c r="I29" s="144" t="str">
        <x:v>M1-01,M1-03</x:v>
      </x:c>
      <x:c r="J29" s="144" t="str">
        <x:v>启动状态机、timeout/DEM矩阵、trace。</x:v>
      </x:c>
      <x:c r="K29" s="144" t="str">
        <x:v>对端缺失/晚到/重启时无死锁；可诊断、可恢复或安全降级。</x:v>
      </x:c>
      <x:c r="L29" s="144" t="str">
        <x:v>P0</x:v>
      </x:c>
      <x:c r="M29" s="153" t="n">
        <x:v>7</x:v>
      </x:c>
      <x:c r="N29" s="144" t="str">
        <x:v>未开始</x:v>
      </x:c>
      <x:c r="O29" s="144" t="str">
        <x:v>Mailbox/IPC</x:v>
      </x:c>
      <x:c r="P29" s="144" t="str">
        <x:v>mmw_main.c:2724-2807,1194-1196</x:v>
      </x:c>
    </x:row>
    <x:row r="30" ht="82" customHeight="1">
      <x:c r="A30" s="144" t="str">
        <x:v>M1-13</x:v>
      </x:c>
      <x:c r="B30" s="144" t="str">
        <x:v>M1</x:v>
      </x:c>
      <x:c r="C30" s="144" t="str">
        <x:v>IPC</x:v>
      </x:c>
      <x:c r="D30" s="144" t="str">
        <x:v>Mailbox协议0x10/0x11/0x12</x:v>
      </x:c>
      <x:c r="E30" s="144" t="str">
        <x:v>实现chirp start/stop、frame complete、ACK的长度、字段、序号、CRC/版本、超时、乱序/重复处理。</x:v>
      </x:c>
      <x:c r="F30" s="144" t="str">
        <x:v>现0x10携CFAR/wave/interference，0x11锁存输入，0x12清状态。</x:v>
      </x:c>
      <x:c r="G30" s="144" t="str">
        <x:v>M4 ICD、公共头文件。</x:v>
      </x:c>
      <x:c r="H30" s="144" t="str">
        <x:v>双方</x:v>
      </x:c>
      <x:c r="I30" s="144" t="str">
        <x:v>M0-07,M1-12</x:v>
      </x:c>
      <x:c r="J30" s="144" t="str">
        <x:v>IPC ICD、序列图、异常用例和统计接口。</x:v>
      </x:c>
      <x:c r="K30" s="144" t="str">
        <x:v>正常时序一致；丢/乱序/重复/洪泛不死锁、不污染下一帧。</x:v>
      </x:c>
      <x:c r="L30" s="144" t="str">
        <x:v>P0</x:v>
      </x:c>
      <x:c r="M30" s="153" t="n">
        <x:v>8</x:v>
      </x:c>
      <x:c r="N30" s="144" t="str">
        <x:v>未开始</x:v>
      </x:c>
      <x:c r="O30" s="144" t="str">
        <x:v>Mailbox/IPC</x:v>
      </x:c>
      <x:c r="P30" s="144" t="str">
        <x:v>rte/OsTask_MMW.c:93-139</x:v>
      </x:c>
    </x:row>
    <x:row r="31" ht="82" customHeight="1">
      <x:c r="A31" s="144" t="str">
        <x:v>M1-14</x:v>
      </x:c>
      <x:c r="B31" s="144" t="str">
        <x:v>M1</x:v>
      </x:c>
      <x:c r="C31" s="144" t="str">
        <x:v>共享内存</x:v>
      </x:c>
      <x:c r="D31" s="144" t="str">
        <x:v>SharedDataInfo ABI与所有权</x:v>
      </x:c>
      <x:c r="E31" s="144" t="str">
        <x:v>冻结sizeof/offsetof/packing/endianness、裸指针地址和生命周期；加入版本/长度/状态字段。</x:v>
      </x:c>
      <x:c r="F31" s="144" t="str">
        <x:v>结构含AoA因子、车辆速度、cube/RD/AoA/antenna/net object指针。</x:v>
      </x:c>
      <x:c r="G31" s="144" t="str">
        <x:v>M4/算法公共数据定义。</x:v>
      </x:c>
      <x:c r="H31" s="144" t="str">
        <x:v>双方</x:v>
      </x:c>
      <x:c r="I31" s="144" t="str">
        <x:v>M1-03,M1-13</x:v>
      </x:c>
      <x:c r="J31" s="144" t="str">
        <x:v>ABI清单、static assert、所有权表、cache协议。</x:v>
      </x:c>
      <x:c r="K31" s="144" t="str">
        <x:v>双方map与编译断言一致；并发/缓存压力下无撕裂、越界、旧帧。</x:v>
      </x:c>
      <x:c r="L31" s="144" t="str">
        <x:v>P0</x:v>
      </x:c>
      <x:c r="M31" s="153" t="n">
        <x:v>6</x:v>
      </x:c>
      <x:c r="N31" s="144" t="str">
        <x:v>未开始</x:v>
      </x:c>
      <x:c r="O31" s="144" t="str">
        <x:v>eDMA/共享内存</x:v>
      </x:c>
      <x:c r="P31" s="144" t="str">
        <x:v>sys_conf.h:693-753</x:v>
      </x:c>
    </x:row>
    <x:row r="32" ht="82" customHeight="1">
      <x:c r="A32" s="144" t="str">
        <x:v>M1-15</x:v>
      </x:c>
      <x:c r="B32" s="144" t="str">
        <x:v>M1</x:v>
      </x:c>
      <x:c r="C32" s="144" t="str">
        <x:v>RF</x:v>
      </x:c>
      <x:c r="D32" s="144" t="str">
        <x:v>mmWaveLink控制链</x:v>
      </x:c>
      <x:c r="E32" s="144" t="str">
        <x:v>按M0唯一参数实现init/open/config/start/stop/event/CRC，关闭continuous/advanced冲突。</x:v>
      </x:c>
      <x:c r="F32" s="144" t="str">
        <x:v>现源码路径存在模式和subframe矛盾。</x:v>
      </x:c>
      <x:c r="G32" s="144" t="str">
        <x:v>M0-08 RF表。</x:v>
      </x:c>
      <x:c r="H32" s="144" t="str">
        <x:v>东软</x:v>
      </x:c>
      <x:c r="I32" s="144" t="str">
        <x:v>M1-11,M1-12</x:v>
      </x:c>
      <x:c r="J32" s="144" t="str">
        <x:v>RF配置代码/参数表、异步事件映射。</x:v>
      </x:c>
      <x:c r="K32" s="144" t="str">
        <x:v>频谱/芯片日志验证频率、斜率、采样、chirp/frame；错误可诊断和恢复。</x:v>
      </x:c>
      <x:c r="L32" s="144" t="str">
        <x:v>P0</x:v>
      </x:c>
      <x:c r="M32" s="153" t="n">
        <x:v>10</x:v>
      </x:c>
      <x:c r="N32" s="144" t="str">
        <x:v>未开始</x:v>
      </x:c>
      <x:c r="O32" s="144" t="str">
        <x:v>mmWaveLink</x:v>
      </x:c>
      <x:c r="P32" s="144" t="str">
        <x:v>mmw_cli.c；mmwave_link_common.c</x:v>
      </x:c>
    </x:row>
    <x:row r="33" ht="82" customHeight="1">
      <x:c r="A33" s="144" t="str">
        <x:v>M1-16</x:v>
      </x:c>
      <x:c r="B33" s="144" t="str">
        <x:v>M1</x:v>
      </x:c>
      <x:c r="C33" s="144" t="str">
        <x:v>时间同步</x:v>
      </x:c>
      <x:c r="D33" s="144" t="str">
        <x:v>StbM/分时发波最小链</x:v>
      </x:c>
      <x:c r="E33" s="144" t="str">
        <x:v>实现所需timebase和四角发波时片；明确TriggerWave实际激活源。</x:v>
      </x:c>
      <x:c r="F33" s="144" t="str">
        <x:v>TriggerWave唯一有效调用在任务中，但1ms ActivateTask被注释。</x:v>
      </x:c>
      <x:c r="G33" s="144" t="str">
        <x:v>时间同步系统方案、位置/车型表。</x:v>
      </x:c>
      <x:c r="H33" s="144" t="str">
        <x:v>东软</x:v>
      </x:c>
      <x:c r="I33" s="144" t="str">
        <x:v>M1-08,M1-15</x:v>
      </x:c>
      <x:c r="J33" s="144" t="str">
        <x:v>时间基准/发波时序表、task trace。</x:v>
      </x:c>
      <x:c r="K33" s="144" t="str">
        <x:v>66ms周期、窗口和角位置偏移满足冻结参数；失步时禁止碰撞并可诊断。</x:v>
      </x:c>
      <x:c r="L33" s="144" t="str">
        <x:v>P0</x:v>
      </x:c>
      <x:c r="M33" s="153" t="n">
        <x:v>8</x:v>
      </x:c>
      <x:c r="N33" s="144" t="str">
        <x:v>未开始</x:v>
      </x:c>
      <x:c r="O33" s="144" t="str">
        <x:v>原T2时钟同步（需前移）</x:v>
      </x:c>
      <x:c r="P33" s="144" t="str">
        <x:v>OsTask_MMW.c:159-186；ASWIN_DivWave.c:172-240</x:v>
      </x:c>
    </x:row>
    <x:row r="34" ht="82" customHeight="1">
      <x:c r="A34" s="144" t="str">
        <x:v>M1-17</x:v>
      </x:c>
      <x:c r="B34" s="144" t="str">
        <x:v>M1</x:v>
      </x:c>
      <x:c r="C34" s="144" t="str">
        <x:v>采集/DMA</x:v>
      </x:c>
      <x:c r="D34" s="144" t="str">
        <x:v>ADCBuf/eDMA数据通道</x:v>
      </x:c>
      <x:c r="E34" s="144" t="str">
        <x:v>配置real16、4Rx、512 samples、ping/pong threshold1和DMA通道；冻结TPCC资源。</x:v>
      </x:c>
      <x:c r="F34" s="144" t="str">
        <x:v>R5信号库使用DMA ch26/27；AoA结果单元1104字节，最大350点。</x:v>
      </x:c>
      <x:c r="G34" s="144" t="str">
        <x:v>M4 DMA/ADCBuf契约、资源表。</x:v>
      </x:c>
      <x:c r="H34" s="144" t="str">
        <x:v>东软</x:v>
      </x:c>
      <x:c r="I34" s="144" t="str">
        <x:v>M1-03,M1-15</x:v>
      </x:c>
      <x:c r="J34" s="144" t="str">
        <x:v>ADCBuf/DMA配置、所有权矩阵、overrun统计。</x:v>
      </x:c>
      <x:c r="K34" s="144" t="str">
        <x:v>连续帧无overrun/通道冲突/错位；边界点数与数据长度校验。</x:v>
      </x:c>
      <x:c r="L34" s="144" t="str">
        <x:v>P0</x:v>
      </x:c>
      <x:c r="M34" s="153" t="n">
        <x:v>8</x:v>
      </x:c>
      <x:c r="N34" s="144" t="str">
        <x:v>未开始</x:v>
      </x:c>
      <x:c r="O34" s="144" t="str">
        <x:v>eDMA/共享内存</x:v>
      </x:c>
      <x:c r="P34" s="144" t="str">
        <x:v>mmwdemo_adcconfig.c:71-215；cdd_doa_dma.c:47-105</x:v>
      </x:c>
    </x:row>
    <x:row r="35" ht="82" customHeight="1">
      <x:c r="A35" s="144" t="str">
        <x:v>M1-18</x:v>
      </x:c>
      <x:c r="B35" s="144" t="str">
        <x:v>M1</x:v>
      </x:c>
      <x:c r="C35" s="144" t="str">
        <x:v>算法集成</x:v>
      </x:c>
      <x:c r="D35" s="144" t="str">
        <x:v>信号处理适配</x:v>
      </x:c>
      <x:c r="E35" s="144" t="str">
        <x:v>接入甲方库；实现EDMA/cache/time回调、90KiB L2与120KiB L3；确认us/ms单位。</x:v>
      </x:c>
      <x:c r="F35" s="144" t="str">
        <x:v>cb_time_get_us实际返回ms，接口单位不一致。</x:v>
      </x:c>
      <x:c r="G35" s="144" t="str">
        <x:v>算法库/源码、golden vectors、容差、WCET预算。</x:v>
      </x:c>
      <x:c r="H35" s="144" t="str">
        <x:v>双方</x:v>
      </x:c>
      <x:c r="I35" s="144" t="str">
        <x:v>M1-14,M1-17</x:v>
      </x:c>
      <x:c r="J35" s="144" t="str">
        <x:v>适配层、版本hash、内存/WCET报告。</x:v>
      </x:c>
      <x:c r="K35" s="144" t="str">
        <x:v>逐帧中间/输出与golden一致；WCET&lt;66ms并留合同裕量；单位问题关闭。</x:v>
      </x:c>
      <x:c r="L35" s="144" t="str">
        <x:v>P0</x:v>
      </x:c>
      <x:c r="M35" s="153" t="n">
        <x:v>10</x:v>
      </x:c>
      <x:c r="N35" s="144" t="str">
        <x:v>未开始</x:v>
      </x:c>
      <x:c r="O35" s="144" t="str">
        <x:v>信号处理（甲方代码）</x:v>
      </x:c>
      <x:c r="P35" s="144" t="str">
        <x:v>signal_process.c:35-72</x:v>
      </x:c>
    </x:row>
    <x:row r="36" ht="82" customHeight="1">
      <x:c r="A36" s="144" t="str">
        <x:v>M1-19</x:v>
      </x:c>
      <x:c r="B36" s="144" t="str">
        <x:v>M1</x:v>
      </x:c>
      <x:c r="C36" s="144" t="str">
        <x:v>算法集成</x:v>
      </x:c>
      <x:c r="D36" s="144" t="str">
        <x:v>感知/数据处理适配</x:v>
      </x:c>
      <x:c r="E36" s="144" t="str">
        <x:v>接入甲方感知；正确提供RD map、车辆输入、安装参数、wave/profile和输出缓冲。</x:v>
      </x:c>
      <x:c r="F36" s="144" t="str">
        <x:v>Trigger66任务依次signal→perception→mapping。</x:v>
      </x:c>
      <x:c r="G36" s="144" t="str">
        <x:v>感知源码/库、接口和golden场景。</x:v>
      </x:c>
      <x:c r="H36" s="144" t="str">
        <x:v>双方</x:v>
      </x:c>
      <x:c r="I36" s="144" t="str">
        <x:v>M1-18,M1-21</x:v>
      </x:c>
      <x:c r="J36" s="144" t="str">
        <x:v>适配层、场景对比、资源报告。</x:v>
      </x:c>
      <x:c r="K36" s="144" t="str">
        <x:v>功能输出/状态与golden容差一致；错误输入/缺帧不产生伪有效目标。</x:v>
      </x:c>
      <x:c r="L36" s="144" t="str">
        <x:v>P0</x:v>
      </x:c>
      <x:c r="M36" s="153" t="n">
        <x:v>10</x:v>
      </x:c>
      <x:c r="N36" s="144" t="str">
        <x:v>未开始</x:v>
      </x:c>
      <x:c r="O36" s="144" t="str">
        <x:v>数据处理（甲方代码）</x:v>
      </x:c>
      <x:c r="P36" s="144" t="str">
        <x:v>OsTask_MMW.c:242-334；Algo_Perception.c:35-38</x:v>
      </x:c>
    </x:row>
    <x:row r="37" ht="82" customHeight="1">
      <x:c r="A37" s="144" t="str">
        <x:v>M1-20</x:v>
      </x:c>
      <x:c r="B37" s="144" t="str">
        <x:v>M1</x:v>
      </x:c>
      <x:c r="C37" s="144" t="str">
        <x:v>CAN/COM</x:v>
      </x:c>
      <x:c r="D37" s="144" t="str">
        <x:v>最小输入信号链</x:v>
      </x:c>
      <x:c r="E37" s="144" t="str">
        <x:v>从07页中立矩阵选择车速/yaw/加速度/轮速/挡位等，完成东软自有CanIf/PduR/Com/RTE到帧锁存。</x:v>
      </x:c>
      <x:c r="F37" s="144" t="str">
        <x:v>参考行为在0x11时锁存车辆输入，以避免CAN更新与算法帧错位。</x:v>
      </x:c>
      <x:c r="G37" s="144" t="str">
        <x:v>07页最小Signal合同与物理值/超时规则。</x:v>
      </x:c>
      <x:c r="H37" s="144" t="str">
        <x:v>东软</x:v>
      </x:c>
      <x:c r="I37" s="144" t="str">
        <x:v>M1-05,M1-09,M1-13</x:v>
      </x:c>
      <x:c r="J37" s="144" t="str">
        <x:v>最小通信矩阵、东软配置和注入脚本。</x:v>
      </x:c>
      <x:c r="K37" s="144" t="str">
        <x:v>总线注入后0x11锁存值与算法消费值一致；缩放/端序/超时正确。</x:v>
      </x:c>
      <x:c r="L37" s="144" t="str">
        <x:v>P0</x:v>
      </x:c>
      <x:c r="M37" s="153" t="n">
        <x:v>8</x:v>
      </x:c>
      <x:c r="N37" s="144" t="str">
        <x:v>未开始</x:v>
      </x:c>
      <x:c r="O37" s="144" t="str">
        <x:v>CAN最小Tx/Rx</x:v>
      </x:c>
      <x:c r="P37" s="144" t="str">
        <x:v>RteComMapping_Rx.c:36-140；ASWIN_InCalc.c:41-84</x:v>
      </x:c>
    </x:row>
    <x:row r="38" ht="82" customHeight="1">
      <x:c r="A38" s="144" t="str">
        <x:v>M1-21</x:v>
      </x:c>
      <x:c r="B38" s="144" t="str">
        <x:v>M1</x:v>
      </x:c>
      <x:c r="C38" s="144" t="str">
        <x:v>CAN/COM</x:v>
      </x:c>
      <x:c r="D38" s="144" t="str">
        <x:v>最小输出PDU链</x:v>
      </x:c>
      <x:c r="E38" s="144" t="str">
        <x:v>按雷达位置映射目标/状态到RteLite/Com并发送正确PDU。</x:v>
      </x:c>
      <x:c r="F38" s="144" t="str">
        <x:v>输出位置映射最终调用Com_SendSignal。</x:v>
      </x:c>
      <x:c r="G38" s="144" t="str">
        <x:v>最小输出矩阵、E2E决策。</x:v>
      </x:c>
      <x:c r="H38" s="144" t="str">
        <x:v>东软</x:v>
      </x:c>
      <x:c r="I38" s="144" t="str">
        <x:v>M1-19,M1-20</x:v>
      </x:c>
      <x:c r="J38" s="144" t="str">
        <x:v>输出PDU配置、restbus脚本和trace。</x:v>
      </x:c>
      <x:c r="K38" s="144" t="str">
        <x:v>同一frame ID对应正确CAN PDU；ID/DLC/周期/缩放/E2E满足矩阵。</x:v>
      </x:c>
      <x:c r="L38" s="144" t="str">
        <x:v>P0</x:v>
      </x:c>
      <x:c r="M38" s="153" t="n">
        <x:v>8</x:v>
      </x:c>
      <x:c r="N38" s="144" t="str">
        <x:v>未开始</x:v>
      </x:c>
      <x:c r="O38" s="144" t="str">
        <x:v>CAN最小Tx/Rx</x:v>
      </x:c>
      <x:c r="P38" s="144" t="str">
        <x:v>RteComMapping_Tx.c:198-250；rteLite_PriCan.c:687-698</x:v>
      </x:c>
    </x:row>
    <x:row r="39" ht="82" customHeight="1">
      <x:c r="A39" s="144" t="str">
        <x:v>M1-22</x:v>
      </x:c>
      <x:c r="B39" s="144" t="str">
        <x:v>M1</x:v>
      </x:c>
      <x:c r="C39" s="144" t="str">
        <x:v>诊断/故障</x:v>
      </x:c>
      <x:c r="D39" s="144" t="str">
        <x:v>基础DCM/DEM与异常闭环</x:v>
      </x:c>
      <x:c r="E39" s="144" t="str">
        <x:v>至少支持10/11/22/3E和版本DID；对M4/RSS/IPC/RF/CUDA/CLDA/ADC异常建立事件、NRC/降级。</x:v>
      </x:c>
      <x:c r="F39" s="144" t="str">
        <x:v>完整Dcm/DEM很大，但主链故障不能推到M2。</x:v>
      </x:c>
      <x:c r="G39" s="144" t="str">
        <x:v>基础DID、故障反应矩阵。</x:v>
      </x:c>
      <x:c r="H39" s="144" t="str">
        <x:v>东软</x:v>
      </x:c>
      <x:c r="I39" s="144" t="str">
        <x:v>M1-10,M1-12..17</x:v>
      </x:c>
      <x:c r="J39" s="144" t="str">
        <x:v>基础诊断配置、事件表和故障注入报告。</x:v>
      </x:c>
      <x:c r="K39" s="144" t="str">
        <x:v>每个关键故障不永久阻塞；DTC/状态与恢复符合矩阵。</x:v>
      </x:c>
      <x:c r="L39" s="144" t="str">
        <x:v>P0</x:v>
      </x:c>
      <x:c r="M39" s="153" t="n">
        <x:v>8</x:v>
      </x:c>
      <x:c r="N39" s="144" t="str">
        <x:v>未开始</x:v>
      </x:c>
      <x:c r="O39" s="144" t="str">
        <x:v>诊断基础服务</x:v>
      </x:c>
      <x:c r="P39" s="144" t="str">
        <x:v>Dcm_Lcfg_Dsd.c；Dem_Cfg_EventId.h</x:v>
      </x:c>
    </x:row>
    <x:row r="40" ht="82" customHeight="1">
      <x:c r="A40" s="144" t="str">
        <x:v>M1-23</x:v>
      </x:c>
      <x:c r="B40" s="144" t="str">
        <x:v>M1</x:v>
      </x:c>
      <x:c r="C40" s="144" t="str">
        <x:v>看门狗</x:v>
      </x:c>
      <x:c r="D40" s="144" t="str">
        <x:v>PMIC/FuSa有效监控链</x:v>
      </x:c>
      <x:c r="E40" s="144" t="str">
        <x:v>明确WdgM与LP87745架构；M1至少保证主链卡死可触发外部看门狗并记录原因。</x:v>
      </x:c>
      <x:c r="F40" s="144" t="str">
        <x:v>现WdgM/checkpoint和Wdg驱动为空；独立PMIC FuSa链看起来有效。</x:v>
      </x:c>
      <x:c r="G40" s="144" t="str">
        <x:v>安全监控矩阵、复位时间。</x:v>
      </x:c>
      <x:c r="H40" s="144" t="str">
        <x:v>双方</x:v>
      </x:c>
      <x:c r="I40" s="144" t="str">
        <x:v>M1-06,M1-08,M1-22</x:v>
      </x:c>
      <x:c r="J40" s="144" t="str">
        <x:v>看门狗架构决策、配置、复位注入报告。</x:v>
      </x:c>
      <x:c r="K40" s="144" t="str">
        <x:v>分别卡死10/100ms和主链任务，实测复位时间/原因正确，无早喂/误复位。</x:v>
      </x:c>
      <x:c r="L40" s="144" t="str">
        <x:v>P0</x:v>
      </x:c>
      <x:c r="M40" s="153" t="n">
        <x:v>8</x:v>
      </x:c>
      <x:c r="N40" s="144" t="str">
        <x:v>未开始</x:v>
      </x:c>
      <x:c r="O40" s="144" t="str">
        <x:v>原T2 Wdg（需部分前移）</x:v>
      </x:c>
      <x:c r="P40" s="144" t="str">
        <x:v>ASW_WDG.c:56-251；FUSA_WDGDrv.c:47-134</x:v>
      </x:c>
    </x:row>
    <x:row r="41" ht="82" customHeight="1">
      <x:c r="A41" s="144" t="str">
        <x:v>M1-24</x:v>
      </x:c>
      <x:c r="B41" s="144" t="str">
        <x:v>M1</x:v>
      </x:c>
      <x:c r="C41" s="144" t="str">
        <x:v>性能</x:v>
      </x:c>
      <x:c r="D41" s="144" t="str">
        <x:v>主链资源与长稳</x:v>
      </x:c>
      <x:c r="E41" s="144" t="str">
        <x:v>测CPU、WCET、stack watermark、L2/L3、DMA、总线负载、丢帧率和首帧时间。</x:v>
      </x:c>
      <x:c r="F41" s="144" t="str">
        <x:v>现OS stack预算为空，算法周期66ms。</x:v>
      </x:c>
      <x:c r="G41" s="144" t="str">
        <x:v>量化指标与台架场景。</x:v>
      </x:c>
      <x:c r="H41" s="144" t="str">
        <x:v>东软/验证组</x:v>
      </x:c>
      <x:c r="I41" s="144" t="str">
        <x:v>M1-18..23</x:v>
      </x:c>
      <x:c r="J41" s="144" t="str">
        <x:v>资源报告、连续运行日志。</x:v>
      </x:c>
      <x:c r="K41" s="144" t="str">
        <x:v>指标满足双方冻结阈值；无内存增长、队列积压、丢激活和不可恢复错误。</x:v>
      </x:c>
      <x:c r="L41" s="144" t="str">
        <x:v>P0</x:v>
      </x:c>
      <x:c r="M41" s="153" t="n">
        <x:v>7</x:v>
      </x:c>
      <x:c r="N41" s="144" t="str">
        <x:v>未开始</x:v>
      </x:c>
      <x:c r="O41" s="144" t="str">
        <x:v>阶段1自测</x:v>
      </x:c>
      <x:c r="P41" s="144" t="str">
        <x:v>OS配置与主链trace</x:v>
      </x:c>
    </x:row>
    <x:row r="42" ht="82" customHeight="1">
      <x:c r="A42" s="144" t="str">
        <x:v>M1-25</x:v>
      </x:c>
      <x:c r="B42" s="144" t="str">
        <x:v>M1</x:v>
      </x:c>
      <x:c r="C42" s="144" t="str">
        <x:v>Gate</x:v>
      </x:c>
      <x:c r="D42" s="144" t="str">
        <x:v>真实主链端到端验收</x:v>
      </x:c>
      <x:c r="E42" s="144" t="str">
        <x:v>NORMAL/FUNTEST_OFF下，从上电、合法标定、真实发波、M4、IPC、R5到CAN建立同帧证据。</x:v>
      </x:c>
      <x:c r="F42" s="144" t="str">
        <x:v>HIL/INJECT会绕过毫米波初始化和发波，不能替代。</x:v>
      </x:c>
      <x:c r="G42" s="144" t="str">
        <x:v>M1全部交付；真实目标/射频环境。</x:v>
      </x:c>
      <x:c r="H42" s="144" t="str">
        <x:v>独立验证组</x:v>
      </x:c>
      <x:c r="I42" s="144" t="str">
        <x:v>M1-01..24</x:v>
      </x:c>
      <x:c r="J42" s="144" t="str">
        <x:v>M1验收报告、trace、KnownIssues和签署单。</x:v>
      </x:c>
      <x:c r="K42" s="144" t="str">
        <x:v>同一frame贯通所有观测点；连续运行和故障恢复通过；P0缺陷为零。</x:v>
      </x:c>
      <x:c r="L42" s="144" t="str">
        <x:v>P0</x:v>
      </x:c>
      <x:c r="M42" s="153" t="n">
        <x:v>5</x:v>
      </x:c>
      <x:c r="N42" s="144" t="str">
        <x:v>未开始</x:v>
      </x:c>
      <x:c r="O42" s="144" t="str">
        <x:v>T1验收</x:v>
      </x:c>
      <x:c r="P42" s="144" t="str">
        <x:v>integration/Os_Cbk_Idle.c:84-94；ASWIN_DivWave.c:216-238</x:v>
      </x:c>
    </x:row>
    <x:row r="43" ht="82" customHeight="1">
      <x:c r="A43" s="144" t="str">
        <x:v>M2-01</x:v>
      </x:c>
      <x:c r="B43" s="144" t="str">
        <x:v>M2</x:v>
      </x:c>
      <x:c r="C43" s="144" t="str">
        <x:v>通信</x:v>
      </x:c>
      <x:c r="D43" s="144" t="str">
        <x:v>全量CanIf/PduR/Com独立实现</x:v>
      </x:c>
      <x:c r="E43" s="144" t="str">
        <x:v>依据07页中立合同实现2控制器、38 Tx/70 Rx CanIf PDU、34 Tx/64 Rx Com I-PDU及687 Rx/770 Tx Signal；东软自行建立通信数据库和AUTOSAR配置。</x:v>
      </x:c>
      <x:c r="F43" s="144" t="str">
        <x:v>参考规模已全量取证；signal group为0而E2E需求需OEM签署。</x:v>
      </x:c>
      <x:c r="G43" s="144" t="str">
        <x:v>07页98个I-PDU/1457个Signal、节点/动态ID/E2E书面规则。</x:v>
      </x:c>
      <x:c r="H43" s="144" t="str">
        <x:v>东软</x:v>
      </x:c>
      <x:c r="I43" s="144" t="str">
        <x:v>M1-25</x:v>
      </x:c>
      <x:c r="J43" s="144" t="str">
        <x:v>东软自有通信数据库、ARXML/ECUC、全量矩阵和自动检查。</x:v>
      </x:c>
      <x:c r="K43" s="144" t="str">
        <x:v>逐PDU/Signal的ID/DLC/bit/端序/factor/offset/range/timeout/周期/路由100%通过。</x:v>
      </x:c>
      <x:c r="L43" s="144" t="str">
        <x:v>P0</x:v>
      </x:c>
      <x:c r="M43" s="153" t="n">
        <x:v>15</x:v>
      </x:c>
      <x:c r="N43" s="144" t="str">
        <x:v>未开始</x:v>
      </x:c>
      <x:c r="O43" s="144" t="str">
        <x:v>T2 Can</x:v>
      </x:c>
      <x:c r="P43" s="144" t="str">
        <x:v>CanIf_Cfg.h:113,252,342；Com_PBcfg_Variant.h:41-67；07页</x:v>
      </x:c>
    </x:row>
    <x:row r="44" ht="82" customHeight="1">
      <x:c r="A44" s="144" t="str">
        <x:v>M2-02</x:v>
      </x:c>
      <x:c r="B44" s="144" t="str">
        <x:v>M2</x:v>
      </x:c>
      <x:c r="C44" s="144" t="str">
        <x:v>E2E</x:v>
      </x:c>
      <x:c r="D44" s="144" t="str">
        <x:v>E2E/ComXf设计与配置</x:v>
      </x:c>
      <x:c r="E44" s="144" t="str">
        <x:v>将受保护报文建为signal group；冻结Profile01参数、counter/data ID/error reaction。</x:v>
      </x:c>
      <x:c r="F44" s="144" t="str">
        <x:v>当前Com signal group=0；附件要求Profile01。</x:v>
      </x:c>
      <x:c r="G44" s="144" t="str">
        <x:v>OEM E2E规范、group定义。</x:v>
      </x:c>
      <x:c r="H44" s="144" t="str">
        <x:v>双方</x:v>
      </x:c>
      <x:c r="I44" s="144" t="str">
        <x:v>M2-01</x:v>
      </x:c>
      <x:c r="J44" s="144" t="str">
        <x:v>E2E矩阵、ComXf/E2EXf配置和负向测试。</x:v>
      </x:c>
      <x:c r="K44" s="144" t="str">
        <x:v>counter/CRC/DataID、重复/丢帧/乱序/重启均符合规范。</x:v>
      </x:c>
      <x:c r="L44" s="144" t="str">
        <x:v>P0</x:v>
      </x:c>
      <x:c r="M44" s="153" t="n">
        <x:v>8</x:v>
      </x:c>
      <x:c r="N44" s="144" t="str">
        <x:v>未开始</x:v>
      </x:c>
      <x:c r="O44" s="144" t="str">
        <x:v>T2 E2EXF/ComXF</x:v>
      </x:c>
      <x:c r="P44" s="144" t="str">
        <x:v>问题清单QA22/51；Com_PBcfg_Variant.h</x:v>
      </x:c>
    </x:row>
    <x:row r="45" ht="82" customHeight="1">
      <x:c r="A45" s="144" t="str">
        <x:v>M2-03</x:v>
      </x:c>
      <x:c r="B45" s="144" t="str">
        <x:v>M2</x:v>
      </x:c>
      <x:c r="C45" s="144" t="str">
        <x:v>网络管理</x:v>
      </x:c>
      <x:c r="D45" s="144" t="str">
        <x:v>Nm/CanNm/ComM/CanSM完整状态机</x:v>
      </x:c>
      <x:c r="E45" s="144" t="str">
        <x:v>实现FullCom/NoCom、25帧immediate、Repeat/Timeout/WaitBusSleep、Bus-Off L1/L2、诊断保持通信。</x:v>
      </x:c>
      <x:c r="F45" s="144" t="str">
        <x:v>现CanNm:500ms/20ms×25/1.6s/2s/2s；NodeID 0x4C。</x:v>
      </x:c>
      <x:c r="G45" s="144" t="str">
        <x:v>OEM NM/功耗/唤醒规范。</x:v>
      </x:c>
      <x:c r="H45" s="144" t="str">
        <x:v>东软</x:v>
      </x:c>
      <x:c r="I45" s="144" t="str">
        <x:v>M2-01</x:v>
      </x:c>
      <x:c r="J45" s="144" t="str">
        <x:v>配置、状态机和总线/功耗报告。</x:v>
      </x:c>
      <x:c r="K45" s="144" t="str">
        <x:v>所有计时、Bus-Off、休眠/唤醒和诊断保持通信通过边界测试。</x:v>
      </x:c>
      <x:c r="L45" s="144" t="str">
        <x:v>P0</x:v>
      </x:c>
      <x:c r="M45" s="153" t="n">
        <x:v>10</x:v>
      </x:c>
      <x:c r="N45" s="144" t="str">
        <x:v>未开始</x:v>
      </x:c>
      <x:c r="O45" s="144" t="str">
        <x:v>T2 NM</x:v>
      </x:c>
      <x:c r="P45" s="144" t="str">
        <x:v>CanNm_PBcfg.c:40-95；CanSM ARXML:19-107</x:v>
      </x:c>
    </x:row>
    <x:row r="46" ht="82" customHeight="1">
      <x:c r="A46" s="144" t="str">
        <x:v>M2-04</x:v>
      </x:c>
      <x:c r="B46" s="144" t="str">
        <x:v>M2</x:v>
      </x:c>
      <x:c r="C46" s="144" t="str">
        <x:v>时间同步</x:v>
      </x:c>
      <x:c r="D46" s="144" t="str">
        <x:v>CanTSyn/StbM完整配置</x:v>
      </x:c>
      <x:c r="E46" s="144" t="str">
        <x:v>冻结1 master/2 slave、3 timebase、CRC、丢同步/跳变/恢复和记录。</x:v>
      </x:c>
      <x:c r="F46" s="144" t="str">
        <x:v>现master 0x6FC，50 tick；slave超时10/25；StbM主周期10ms。</x:v>
      </x:c>
      <x:c r="G46" s="144" t="str">
        <x:v>OEM时钟域与同步方案。</x:v>
      </x:c>
      <x:c r="H46" s="144" t="str">
        <x:v>东软</x:v>
      </x:c>
      <x:c r="I46" s="144" t="str">
        <x:v>M1-16,M2-01</x:v>
      </x:c>
      <x:c r="J46" s="144" t="str">
        <x:v>时间同步矩阵、配置和误差报告。</x:v>
      </x:c>
      <x:c r="K46" s="144" t="str">
        <x:v>正常/丢帧/跳变/CRC错误/重启下时间基状态与误差满足规范。</x:v>
      </x:c>
      <x:c r="L46" s="144" t="str">
        <x:v>P0</x:v>
      </x:c>
      <x:c r="M46" s="153" t="n">
        <x:v>8</x:v>
      </x:c>
      <x:c r="N46" s="144" t="str">
        <x:v>未开始</x:v>
      </x:c>
      <x:c r="O46" s="144" t="str">
        <x:v>T2 StbM/CanTSyn</x:v>
      </x:c>
      <x:c r="P46" s="144" t="str">
        <x:v>CanTSyn_PBcfg.c:82-138；StbM_Cfg.c:44-112</x:v>
      </x:c>
    </x:row>
    <x:row r="47" ht="82" customHeight="1">
      <x:c r="A47" s="144" t="str">
        <x:v>M2-05</x:v>
      </x:c>
      <x:c r="B47" s="144" t="str">
        <x:v>M2</x:v>
      </x:c>
      <x:c r="C47" s="144" t="str">
        <x:v>NvM</x:v>
      </x:c>
      <x:c r="D47" s="144" t="str">
        <x:v>NvM 105项独立配置</x:v>
      </x:c>
      <x:c r="E47" s="144" t="str">
        <x:v>按05页中立字典实现ID0..104；业务103块，NoCrc、priority1；仅ID15冗余；处理ReadAll/WriteAll/Sync/ROM默认。</x:v>
      </x:c>
      <x:c r="F47" s="144" t="str">
        <x:v>参考最终生成表已由甲方内部逐项解析。</x:v>
      </x:c>
      <x:c r="G47" s="144" t="str">
        <x:v>05页字典、块owner、更新频率、寿命/掉电需求、默认值批准。</x:v>
      </x:c>
      <x:c r="H47" s="144" t="str">
        <x:v>东软</x:v>
      </x:c>
      <x:c r="I47" s="144" t="str">
        <x:v>M1-07,M1-10</x:v>
      </x:c>
      <x:c r="J47" s="144" t="str">
        <x:v>东软自有NvM/Fee/Fls配置、block dictionary、配置自检和默认值制品。</x:v>
      </x:c>
      <x:c r="K47" s="144" t="str">
        <x:v>105项属性逐项自动检查；API/默认/NULL-RAM/同步块/掉电/迁移用例通过。</x:v>
      </x:c>
      <x:c r="L47" s="144" t="str">
        <x:v>P0</x:v>
      </x:c>
      <x:c r="M47" s="153" t="n">
        <x:v>15</x:v>
      </x:c>
      <x:c r="N47" s="144" t="str">
        <x:v>未开始</x:v>
      </x:c>
      <x:c r="O47" s="144" t="str">
        <x:v>T2 NvM</x:v>
      </x:c>
      <x:c r="P47" s="144" t="str">
        <x:v>gen_bsw/NvM/NvM_Cfg.c:1176,1303,4871,4984；05页</x:v>
      </x:c>
    </x:row>
    <x:row r="48" ht="82" customHeight="1">
      <x:c r="A48" s="144" t="str">
        <x:v>M2-06</x:v>
      </x:c>
      <x:c r="B48" s="144" t="str">
        <x:v>M2</x:v>
      </x:c>
      <x:c r="C48" s="144" t="str">
        <x:v>Fee/Fls</x:v>
      </x:c>
      <x:c r="D48" s="144" t="str">
        <x:v>Fee双Bank与断电一致性</x:v>
      </x:c>
      <x:c r="E48" s="144" t="str">
        <x:v>配置两个256KiB Bank 0x00350000–0x0038FFFF、0x00390000–0x003CFFFF；磨损均衡、reorg、冗余恢复。</x:v>
      </x:c>
      <x:c r="F48" s="144" t="str">
        <x:v>Fee persistent ID是逻辑ID，不能承诺块固定物理地址。</x:v>
      </x:c>
      <x:c r="G48" s="144" t="str">
        <x:v>Flash耐久/写频率/断电模型。</x:v>
      </x:c>
      <x:c r="H48" s="144" t="str">
        <x:v>东软</x:v>
      </x:c>
      <x:c r="I48" s="144" t="str">
        <x:v>M2-05</x:v>
      </x:c>
      <x:c r="J48" s="144" t="str">
        <x:v>Fee/Fls布局、寿命估算、断电测试。</x:v>
      </x:c>
      <x:c r="K48" s="144" t="str">
        <x:v>erase/write/reorg各阶段掉电恢复；ID15单副本损坏恢复；无越界。</x:v>
      </x:c>
      <x:c r="L48" s="144" t="str">
        <x:v>P0</x:v>
      </x:c>
      <x:c r="M48" s="153" t="n">
        <x:v>12</x:v>
      </x:c>
      <x:c r="N48" s="144" t="str">
        <x:v>未开始</x:v>
      </x:c>
      <x:c r="O48" s="144" t="str">
        <x:v>T2 Fee/Fls</x:v>
      </x:c>
      <x:c r="P48" s="144" t="str">
        <x:v>rba_FeeFs1x_Prv_Cfg.h:68,77-86</x:v>
      </x:c>
    </x:row>
    <x:row r="49" ht="82" customHeight="1">
      <x:c r="A49" s="144" t="str">
        <x:v>M2-07</x:v>
      </x:c>
      <x:c r="B49" s="144" t="str">
        <x:v>M2</x:v>
      </x:c>
      <x:c r="C49" s="144" t="str">
        <x:v>NvM</x:v>
      </x:c>
      <x:c r="D49" s="144" t="str">
        <x:v>默认值/迁移/兼容策略</x:v>
      </x:c>
      <x:c r="E49" s="144" t="str">
        <x:v>为版本升级定义数据版本、迁移、旧数据保留、无效块默认、配置ID和回滚。</x:v>
      </x:c>
      <x:c r="F49" s="144" t="str">
        <x:v>现NoCrc且多数块native，升级兼容不能靠复制配置。</x:v>
      </x:c>
      <x:c r="G49" s="144" t="str">
        <x:v>版本兼容需求、默认值签署。</x:v>
      </x:c>
      <x:c r="H49" s="144" t="str">
        <x:v>双方</x:v>
      </x:c>
      <x:c r="I49" s="144" t="str">
        <x:v>M2-05,M2-06</x:v>
      </x:c>
      <x:c r="J49" s="144" t="str">
        <x:v>迁移矩阵、转换代码、升级/降级测试。</x:v>
      </x:c>
      <x:c r="K49" s="144" t="str">
        <x:v>旧版本数据、长度变化、坏块、第一次初始化均得到批准结果。</x:v>
      </x:c>
      <x:c r="L49" s="144" t="str">
        <x:v>P0</x:v>
      </x:c>
      <x:c r="M49" s="153" t="n">
        <x:v>8</x:v>
      </x:c>
      <x:c r="N49" s="144" t="str">
        <x:v>未开始</x:v>
      </x:c>
      <x:c r="O49" s="144" t="str">
        <x:v>原计划缺失</x:v>
      </x:c>
      <x:c r="P49" s="144" t="str">
        <x:v>NvM属性与发布需求</x:v>
      </x:c>
    </x:row>
    <x:row r="50" ht="82" customHeight="1">
      <x:c r="A50" s="144" t="str">
        <x:v>M2-08</x:v>
      </x:c>
      <x:c r="B50" s="144" t="str">
        <x:v>M2</x:v>
      </x:c>
      <x:c r="C50" s="144" t="str">
        <x:v>Dem</x:v>
      </x:c>
      <x:c r="D50" s="144" t="str">
        <x:v>217事件/59 DTC完整矩阵</x:v>
      </x:c>
      <x:c r="E50" s="144" t="str">
        <x:v>导出Event↔DTC、debounce、priority、aging、operation cycle、enable/storage condition、FF/ExtData、NvM ID。</x:v>
      </x:c>
      <x:c r="F50" s="144" t="str">
        <x:v>主存储40条、无displacement；仅POWER cycle；2 FF/2 extended。</x:v>
      </x:c>
      <x:c r="G50" s="144" t="str">
        <x:v>完整DTC需求与故障反应。</x:v>
      </x:c>
      <x:c r="H50" s="144" t="str">
        <x:v>双方</x:v>
      </x:c>
      <x:c r="I50" s="144" t="str">
        <x:v>M2-05</x:v>
      </x:c>
      <x:c r="J50" s="144" t="str">
        <x:v>Dem事件/DTC矩阵、配置和注入脚本。</x:v>
      </x:c>
      <x:c r="K50" s="144" t="str">
        <x:v>217事件逐项或覆盖等价类；40条满载、断电、ClearDTC、老化均通过。</x:v>
      </x:c>
      <x:c r="L50" s="144" t="str">
        <x:v>P0</x:v>
      </x:c>
      <x:c r="M50" s="153" t="n">
        <x:v>15</x:v>
      </x:c>
      <x:c r="N50" s="144" t="str">
        <x:v>未开始</x:v>
      </x:c>
      <x:c r="O50" s="144" t="str">
        <x:v>T2 DEM</x:v>
      </x:c>
      <x:c r="P50" s="144" t="str">
        <x:v>Dem_Cfg_EventId.h:24-25；Dem_Cfg_EvMem.h:39-143</x:v>
      </x:c>
    </x:row>
    <x:row r="51" ht="82" customHeight="1">
      <x:c r="A51" s="144" t="str">
        <x:v>M2-09</x:v>
      </x:c>
      <x:c r="B51" s="144" t="str">
        <x:v>M2</x:v>
      </x:c>
      <x:c r="C51" s="144" t="str">
        <x:v>Dcm</x:v>
      </x:c>
      <x:c r="D51" s="144" t="str">
        <x:v>UDS服务/会话/寻址完整配置</x:v>
      </x:c>
      <x:c r="E51" s="144" t="str">
        <x:v>实现现基线11项服务、5 session、物理/功能寻址、P2/P2*/S3和NRC矩阵；未授权服务必须明确禁用。</x:v>
      </x:c>
      <x:c r="F51" s="144" t="str">
        <x:v>启用10/11/14/19/22/27/28/2E/31/3E/85。</x:v>
      </x:c>
      <x:c r="G51" s="144" t="str">
        <x:v>OEM诊断规范。</x:v>
      </x:c>
      <x:c r="H51" s="144" t="str">
        <x:v>东软</x:v>
      </x:c>
      <x:c r="I51" s="144" t="str">
        <x:v>M2-01,M2-08</x:v>
      </x:c>
      <x:c r="J51" s="144" t="str">
        <x:v>服务矩阵、Dcm配置、正负向脚本。</x:v>
      </x:c>
      <x:c r="K51" s="144" t="str">
        <x:v>每服务在每session/security下正负向和NRC通过；时序边界通过。</x:v>
      </x:c>
      <x:c r="L51" s="144" t="str">
        <x:v>P0</x:v>
      </x:c>
      <x:c r="M51" s="153" t="n">
        <x:v>12</x:v>
      </x:c>
      <x:c r="N51" s="144" t="str">
        <x:v>未开始</x:v>
      </x:c>
      <x:c r="O51" s="144" t="str">
        <x:v>T2 DCM</x:v>
      </x:c>
      <x:c r="P51" s="144" t="str">
        <x:v>Dcm_Lcfg_Dsd.c:367-556；Dcm_Cfg_DslDsd.h:29-52</x:v>
      </x:c>
    </x:row>
    <x:row r="52" ht="82" customHeight="1">
      <x:c r="A52" s="144" t="str">
        <x:v>M2-10</x:v>
      </x:c>
      <x:c r="B52" s="144" t="str">
        <x:v>M2</x:v>
      </x:c>
      <x:c r="C52" s="144" t="str">
        <x:v>Dcm</x:v>
      </x:c>
      <x:c r="D52" s="144" t="str">
        <x:v>48 DID数据合同</x:v>
      </x:c>
      <x:c r="E52" s="144" t="str">
        <x:v>对48 DID定义长度、读写属性、端序、回调、NvM关联、session/security、NRC和更新时点。</x:v>
      </x:c>
      <x:c r="F52" s="144" t="str">
        <x:v>工程可确认48 DID及长度，但附件仍有多个DID长度待确认。</x:v>
      </x:c>
      <x:c r="G52" s="144" t="str">
        <x:v>DID需求、数据owner。</x:v>
      </x:c>
      <x:c r="H52" s="144" t="str">
        <x:v>双方</x:v>
      </x:c>
      <x:c r="I52" s="144" t="str">
        <x:v>M2-09,M2-05</x:v>
      </x:c>
      <x:c r="J52" s="144" t="str">
        <x:v>DID矩阵、回调接口和自动测试。</x:v>
      </x:c>
      <x:c r="K52" s="144" t="str">
        <x:v>所有DID边界长度、条件、持久化、负响应和复位后行为通过。</x:v>
      </x:c>
      <x:c r="L52" s="144" t="str">
        <x:v>P0</x:v>
      </x:c>
      <x:c r="M52" s="153" t="n">
        <x:v>15</x:v>
      </x:c>
      <x:c r="N52" s="144" t="str">
        <x:v>未开始</x:v>
      </x:c>
      <x:c r="O52" s="144" t="str">
        <x:v>T2 DID矩阵</x:v>
      </x:c>
      <x:c r="P52" s="144" t="str">
        <x:v>Dcm_Lcfg_DspUds.c:2921-3005</x:v>
      </x:c>
    </x:row>
    <x:row r="53" ht="82" customHeight="1">
      <x:c r="A53" s="144" t="str">
        <x:v>M2-11</x:v>
      </x:c>
      <x:c r="B53" s="144" t="str">
        <x:v>M2</x:v>
      </x:c>
      <x:c r="C53" s="144" t="str">
        <x:v>Dcm</x:v>
      </x:c>
      <x:c r="D53" s="144" t="str">
        <x:v>5 Routine与异步处理</x:v>
      </x:c>
      <x:c r="E53" s="144" t="str">
        <x:v>实现0203/0302/54DF/FD00/FD01等现基线Routine，定义输入输出、异步、取消、NRC和安全影响。</x:v>
      </x:c>
      <x:c r="F53" s="144" t="str">
        <x:v>现Routine权限存在多种session/security mask。</x:v>
      </x:c>
      <x:c r="G53" s="144" t="str">
        <x:v>Routine规范/安全职责。</x:v>
      </x:c>
      <x:c r="H53" s="144" t="str">
        <x:v>双方</x:v>
      </x:c>
      <x:c r="I53" s="144" t="str">
        <x:v>M2-09</x:v>
      </x:c>
      <x:c r="J53" s="144" t="str">
        <x:v>Routine矩阵、回调和测试。</x:v>
      </x:c>
      <x:c r="K53" s="144" t="str">
        <x:v>start/stop/result、busy、超时、取消、错误参数和掉电行为完整。</x:v>
      </x:c>
      <x:c r="L53" s="144" t="str">
        <x:v>P0</x:v>
      </x:c>
      <x:c r="M53" s="153" t="n">
        <x:v>10</x:v>
      </x:c>
      <x:c r="N53" s="144" t="str">
        <x:v>未开始</x:v>
      </x:c>
      <x:c r="O53" s="144" t="str">
        <x:v>T2 Routine</x:v>
      </x:c>
      <x:c r="P53" s="144" t="str">
        <x:v>Dcm_Lcfg_DspUds.c:359-404,823-951</x:v>
      </x:c>
    </x:row>
    <x:row r="54" ht="82" customHeight="1">
      <x:c r="A54" s="144" t="str">
        <x:v>M2-12</x:v>
      </x:c>
      <x:c r="B54" s="144" t="str">
        <x:v>M2</x:v>
      </x:c>
      <x:c r="C54" s="144" t="str">
        <x:v>安全访问</x:v>
      </x:c>
      <x:c r="D54" s="144" t="str">
        <x:v>0x27安全等级与尝试计数</x:v>
      </x:c>
      <x:c r="E54" s="144" t="str">
        <x:v>定义L1/L31/L32 seed/key长度、算法接口、延迟、失败次数、持久化和生命周期；密钥由客户/HSM掌管。</x:v>
      </x:c>
      <x:c r="F54" s="144" t="str">
        <x:v>现L1 4/4；L31 seed250/key2000；L32同；样例实现不可开放复制。</x:v>
      </x:c>
      <x:c r="G54" s="144" t="str">
        <x:v>批准的算法/接口、HSM服务、测试向量。</x:v>
      </x:c>
      <x:c r="H54" s="144" t="str">
        <x:v>双方/安全方</x:v>
      </x:c>
      <x:c r="I54" s="144" t="str">
        <x:v>M2-09,M2-05</x:v>
      </x:c>
      <x:c r="J54" s="144" t="str">
        <x:v>安全访问规范、适配层和安全测试。</x:v>
      </x:c>
      <x:c r="K54" s="144" t="str">
        <x:v>正确/错误/重放/暴力/掉电/超时/计数持久化通过；不泄露秘密。</x:v>
      </x:c>
      <x:c r="L54" s="144" t="str">
        <x:v>P0</x:v>
      </x:c>
      <x:c r="M54" s="153" t="n">
        <x:v>12</x:v>
      </x:c>
      <x:c r="N54" s="144" t="str">
        <x:v>未开始</x:v>
      </x:c>
      <x:c r="O54" s="144" t="str">
        <x:v>T2 SecurityAccess</x:v>
      </x:c>
      <x:c r="P54" s="144" t="str">
        <x:v>Dcm_Lcfg_DspUds.c:102-181；DiaSecurityAccess.c</x:v>
      </x:c>
    </x:row>
    <x:row r="55" ht="82" customHeight="1">
      <x:c r="A55" s="144" t="str">
        <x:v>M2-13</x:v>
      </x:c>
      <x:c r="B55" s="144" t="str">
        <x:v>M2</x:v>
      </x:c>
      <x:c r="C55" s="144" t="str">
        <x:v>CanTp</x:v>
      </x:c>
      <x:c r="D55" s="144" t="str">
        <x:v>诊断传输层</x:v>
      </x:c>
      <x:c r="E55" s="144" t="str">
        <x:v>配置物理/功能Rx、1Tx，STmin20ms、BS8、WFTmax0、Ncr/Nbs180ms、Nar/Nbr/Nas/Ncs70ms、padding AA。</x:v>
      </x:c>
      <x:c r="F55" s="144" t="str">
        <x:v>诊断链配置DLC8但栈具CAN-FD能力。</x:v>
      </x:c>
      <x:c r="G55" s="144" t="str">
        <x:v>诊断通信规范。</x:v>
      </x:c>
      <x:c r="H55" s="144" t="str">
        <x:v>东软</x:v>
      </x:c>
      <x:c r="I55" s="144" t="str">
        <x:v>M2-01,M2-09</x:v>
      </x:c>
      <x:c r="J55" s="144" t="str">
        <x:v>CanTp/PduR配置和多帧脚本。</x:v>
      </x:c>
      <x:c r="K55" s="144" t="str">
        <x:v>SF/FF/CF/FC、4095边界、超时、丢帧、乱序、Bus-Off和padding通过。</x:v>
      </x:c>
      <x:c r="L55" s="144" t="str">
        <x:v>P0</x:v>
      </x:c>
      <x:c r="M55" s="153" t="n">
        <x:v>8</x:v>
      </x:c>
      <x:c r="N55" s="144" t="str">
        <x:v>未开始</x:v>
      </x:c>
      <x:c r="O55" s="144" t="str">
        <x:v>T2 CanTp/PduR</x:v>
      </x:c>
      <x:c r="P55" s="144" t="str">
        <x:v>MCU_Project_Diag_CanTp_EcucValues.arxml:20-182</x:v>
      </x:c>
    </x:row>
    <x:row r="56" ht="82" customHeight="1">
      <x:c r="A56" s="144" t="str">
        <x:v>M2-14</x:v>
      </x:c>
      <x:c r="B56" s="144" t="str">
        <x:v>M2</x:v>
      </x:c>
      <x:c r="C56" s="144" t="str">
        <x:v>FiM/DET</x:v>
      </x:c>
      <x:c r="D56" s="144" t="str">
        <x:v>功能抑制与开发错误策略</x:v>
      </x:c>
      <x:c r="E56" s="144" t="str">
        <x:v>根据DTC定义FiM FunctionId、抑制条件和恢复；明确DET在开发/量产构建的路由与反应。</x:v>
      </x:c>
      <x:c r="F56" s="144" t="str">
        <x:v>附件首版FiM缺失；现工程不能替代OEM策略。</x:v>
      </x:c>
      <x:c r="G56" s="144" t="str">
        <x:v>故障反应/功能降级矩阵。</x:v>
      </x:c>
      <x:c r="H56" s="144" t="str">
        <x:v>双方</x:v>
      </x:c>
      <x:c r="I56" s="144" t="str">
        <x:v>M2-08</x:v>
      </x:c>
      <x:c r="J56" s="144" t="str">
        <x:v>FiM矩阵、DET策略和测试。</x:v>
      </x:c>
      <x:c r="K56" s="144" t="str">
        <x:v>每个抑制条件、恢复和多故障组合符合矩阵；量产无调试副作用。</x:v>
      </x:c>
      <x:c r="L56" s="144" t="str">
        <x:v>P1</x:v>
      </x:c>
      <x:c r="M56" s="153" t="n">
        <x:v>8</x:v>
      </x:c>
      <x:c r="N56" s="144" t="str">
        <x:v>未开始</x:v>
      </x:c>
      <x:c r="O56" s="144" t="str">
        <x:v>T2 FiM/DET</x:v>
      </x:c>
      <x:c r="P56" s="144" t="str">
        <x:v>问题清单QA19</x:v>
      </x:c>
    </x:row>
    <x:row r="57" ht="82" customHeight="1">
      <x:c r="A57" s="144" t="str">
        <x:v>M2-15</x:v>
      </x:c>
      <x:c r="B57" s="144" t="str">
        <x:v>M2</x:v>
      </x:c>
      <x:c r="C57" s="144" t="str">
        <x:v>生命周期</x:v>
      </x:c>
      <x:c r="D57" s="144" t="str">
        <x:v>EcuM/BswM上下电/复位/唤醒</x:v>
      </x:c>
      <x:c r="E57" s="144" t="str">
        <x:v>完整实现KL30/KL15、Can wake、诊断复位、硬/软复位、NvM WriteAll、Dem shutdown和NoCom。</x:v>
      </x:c>
      <x:c r="F57" s="144" t="str">
        <x:v>现默认shutdown OFF、无sleep mode、8 wake source且无validation。</x:v>
      </x:c>
      <x:c r="G57" s="144" t="str">
        <x:v>OEM电源/唤醒/功耗规范。</x:v>
      </x:c>
      <x:c r="H57" s="144" t="str">
        <x:v>东软</x:v>
      </x:c>
      <x:c r="I57" s="144" t="str">
        <x:v>M2-03,M2-05,M2-09</x:v>
      </x:c>
      <x:c r="J57" s="144" t="str">
        <x:v>状态机、action list、功耗/复位报告。</x:v>
      </x:c>
      <x:c r="K57" s="144" t="str">
        <x:v>冷/热/欠压/诊断/WDG/Can wake及掉电一致性通过。</x:v>
      </x:c>
      <x:c r="L57" s="144" t="str">
        <x:v>P0</x:v>
      </x:c>
      <x:c r="M57" s="153" t="n">
        <x:v>12</x:v>
      </x:c>
      <x:c r="N57" s="144" t="str">
        <x:v>未开始</x:v>
      </x:c>
      <x:c r="O57" s="144" t="str">
        <x:v>T2系统服务</x:v>
      </x:c>
      <x:c r="P57" s="144" t="str">
        <x:v>EcuM_PBcfg.c:33-58；EcuM_Cfg.h:75-110</x:v>
      </x:c>
    </x:row>
    <x:row r="58" ht="82" customHeight="1">
      <x:c r="A58" s="144" t="str">
        <x:v>M2-16</x:v>
      </x:c>
      <x:c r="B58" s="144" t="str">
        <x:v>M2</x:v>
      </x:c>
      <x:c r="C58" s="144" t="str">
        <x:v>看门狗</x:v>
      </x:c>
      <x:c r="D58" s="144" t="str">
        <x:v>最终WdgM/PMIC监控架构</x:v>
      </x:c>
      <x:c r="E58" s="144" t="str">
        <x:v>决定并实现监督实体、alive/deadline/logical、外部PMIC窗口、复位原因和诊断服务期间策略。</x:v>
      </x:c>
      <x:c r="F58" s="144" t="str">
        <x:v>现WdgM虽生成1 SE/1 CP但应用和驱动为空。</x:v>
      </x:c>
      <x:c r="G58" s="144" t="str">
        <x:v>安全目标/监控列表、复位容限。</x:v>
      </x:c>
      <x:c r="H58" s="144" t="str">
        <x:v>双方</x:v>
      </x:c>
      <x:c r="I58" s="144" t="str">
        <x:v>M1-23</x:v>
      </x:c>
      <x:c r="J58" s="144" t="str">
        <x:v>Wdg矩阵、配置、故障注入。</x:v>
      </x:c>
      <x:c r="K58" s="144" t="str">
        <x:v>每个受监控实体早/晚/不喂、任务卡死、ISR洪泛、启动/编程场景判定正确。</x:v>
      </x:c>
      <x:c r="L58" s="144" t="str">
        <x:v>P0</x:v>
      </x:c>
      <x:c r="M58" s="153" t="n">
        <x:v>12</x:v>
      </x:c>
      <x:c r="N58" s="144" t="str">
        <x:v>未开始</x:v>
      </x:c>
      <x:c r="O58" s="144" t="str">
        <x:v>T2 WdgM/WdgIf</x:v>
      </x:c>
      <x:c r="P58" s="144" t="str">
        <x:v>WdgM_Cfg.c:65-130；ASW_WDG.c</x:v>
      </x:c>
    </x:row>
    <x:row r="59" ht="82" customHeight="1">
      <x:c r="A59" s="144" t="str">
        <x:v>M2-17</x:v>
      </x:c>
      <x:c r="B59" s="144" t="str">
        <x:v>M2</x:v>
      </x:c>
      <x:c r="C59" s="144" t="str">
        <x:v>XCP</x:v>
      </x:c>
      <x:c r="D59" s="144" t="str">
        <x:v>量产XCP/A2L策略</x:v>
      </x:c>
      <x:c r="E59" s="144" t="str">
        <x:v>配置XCP on CAN、DAQ/event/A2L；量产生命周期关闭或使用白名单和批准Seed&amp;Key；禁止任意地址访问。</x:v>
      </x:c>
      <x:c r="F59" s="144" t="str">
        <x:v>现Tx 0x778/Rx0x332、64B、10ms event；seed/key样例且内存保护关闭。</x:v>
      </x:c>
      <x:c r="G59" s="144" t="str">
        <x:v>标定变量、地址白名单、量产策略。</x:v>
      </x:c>
      <x:c r="H59" s="144" t="str">
        <x:v>双方</x:v>
      </x:c>
      <x:c r="I59" s="144" t="str">
        <x:v>M2-01,M2-12</x:v>
      </x:c>
      <x:c r="J59" s="144" t="str">
        <x:v>A2L、XCP配置、权限矩阵和CANape报告。</x:v>
      </x:c>
      <x:c r="K59" s="144" t="str">
        <x:v>四角ID映射、DAQ一致；非法地址/错误key/量产模式访问被拒。</x:v>
      </x:c>
      <x:c r="L59" s="144" t="str">
        <x:v>P0</x:v>
      </x:c>
      <x:c r="M59" s="153" t="n">
        <x:v>10</x:v>
      </x:c>
      <x:c r="N59" s="144" t="str">
        <x:v>未开始</x:v>
      </x:c>
      <x:c r="O59" s="144" t="str">
        <x:v>T2 XCP</x:v>
      </x:c>
      <x:c r="P59" s="144" t="str">
        <x:v>Xcp_Cfg.h:59-175；Xcp_SeedAndKey.c:14-181</x:v>
      </x:c>
    </x:row>
    <x:row r="60" ht="82" customHeight="1">
      <x:c r="A60" s="144" t="str">
        <x:v>M2-18</x:v>
      </x:c>
      <x:c r="B60" s="144" t="str">
        <x:v>M2</x:v>
      </x:c>
      <x:c r="C60" s="144" t="str">
        <x:v>MCAL</x:v>
      </x:c>
      <x:c r="D60" s="144" t="str">
        <x:v>完整ADC/SPI/UART/DIO</x:v>
      </x:c>
      <x:c r="E60" s="144" t="str">
        <x:v>核对12 ADC channel与2 group、预留通道、UART和全部DIO；补齐硬件诊断。</x:v>
      </x:c>
      <x:c r="F60" s="144" t="str">
        <x:v>ADC配置12通道但仅7通道入group。</x:v>
      </x:c>
      <x:c r="G60" s="144" t="str">
        <x:v>原理图/HSI/测试点。</x:v>
      </x:c>
      <x:c r="H60" s="144" t="str">
        <x:v>东软</x:v>
      </x:c>
      <x:c r="I60" s="144" t="str">
        <x:v>M1-04</x:v>
      </x:c>
      <x:c r="J60" s="144" t="str">
        <x:v>完整MCAL配置与板级I/O报告。</x:v>
      </x:c>
      <x:c r="K60" s="144" t="str">
        <x:v>每通道范围/精度/采样/故障检测通过；预留项有批准说明。</x:v>
      </x:c>
      <x:c r="L60" s="144" t="str">
        <x:v>P1</x:v>
      </x:c>
      <x:c r="M60" s="153" t="n">
        <x:v>10</x:v>
      </x:c>
      <x:c r="N60" s="144" t="str">
        <x:v>未开始</x:v>
      </x:c>
      <x:c r="O60" s="144" t="str">
        <x:v>T2 MCAL</x:v>
      </x:c>
      <x:c r="P60" s="144" t="str">
        <x:v>Adc_PBcfg.c:70-305</x:v>
      </x:c>
    </x:row>
    <x:row r="61" ht="82" customHeight="1">
      <x:c r="A61" s="144" t="str">
        <x:v>M2-19</x:v>
      </x:c>
      <x:c r="B61" s="144" t="str">
        <x:v>M2</x:v>
      </x:c>
      <x:c r="C61" s="144" t="str">
        <x:v>CDD</x:v>
      </x:c>
      <x:c r="D61" s="144" t="str">
        <x:v>LP87745/TCAN1043/外部器件量产CDD</x:v>
      </x:c>
      <x:c r="E61" s="144" t="str">
        <x:v>补齐初始化、诊断、故障、超时、复位、低功耗和DET/DEM映射；区分客户已有CDD与东软适配责任。</x:v>
      </x:c>
      <x:c r="F61" s="144" t="str">
        <x:v>附件写CDD由用户自主开发，但计划又要求供应商联调。</x:v>
      </x:c>
      <x:c r="G61" s="144" t="str">
        <x:v>CDD源码/接口/芯片手册。</x:v>
      </x:c>
      <x:c r="H61" s="144" t="str">
        <x:v>双方</x:v>
      </x:c>
      <x:c r="I61" s="144" t="str">
        <x:v>M1-06,M2-15</x:v>
      </x:c>
      <x:c r="J61" s="144" t="str">
        <x:v>CDD ICD、适配层和故障报告。</x:v>
      </x:c>
      <x:c r="K61" s="144" t="str">
        <x:v>开短路/通信失败/欠压/过温/复位/休眠唤醒按矩阵处理。</x:v>
      </x:c>
      <x:c r="L61" s="144" t="str">
        <x:v>P1</x:v>
      </x:c>
      <x:c r="M61" s="153" t="n">
        <x:v>12</x:v>
      </x:c>
      <x:c r="N61" s="144" t="str">
        <x:v>未开始</x:v>
      </x:c>
      <x:c r="O61" s="144" t="str">
        <x:v>T2 CDD</x:v>
      </x:c>
      <x:c r="P61" s="144" t="str">
        <x:v>项目信息Sheet；EcuM_Callout_Stubs.c</x:v>
      </x:c>
    </x:row>
    <x:row r="62" ht="82" customHeight="1">
      <x:c r="A62" s="144" t="str">
        <x:v>M2-20</x:v>
      </x:c>
      <x:c r="B62" s="144" t="str">
        <x:v>M2</x:v>
      </x:c>
      <x:c r="C62" s="144" t="str">
        <x:v>Boot接口</x:v>
      </x:c>
      <x:c r="D62" s="144" t="str">
        <x:v>应用↔Boot warm start/reprogramming</x:v>
      </x:c>
      <x:c r="E62" s="144" t="str">
        <x:v>实现ReprogrammingFlag、ResetReason、ComM FULL后warm response、编程会话切换和NvM收尾。</x:v>
      </x:c>
      <x:c r="F62" s="144" t="str">
        <x:v>现SetProgConditions为空，部分reset callback为空。</x:v>
      </x:c>
      <x:c r="G62" s="144" t="str">
        <x:v>Boot ICD、刷新流程。</x:v>
      </x:c>
      <x:c r="H62" s="144" t="str">
        <x:v>双方</x:v>
      </x:c>
      <x:c r="I62" s="144" t="str">
        <x:v>M2-05,M2-09,M2-15</x:v>
      </x:c>
      <x:c r="J62" s="144" t="str">
        <x:v>接口代码、状态机和刷写测试。</x:v>
      </x:c>
      <x:c r="K62" s="144" t="str">
        <x:v>10/02、06会话进入Boot；复位前后响应、flag清理、超时和失败恢复正确。</x:v>
      </x:c>
      <x:c r="L62" s="144" t="str">
        <x:v>P0</x:v>
      </x:c>
      <x:c r="M62" s="153" t="n">
        <x:v>10</x:v>
      </x:c>
      <x:c r="N62" s="144" t="str">
        <x:v>未开始</x:v>
      </x:c>
      <x:c r="O62" s="144" t="str">
        <x:v>Boot联调</x:v>
      </x:c>
      <x:c r="P62" s="144" t="str">
        <x:v>Dia_FBL.c:18-100；Dia_FBL_WarmStart.c:9-118</x:v>
      </x:c>
    </x:row>
    <x:row r="63" ht="82" customHeight="1">
      <x:c r="A63" s="144" t="str">
        <x:v>M2-21</x:v>
      </x:c>
      <x:c r="B63" s="144" t="str">
        <x:v>M2</x:v>
      </x:c>
      <x:c r="C63" s="144" t="str">
        <x:v>安全启动</x:v>
      </x:c>
      <x:c r="D63" s="144" t="str">
        <x:v>HSM/secure boot生命周期集成</x:v>
      </x:c>
      <x:c r="E63" s="144" t="str">
        <x:v>集成授权HSM二进制；冻结SHA512/RSA/AES-GCM接口、生命周期、签名请求/KMS职责；不得交付密钥。</x:v>
      </x:c>
      <x:c r="F63" s="144" t="str">
        <x:v>efused签名依赖外部KMS路径；anti-rollback未见实现。</x:v>
      </x:c>
      <x:c r="G63" s="144" t="str">
        <x:v>HSM/KMS服务协议、生命周期/回滚决策。</x:v>
      </x:c>
      <x:c r="H63" s="144" t="str">
        <x:v>双方/安全方</x:v>
      </x:c>
      <x:c r="I63" s="144" t="str">
        <x:v>M2-20</x:v>
      </x:c>
      <x:c r="J63" s="144" t="str">
        <x:v>安全接口、unsigned artifact、manifest、验证报告。</x:v>
      </x:c>
      <x:c r="K63" s="144" t="str">
        <x:v>篡改/错误key/tag/生命周期/HSM忙或重启行为符合规范；秘密不落地。</x:v>
      </x:c>
      <x:c r="L63" s="144" t="str">
        <x:v>P0</x:v>
      </x:c>
      <x:c r="M63" s="153" t="n">
        <x:v>15</x:v>
      </x:c>
      <x:c r="N63" s="144" t="str">
        <x:v>未开始</x:v>
      </x:c>
      <x:c r="O63" s="144" t="str">
        <x:v>信息安全待讨论</x:v>
      </x:c>
      <x:c r="P63" s="144" t="str">
        <x:v>rbSecBoot.c:178-403；KMS_Signning.py</x:v>
      </x:c>
    </x:row>
    <x:row r="64" ht="82" customHeight="1">
      <x:c r="A64" s="144" t="str">
        <x:v>M2-22</x:v>
      </x:c>
      <x:c r="B64" s="144" t="str">
        <x:v>M2</x:v>
      </x:c>
      <x:c r="C64" s="144" t="str">
        <x:v>产线/标定</x:v>
      </x:c>
      <x:c r="D64" s="144" t="str">
        <x:v>WFDA/CUDA/CLDA与EOL流程</x:v>
      </x:c>
      <x:c r="E64" s="144" t="str">
        <x:v>定义数据生成、签名/加密、编程、读取验证、返工、版本与审计。</x:v>
      </x:c>
      <x:c r="F64" s="144" t="str">
        <x:v>主链依赖CUDA/CLDA，不能只作为工具附件。</x:v>
      </x:c>
      <x:c r="G64" s="144" t="str">
        <x:v>产线需求、合法模板、密钥边界。</x:v>
      </x:c>
      <x:c r="H64" s="144" t="str">
        <x:v>双方</x:v>
      </x:c>
      <x:c r="I64" s="144" t="str">
        <x:v>M1-11,M2-21</x:v>
      </x:c>
      <x:c r="J64" s="144" t="str">
        <x:v>EOL工具/手顺、数据schema和审计记录。</x:v>
      </x:c>
      <x:c r="K64" s="144" t="str">
        <x:v>合法/错误/重复/错位置数据处理正确；产线可追溯且不暴露密钥。</x:v>
      </x:c>
      <x:c r="L64" s="144" t="str">
        <x:v>P1</x:v>
      </x:c>
      <x:c r="M64" s="153" t="n">
        <x:v>10</x:v>
      </x:c>
      <x:c r="N64" s="144" t="str">
        <x:v>未开始</x:v>
      </x:c>
      <x:c r="O64" s="144" t="str">
        <x:v>原计划缺失</x:v>
      </x:c>
      <x:c r="P64" s="144" t="str">
        <x:v>tools/WFDA_CUDA_CLDA_gen；rbSecBoot.c</x:v>
      </x:c>
    </x:row>
    <x:row r="65" ht="82" customHeight="1">
      <x:c r="A65" s="144" t="str">
        <x:v>M2-23</x:v>
      </x:c>
      <x:c r="B65" s="144" t="str">
        <x:v>M2</x:v>
      </x:c>
      <x:c r="C65" s="144" t="str">
        <x:v>EDR/NvM</x:v>
      </x:c>
      <x:c r="D65" s="144" t="str">
        <x:v>EDR与大块数据策略</x:v>
      </x:c>
      <x:c r="E65" s="144" t="str">
        <x:v>定义ID99/100各4900B和write flag的触发、频率、掉电、寿命、并发与读取服务。</x:v>
      </x:c>
      <x:c r="F65" s="144" t="str">
        <x:v>两大块无永久RAM且Resistant，需明确API和寿命。</x:v>
      </x:c>
      <x:c r="G65" s="144" t="str">
        <x:v>EDR需求、写频率、诊断接口。</x:v>
      </x:c>
      <x:c r="H65" s="144" t="str">
        <x:v>双方</x:v>
      </x:c>
      <x:c r="I65" s="144" t="str">
        <x:v>M2-05,M2-06</x:v>
      </x:c>
      <x:c r="J65" s="144" t="str">
        <x:v>EDR数据字典、寿命评估和断电测试。</x:v>
      </x:c>
      <x:c r="K65" s="144" t="str">
        <x:v>最大频率和电源循环下寿命满足要求；中断写入可恢复。</x:v>
      </x:c>
      <x:c r="L65" s="144" t="str">
        <x:v>P1</x:v>
      </x:c>
      <x:c r="M65" s="153" t="n">
        <x:v>8</x:v>
      </x:c>
      <x:c r="N65" s="144" t="str">
        <x:v>未开始</x:v>
      </x:c>
      <x:c r="O65" s="144" t="str">
        <x:v>T2 NvM</x:v>
      </x:c>
      <x:c r="P65" s="144" t="str">
        <x:v>NvM_Cfg.c ID99-101</x:v>
      </x:c>
    </x:row>
    <x:row r="66" ht="82" customHeight="1">
      <x:c r="A66" s="144" t="str">
        <x:v>M2-24</x:v>
      </x:c>
      <x:c r="B66" s="144" t="str">
        <x:v>M2</x:v>
      </x:c>
      <x:c r="C66" s="144" t="str">
        <x:v>诊断存储</x:v>
      </x:c>
      <x:c r="D66" s="144" t="str">
        <x:v>Dem/NvM同步块与40条事件存储</x:v>
      </x:c>
      <x:c r="E66" s="144" t="str">
        <x:v>验证ID29..90/102共享镜像、40 event entries、status byte和extra info的并发与一致性。</x:v>
      </x:c>
      <x:c r="F66" s="144" t="str">
        <x:v>这些块使用explicit sync共享镜像。</x:v>
      </x:c>
      <x:c r="G66" s="144" t="str">
        <x:v>Dem数据记录定义。</x:v>
      </x:c>
      <x:c r="H66" s="144" t="str">
        <x:v>东软</x:v>
      </x:c>
      <x:c r="I66" s="144" t="str">
        <x:v>M2-05,M2-08</x:v>
      </x:c>
      <x:c r="J66" s="144" t="str">
        <x:v>映射表、并发/断电测试。</x:v>
      </x:c>
      <x:c r="K66" s="144" t="str">
        <x:v>Dcm 0x19读取与Dem内部状态一致；并发写/清/掉电无污染。</x:v>
      </x:c>
      <x:c r="L66" s="144" t="str">
        <x:v>P0</x:v>
      </x:c>
      <x:c r="M66" s="153" t="n">
        <x:v>8</x:v>
      </x:c>
      <x:c r="N66" s="144" t="str">
        <x:v>未开始</x:v>
      </x:c>
      <x:c r="O66" s="144" t="str">
        <x:v>T2 Dem/NvM</x:v>
      </x:c>
      <x:c r="P66" s="144" t="str">
        <x:v>NvM_Cfg.c ID29-90,102；Dem_Cfg_Nvm.h</x:v>
      </x:c>
    </x:row>
    <x:row r="67" ht="82" customHeight="1">
      <x:c r="A67" s="144" t="str">
        <x:v>M2-25</x:v>
      </x:c>
      <x:c r="B67" s="144" t="str">
        <x:v>M2</x:v>
      </x:c>
      <x:c r="C67" s="144" t="str">
        <x:v>通信逻辑</x:v>
      </x:c>
      <x:c r="D67" s="144" t="str">
        <x:v>客户网络状态与强制休眠</x:v>
      </x:c>
      <x:c r="E67" s="144" t="str">
        <x:v>重写并验证0x12D/0x49A/0x1C6等管理逻辑、动态ID、位置映射、强制休眠。</x:v>
      </x:c>
      <x:c r="F67" s="144" t="str">
        <x:v>现0x49A超时逻辑疑似误用12D flag。</x:v>
      </x:c>
      <x:c r="G67" s="144" t="str">
        <x:v>客户网络状态需求。</x:v>
      </x:c>
      <x:c r="H67" s="144" t="str">
        <x:v>东软</x:v>
      </x:c>
      <x:c r="I67" s="144" t="str">
        <x:v>M2-01,M2-03</x:v>
      </x:c>
      <x:c r="J67" s="144" t="str">
        <x:v>状态机、单元/集成测试。</x:v>
      </x:c>
      <x:c r="K67" s="144" t="str">
        <x:v>各报文正常/超时/翻转组合无串扰；位置和休眠行为正确。</x:v>
      </x:c>
      <x:c r="L67" s="144" t="str">
        <x:v>P0</x:v>
      </x:c>
      <x:c r="M67" s="153" t="n">
        <x:v>8</x:v>
      </x:c>
      <x:c r="N67" s="144" t="str">
        <x:v>未开始</x:v>
      </x:c>
      <x:c r="O67" s="144" t="str">
        <x:v>T2 NM/COM</x:v>
      </x:c>
      <x:c r="P67" s="144" t="str">
        <x:v>components/com/src/net_X_Mngmt.c:137-156</x:v>
      </x:c>
    </x:row>
    <x:row r="68" ht="82" customHeight="1">
      <x:c r="A68" s="144" t="str">
        <x:v>M2-26</x:v>
      </x:c>
      <x:c r="B68" s="144" t="str">
        <x:v>M2</x:v>
      </x:c>
      <x:c r="C68" s="144" t="str">
        <x:v>质量</x:v>
      </x:c>
      <x:c r="D68" s="144" t="str">
        <x:v>模块单元测试扩充</x:v>
      </x:c>
      <x:c r="E68" s="144" t="str">
        <x:v>把客户22模块及BSW适配纳入CI；为状态机、诊断、NvM、通信、CDD增加单测和mock。</x:v>
      </x:c>
      <x:c r="F68" s="144" t="str">
        <x:v>CI当前仅8个安全模块，客户module list有22个。</x:v>
      </x:c>
      <x:c r="G68" s="144" t="str">
        <x:v>覆盖率阈值。</x:v>
      </x:c>
      <x:c r="H68" s="144" t="str">
        <x:v>东软</x:v>
      </x:c>
      <x:c r="I68" s="144" t="str">
        <x:v>M2-01..25</x:v>
      </x:c>
      <x:c r="J68" s="144" t="str">
        <x:v>UT源码、报告、覆盖率。</x:v>
      </x:c>
      <x:c r="K68" s="144" t="str">
        <x:v>全部目标模块运行；门禁阈值写入合同；无被注释的关键用例。</x:v>
      </x:c>
      <x:c r="L68" s="144" t="str">
        <x:v>P1</x:v>
      </x:c>
      <x:c r="M68" s="153" t="n">
        <x:v>15</x:v>
      </x:c>
      <x:c r="N68" s="144" t="str">
        <x:v>未开始</x:v>
      </x:c>
      <x:c r="O68" s="144" t="str">
        <x:v>全功能自测</x:v>
      </x:c>
      <x:c r="P68" s="144" t="str">
        <x:v>unittest_list.json；module_lists_coem.json</x:v>
      </x:c>
    </x:row>
    <x:row r="69" ht="82" customHeight="1">
      <x:c r="A69" s="144" t="str">
        <x:v>M2-27</x:v>
      </x:c>
      <x:c r="B69" s="144" t="str">
        <x:v>M2</x:v>
      </x:c>
      <x:c r="C69" s="144" t="str">
        <x:v>集成</x:v>
      </x:c>
      <x:c r="D69" s="144" t="str">
        <x:v>全功能HIL/Restbus回归</x:v>
      </x:c>
      <x:c r="E69" s="144" t="str">
        <x:v>覆盖通信、诊断、NvM、NM、时间同步、Wdg、Boot接口和四角变体。</x:v>
      </x:c>
      <x:c r="F69" s="144" t="str">
        <x:v>原计划仅写“功能正常”，缺少刺激/观测/判据。</x:v>
      </x:c>
      <x:c r="G69" s="144" t="str">
        <x:v>HIL/Restbus环境和用例。</x:v>
      </x:c>
      <x:c r="H69" s="144" t="str">
        <x:v>东软/验证组</x:v>
      </x:c>
      <x:c r="I69" s="144" t="str">
        <x:v>M2-01..26</x:v>
      </x:c>
      <x:c r="J69" s="144" t="str">
        <x:v>自动化脚本、日志、报告。</x:v>
      </x:c>
      <x:c r="K69" s="144" t="str">
        <x:v>03_验收矩阵中M2用例通过率100%，偏差经批准。</x:v>
      </x:c>
      <x:c r="L69" s="144" t="str">
        <x:v>P0</x:v>
      </x:c>
      <x:c r="M69" s="153" t="n">
        <x:v>15</x:v>
      </x:c>
      <x:c r="N69" s="144" t="str">
        <x:v>未开始</x:v>
      </x:c>
      <x:c r="O69" s="144" t="str">
        <x:v>全功能自测</x:v>
      </x:c>
      <x:c r="P69" s="144" t="str">
        <x:v>本工作簿03_验收矩阵</x:v>
      </x:c>
    </x:row>
    <x:row r="70" ht="82" customHeight="1">
      <x:c r="A70" s="144" t="str">
        <x:v>M2-28</x:v>
      </x:c>
      <x:c r="B70" s="144" t="str">
        <x:v>M2</x:v>
      </x:c>
      <x:c r="C70" s="144" t="str">
        <x:v>性能</x:v>
      </x:c>
      <x:c r="D70" s="144" t="str">
        <x:v>满负载资源复核</x:v>
      </x:c>
      <x:c r="E70" s="144" t="str">
        <x:v>在全量CAN/DCM/Dem/NvM/XCP和算法负载下复测CPU/WCET/栈/内存/总线/Flash队列。</x:v>
      </x:c>
      <x:c r="F70" s="144" t="str">
        <x:v>M1资源结论不能替代全功能负载。</x:v>
      </x:c>
      <x:c r="G70" s="144" t="str">
        <x:v>满负载场景与指标。</x:v>
      </x:c>
      <x:c r="H70" s="144" t="str">
        <x:v>东软</x:v>
      </x:c>
      <x:c r="I70" s="144" t="str">
        <x:v>M2-27</x:v>
      </x:c>
      <x:c r="J70" s="144" t="str">
        <x:v>资源报告与优化记录。</x:v>
      </x:c>
      <x:c r="K70" s="144" t="str">
        <x:v>所有实时门限和裕量满足合同；无任务饿死和NvM队列失控。</x:v>
      </x:c>
      <x:c r="L70" s="144" t="str">
        <x:v>P0</x:v>
      </x:c>
      <x:c r="M70" s="153" t="n">
        <x:v>7</x:v>
      </x:c>
      <x:c r="N70" s="144" t="str">
        <x:v>未开始</x:v>
      </x:c>
      <x:c r="O70" s="144" t="str">
        <x:v>全功能自测</x:v>
      </x:c>
      <x:c r="P70" s="144" t="str">
        <x:v>OS/BSW配置</x:v>
      </x:c>
    </x:row>
    <x:row r="71" ht="82" customHeight="1">
      <x:c r="A71" s="144" t="str">
        <x:v>M2-29</x:v>
      </x:c>
      <x:c r="B71" s="144" t="str">
        <x:v>M2</x:v>
      </x:c>
      <x:c r="C71" s="144" t="str">
        <x:v>文档/追踪</x:v>
      </x:c>
      <x:c r="D71" s="144" t="str">
        <x:v>配置规格与用户手册</x:v>
      </x:c>
      <x:c r="E71" s="144" t="str">
        <x:v>交付模块配置规格、接口、状态机、错误处理、构建/调试/刷写和维护说明。</x:v>
      </x:c>
      <x:c r="F71" s="144" t="str">
        <x:v>原交付物未要求配置逐项可审计。</x:v>
      </x:c>
      <x:c r="G71" s="144" t="str">
        <x:v>M2配置基线。</x:v>
      </x:c>
      <x:c r="H71" s="144" t="str">
        <x:v>东软</x:v>
      </x:c>
      <x:c r="I71" s="144" t="str">
        <x:v>M2-01..28</x:v>
      </x:c>
      <x:c r="J71" s="144" t="str">
        <x:v>完整文档、RTM、KnownIssues。</x:v>
      </x:c>
      <x:c r="K71" s="144" t="str">
        <x:v>随机抽样可从需求定位到配置、代码、测试和报告。</x:v>
      </x:c>
      <x:c r="L71" s="144" t="str">
        <x:v>P1</x:v>
      </x:c>
      <x:c r="M71" s="153" t="n">
        <x:v>8</x:v>
      </x:c>
      <x:c r="N71" s="144" t="str">
        <x:v>未开始</x:v>
      </x:c>
      <x:c r="O71" s="144" t="str">
        <x:v>版本交付</x:v>
      </x:c>
      <x:c r="P71" s="144" t="str">
        <x:v>所有模块</x:v>
      </x:c>
    </x:row>
    <x:row r="72" ht="82" customHeight="1">
      <x:c r="A72" s="144" t="str">
        <x:v>M2-30</x:v>
      </x:c>
      <x:c r="B72" s="144" t="str">
        <x:v>M2</x:v>
      </x:c>
      <x:c r="C72" s="144" t="str">
        <x:v>Gate</x:v>
      </x:c>
      <x:c r="D72" s="144" t="str">
        <x:v>量产功能Gate</x:v>
      </x:c>
      <x:c r="E72" s="144" t="str">
        <x:v>按完整需求、配置diff、HIL、资源和安全问题评审。</x:v>
      </x:c>
      <x:c r="F72" s="144" t="str">
        <x:v>原T2工期5周且无量化Gate。</x:v>
      </x:c>
      <x:c r="G72" s="144" t="str">
        <x:v>M2全部交付。</x:v>
      </x:c>
      <x:c r="H72" s="144" t="str">
        <x:v>双方/验证组</x:v>
      </x:c>
      <x:c r="I72" s="144" t="str">
        <x:v>M2-01..29</x:v>
      </x:c>
      <x:c r="J72" s="144" t="str">
        <x:v>M2签署报告。</x:v>
      </x:c>
      <x:c r="K72" s="144" t="str">
        <x:v>P0/P1缺陷关闭；所有阻塞输入已签署；M3发布候选可生成。</x:v>
      </x:c>
      <x:c r="L72" s="144" t="str">
        <x:v>P0</x:v>
      </x:c>
      <x:c r="M72" s="153" t="n">
        <x:v>3</x:v>
      </x:c>
      <x:c r="N72" s="144" t="str">
        <x:v>未开始</x:v>
      </x:c>
      <x:c r="O72" s="144" t="str">
        <x:v>T2版本交付</x:v>
      </x:c>
      <x:c r="P72" s="144" t="str">
        <x:v>本评审结论</x:v>
      </x:c>
    </x:row>
    <x:row r="73" ht="82" customHeight="1">
      <x:c r="A73" s="144" t="str">
        <x:v>M3-01</x:v>
      </x:c>
      <x:c r="B73" s="144" t="str">
        <x:v>M3</x:v>
      </x:c>
      <x:c r="C73" s="144" t="str">
        <x:v>发布</x:v>
      </x:c>
      <x:c r="D73" s="144" t="str">
        <x:v>构建矩阵与制品一致性</x:v>
      </x:c>
      <x:c r="E73" s="144" t="str">
        <x:v>覆盖V3/V4、Efused/Non-Efused、角位置/车型、PBL/FBL/App；禁止空归档与文件名错配。</x:v>
      </x:c>
      <x:c r="F73" s="144" t="str">
        <x:v>现build/hw_test制品名可能不一致且允许空归档。</x:v>
      </x:c>
      <x:c r="G73" s="144" t="str">
        <x:v>正式发布矩阵。</x:v>
      </x:c>
      <x:c r="H73" s="144" t="str">
        <x:v>东软</x:v>
      </x:c>
      <x:c r="I73" s="144" t="str">
        <x:v>M2-30</x:v>
      </x:c>
      <x:c r="J73" s="144" t="str">
        <x:v>全部制品、manifest、hash、日志。</x:v>
      </x:c>
      <x:c r="K73" s="144" t="str">
        <x:v>每一组合均有唯一制品；无空归档；名称与容器/HW job一致。</x:v>
      </x:c>
      <x:c r="L73" s="144" t="str">
        <x:v>P0</x:v>
      </x:c>
      <x:c r="M73" s="153" t="n">
        <x:v>8</x:v>
      </x:c>
      <x:c r="N73" s="144" t="str">
        <x:v>未开始</x:v>
      </x:c>
      <x:c r="O73" s="144" t="str">
        <x:v>原验收</x:v>
      </x:c>
      <x:c r="P73" s="144" t="str">
        <x:v>jenkins build.yaml:64-90；hw_test.yaml:39</x:v>
      </x:c>
    </x:row>
    <x:row r="74" ht="82" customHeight="1">
      <x:c r="A74" s="144" t="str">
        <x:v>M3-02</x:v>
      </x:c>
      <x:c r="B74" s="144" t="str">
        <x:v>M3</x:v>
      </x:c>
      <x:c r="C74" s="144" t="str">
        <x:v>质量</x:v>
      </x:c>
      <x:c r="D74" s="144" t="str">
        <x:v>静态分析/MISRA</x:v>
      </x:c>
      <x:c r="E74" s="144" t="str">
        <x:v>运行QAC/Coverity或批准工具；对生成/vendor代码采用明确豁免边界。</x:v>
      </x:c>
      <x:c r="F74" s="144" t="str">
        <x:v>现计划只泛称自测。</x:v>
      </x:c>
      <x:c r="G74" s="144" t="str">
        <x:v>质量门禁。</x:v>
      </x:c>
      <x:c r="H74" s="144" t="str">
        <x:v>东软</x:v>
      </x:c>
      <x:c r="I74" s="144" t="str">
        <x:v>M2-30</x:v>
      </x:c>
      <x:c r="J74" s="144" t="str">
        <x:v>报告、基线、偏差批准。</x:v>
      </x:c>
      <x:c r="K74" s="144" t="str">
        <x:v>新增High/Critical为0；所有偏差有owner/理由/期限。</x:v>
      </x:c>
      <x:c r="L74" s="144" t="str">
        <x:v>P0</x:v>
      </x:c>
      <x:c r="M74" s="153" t="n">
        <x:v>8</x:v>
      </x:c>
      <x:c r="N74" s="144" t="str">
        <x:v>未开始</x:v>
      </x:c>
      <x:c r="O74" s="144" t="str">
        <x:v>原验收</x:v>
      </x:c>
      <x:c r="P74" s="144" t="str">
        <x:v>jenkins质量流程</x:v>
      </x:c>
    </x:row>
    <x:row r="75" ht="82" customHeight="1">
      <x:c r="A75" s="144" t="str">
        <x:v>M3-03</x:v>
      </x:c>
      <x:c r="B75" s="144" t="str">
        <x:v>M3</x:v>
      </x:c>
      <x:c r="C75" s="144" t="str">
        <x:v>质量</x:v>
      </x:c>
      <x:c r="D75" s="144" t="str">
        <x:v>覆盖率与UT硬门禁</x:v>
      </x:c>
      <x:c r="E75" s="144" t="str">
        <x:v>统一8/22模块及新增模块，设statement/branch/function阈值并纳入CI。</x:v>
      </x:c>
      <x:c r="F75" s="144" t="str">
        <x:v>当前无明确覆盖率阈值。</x:v>
      </x:c>
      <x:c r="G75" s="144" t="str">
        <x:v>批准阈值。</x:v>
      </x:c>
      <x:c r="H75" s="144" t="str">
        <x:v>东软</x:v>
      </x:c>
      <x:c r="I75" s="144" t="str">
        <x:v>M2-26</x:v>
      </x:c>
      <x:c r="J75" s="144" t="str">
        <x:v>覆盖率报告、CI Gate。</x:v>
      </x:c>
      <x:c r="K75" s="144" t="str">
        <x:v>低于阈值构建失败；排除项经批准。</x:v>
      </x:c>
      <x:c r="L75" s="144" t="str">
        <x:v>P0</x:v>
      </x:c>
      <x:c r="M75" s="153" t="n">
        <x:v>6</x:v>
      </x:c>
      <x:c r="N75" s="144" t="str">
        <x:v>未开始</x:v>
      </x:c>
      <x:c r="O75" s="144" t="str">
        <x:v>原验收</x:v>
      </x:c>
      <x:c r="P75" s="144" t="str">
        <x:v>unittest配置</x:v>
      </x:c>
    </x:row>
    <x:row r="76" ht="82" customHeight="1">
      <x:c r="A76" s="144" t="str">
        <x:v>M3-04</x:v>
      </x:c>
      <x:c r="B76" s="144" t="str">
        <x:v>M3</x:v>
      </x:c>
      <x:c r="C76" s="144" t="str">
        <x:v>鲁棒性</x:v>
      </x:c>
      <x:c r="D76" s="144" t="str">
        <x:v>电源循环/欠压/热复位</x:v>
      </x:c>
      <x:c r="E76" s="144" t="str">
        <x:v>覆盖冷启动、快速循环、欠压、brown-out、复位时NvM/Flash/IPC/算法各状态。</x:v>
      </x:c>
      <x:c r="F76" s="144" t="str">
        <x:v>启动、NvM与多核均有关键状态。</x:v>
      </x:c>
      <x:c r="G76" s="144" t="str">
        <x:v>电源台架和OEM指标。</x:v>
      </x:c>
      <x:c r="H76" s="144" t="str">
        <x:v>验证组</x:v>
      </x:c>
      <x:c r="I76" s="144" t="str">
        <x:v>M2-30</x:v>
      </x:c>
      <x:c r="J76" s="144" t="str">
        <x:v>自动化循环日志。</x:v>
      </x:c>
      <x:c r="K76" s="144" t="str">
        <x:v>次数/电压/时序按OEM；无砖化、数据污染或不可恢复状态。</x:v>
      </x:c>
      <x:c r="L76" s="144" t="str">
        <x:v>P0</x:v>
      </x:c>
      <x:c r="M76" s="153" t="n">
        <x:v>10</x:v>
      </x:c>
      <x:c r="N76" s="144" t="str">
        <x:v>未开始</x:v>
      </x:c>
      <x:c r="O76" s="144" t="str">
        <x:v>原验收</x:v>
      </x:c>
      <x:c r="P76" s="144" t="str">
        <x:v>EcuM/NvM/Boot链</x:v>
      </x:c>
    </x:row>
    <x:row r="77" ht="82" customHeight="1">
      <x:c r="A77" s="144" t="str">
        <x:v>M3-05</x:v>
      </x:c>
      <x:c r="B77" s="144" t="str">
        <x:v>M3</x:v>
      </x:c>
      <x:c r="C77" s="144" t="str">
        <x:v>存储</x:v>
      </x:c>
      <x:c r="D77" s="144" t="str">
        <x:v>Flash断电与耐久</x:v>
      </x:c>
      <x:c r="E77" s="144" t="str">
        <x:v>在erase/write/reorg/EDR/DEM/WriteAll各窗口断电；执行寿命模型与实际加速测试。</x:v>
      </x:c>
      <x:c r="F77" s="144" t="str">
        <x:v>Fee动态磨损均衡，物理地址会漂移。</x:v>
      </x:c>
      <x:c r="G77" s="144" t="str">
        <x:v>写频率和寿命目标。</x:v>
      </x:c>
      <x:c r="H77" s="144" t="str">
        <x:v>验证组</x:v>
      </x:c>
      <x:c r="I77" s="144" t="str">
        <x:v>M2-06,M2-23,M2-24</x:v>
      </x:c>
      <x:c r="J77" s="144" t="str">
        <x:v>断电/耐久报告。</x:v>
      </x:c>
      <x:c r="K77" s="144" t="str">
        <x:v>数据一致、冗余恢复、无越界；寿命满足合同。</x:v>
      </x:c>
      <x:c r="L77" s="144" t="str">
        <x:v>P0</x:v>
      </x:c>
      <x:c r="M77" s="153" t="n">
        <x:v>10</x:v>
      </x:c>
      <x:c r="N77" s="144" t="str">
        <x:v>未开始</x:v>
      </x:c>
      <x:c r="O77" s="144" t="str">
        <x:v>原验收</x:v>
      </x:c>
      <x:c r="P77" s="144" t="str">
        <x:v>Fee/Fls配置</x:v>
      </x:c>
    </x:row>
    <x:row r="78" ht="82" customHeight="1">
      <x:c r="A78" s="144" t="str">
        <x:v>M3-06</x:v>
      </x:c>
      <x:c r="B78" s="144" t="str">
        <x:v>M3</x:v>
      </x:c>
      <x:c r="C78" s="144" t="str">
        <x:v>网络</x:v>
      </x:c>
      <x:c r="D78" s="144" t="str">
        <x:v>总线鲁棒与休眠功耗</x:v>
      </x:c>
      <x:c r="E78" s="144" t="str">
        <x:v>满负载、错误帧、Bus-Off、丢NM、诊断唤醒、强制休眠、反复唤醒；实测静态电流。</x:v>
      </x:c>
      <x:c r="F78" s="144" t="str">
        <x:v>现休眠链约3s并经BswM→EcuM。</x:v>
      </x:c>
      <x:c r="G78" s="144" t="str">
        <x:v>OEM网络/功耗指标。</x:v>
      </x:c>
      <x:c r="H78" s="144" t="str">
        <x:v>验证组</x:v>
      </x:c>
      <x:c r="I78" s="144" t="str">
        <x:v>M2-03,M2-15,M2-25</x:v>
      </x:c>
      <x:c r="J78" s="144" t="str">
        <x:v>总线和功耗报告。</x:v>
      </x:c>
      <x:c r="K78" s="144" t="str">
        <x:v>所有时序/状态/电流/恢复满足OEM。</x:v>
      </x:c>
      <x:c r="L78" s="144" t="str">
        <x:v>P0</x:v>
      </x:c>
      <x:c r="M78" s="153" t="n">
        <x:v>10</x:v>
      </x:c>
      <x:c r="N78" s="144" t="str">
        <x:v>未开始</x:v>
      </x:c>
      <x:c r="O78" s="144" t="str">
        <x:v>原验收</x:v>
      </x:c>
      <x:c r="P78" s="144" t="str">
        <x:v>pf_LCM.c:23-32；BswM_Cfg_AC.c:1068-1077</x:v>
      </x:c>
    </x:row>
    <x:row r="79" ht="82" customHeight="1">
      <x:c r="A79" s="144" t="str">
        <x:v>M3-07</x:v>
      </x:c>
      <x:c r="B79" s="144" t="str">
        <x:v>M3</x:v>
      </x:c>
      <x:c r="C79" s="144" t="str">
        <x:v>雷达</x:v>
      </x:c>
      <x:c r="D79" s="144" t="str">
        <x:v>全角位置/场景/长稳</x:v>
      </x:c>
      <x:c r="E79" s="144" t="str">
        <x:v>四角位置、不同variant、目标场景、温度/电压、长时间真实发波，关联RF/帧/CAN。</x:v>
      </x:c>
      <x:c r="F79" s="144" t="str">
        <x:v>位置影响CUDA、时间片、算法和CAN。</x:v>
      </x:c>
      <x:c r="G79" s="144" t="str">
        <x:v>四角样件/场景/环境指标。</x:v>
      </x:c>
      <x:c r="H79" s="144" t="str">
        <x:v>验证组</x:v>
      </x:c>
      <x:c r="I79" s="144" t="str">
        <x:v>M2-30</x:v>
      </x:c>
      <x:c r="J79" s="144" t="str">
        <x:v>场景与长稳报告。</x:v>
      </x:c>
      <x:c r="K79" s="144" t="str">
        <x:v>无帧序错、内存问题、位置错映射；算法指标按甲方规范。</x:v>
      </x:c>
      <x:c r="L79" s="144" t="str">
        <x:v>P0</x:v>
      </x:c>
      <x:c r="M79" s="153" t="n">
        <x:v>15</x:v>
      </x:c>
      <x:c r="N79" s="144" t="str">
        <x:v>未开始</x:v>
      </x:c>
      <x:c r="O79" s="144" t="str">
        <x:v>原验收</x:v>
      </x:c>
      <x:c r="P79" s="144" t="str">
        <x:v>主链事实</x:v>
      </x:c>
    </x:row>
    <x:row r="80" ht="82" customHeight="1">
      <x:c r="A80" s="144" t="str">
        <x:v>M3-08</x:v>
      </x:c>
      <x:c r="B80" s="144" t="str">
        <x:v>M3</x:v>
      </x:c>
      <x:c r="C80" s="144" t="str">
        <x:v>诊断</x:v>
      </x:c>
      <x:c r="D80" s="144" t="str">
        <x:v>UDS一致性与故障注入</x:v>
      </x:c>
      <x:c r="E80" s="144" t="str">
        <x:v>服务/DID/Routine/DTC/安全/传输层全矩阵，含电源循环和多故障。</x:v>
      </x:c>
      <x:c r="F80" s="144" t="str">
        <x:v>Dcm/DEM配置规模大且QA仍多项待确认。</x:v>
      </x:c>
      <x:c r="G80" s="144" t="str">
        <x:v>正式诊断规范。</x:v>
      </x:c>
      <x:c r="H80" s="144" t="str">
        <x:v>验证组</x:v>
      </x:c>
      <x:c r="I80" s="144" t="str">
        <x:v>M2-08..14</x:v>
      </x:c>
      <x:c r="J80" s="144" t="str">
        <x:v>自动诊断报告。</x:v>
      </x:c>
      <x:c r="K80" s="144" t="str">
        <x:v>全部支持项和NRC/时序/持久化符合规范。</x:v>
      </x:c>
      <x:c r="L80" s="144" t="str">
        <x:v>P0</x:v>
      </x:c>
      <x:c r="M80" s="153" t="n">
        <x:v>12</x:v>
      </x:c>
      <x:c r="N80" s="144" t="str">
        <x:v>未开始</x:v>
      </x:c>
      <x:c r="O80" s="144" t="str">
        <x:v>原验收</x:v>
      </x:c>
      <x:c r="P80" s="144" t="str">
        <x:v>Dcm/Dem生成配置</x:v>
      </x:c>
    </x:row>
    <x:row r="81" ht="82" customHeight="1">
      <x:c r="A81" s="144" t="str">
        <x:v>M3-09</x:v>
      </x:c>
      <x:c r="B81" s="144" t="str">
        <x:v>M3</x:v>
      </x:c>
      <x:c r="C81" s="144" t="str">
        <x:v>安全</x:v>
      </x:c>
      <x:c r="D81" s="144" t="str">
        <x:v>Secure boot/XCP/UDS/HSM负向测试</x:v>
      </x:c>
      <x:c r="E81" s="144" t="str">
        <x:v>篡改、错误签名/tag、非法地址、暴力key、重放、HSM超时/重启、生命周期切换。</x:v>
      </x:c>
      <x:c r="F81" s="144" t="str">
        <x:v>XCP现状为样例安全；反回滚TBD。</x:v>
      </x:c>
      <x:c r="G81" s="144" t="str">
        <x:v>安全需求与测试授权。</x:v>
      </x:c>
      <x:c r="H81" s="144" t="str">
        <x:v>安全验证组</x:v>
      </x:c>
      <x:c r="I81" s="144" t="str">
        <x:v>M2-12,M2-17,M2-21</x:v>
      </x:c>
      <x:c r="J81" s="144" t="str">
        <x:v>安全测试报告。</x:v>
      </x:c>
      <x:c r="K81" s="144" t="str">
        <x:v>未授权操作全部拒绝；秘密不泄露；安全失败进入批准状态。</x:v>
      </x:c>
      <x:c r="L81" s="144" t="str">
        <x:v>P0</x:v>
      </x:c>
      <x:c r="M81" s="153" t="n">
        <x:v>12</x:v>
      </x:c>
      <x:c r="N81" s="144" t="str">
        <x:v>未开始</x:v>
      </x:c>
      <x:c r="O81" s="144" t="str">
        <x:v>原验收</x:v>
      </x:c>
      <x:c r="P81" s="144" t="str">
        <x:v>XCP/HSM/secure boot证据</x:v>
      </x:c>
    </x:row>
    <x:row r="82" ht="82" customHeight="1">
      <x:c r="A82" s="144" t="str">
        <x:v>M3-10</x:v>
      </x:c>
      <x:c r="B82" s="144" t="str">
        <x:v>M3</x:v>
      </x:c>
      <x:c r="C82" s="144" t="str">
        <x:v>车辆</x:v>
      </x:c>
      <x:c r="D82" s="144" t="str">
        <x:v>车辆集成回归</x:v>
      </x:c>
      <x:c r="E82" s="144" t="str">
        <x:v>在实车/等效车辆网络验证通信、诊断、休眠唤醒、发波时片、位置和算法输出。</x:v>
      </x:c>
      <x:c r="F82" s="144" t="str">
        <x:v>台架不能覆盖所有整车交互。</x:v>
      </x:c>
      <x:c r="G82" s="144" t="str">
        <x:v>车辆和道路场景。</x:v>
      </x:c>
      <x:c r="H82" s="144" t="str">
        <x:v>双方</x:v>
      </x:c>
      <x:c r="I82" s="144" t="str">
        <x:v>M3-04..09</x:v>
      </x:c>
      <x:c r="J82" s="144" t="str">
        <x:v>车辆测试报告和日志。</x:v>
      </x:c>
      <x:c r="K82" s="144" t="str">
        <x:v>OEM用例通过；无跨ECU干扰、发波冲突和错误唤醒。</x:v>
      </x:c>
      <x:c r="L82" s="144" t="str">
        <x:v>P0</x:v>
      </x:c>
      <x:c r="M82" s="153" t="n">
        <x:v>10</x:v>
      </x:c>
      <x:c r="N82" s="144" t="str">
        <x:v>未开始</x:v>
      </x:c>
      <x:c r="O82" s="144" t="str">
        <x:v>原验收</x:v>
      </x:c>
      <x:c r="P82" s="144" t="str">
        <x:v>OEM集成需求</x:v>
      </x:c>
    </x:row>
    <x:row r="83" ht="82" customHeight="1">
      <x:c r="A83" s="144" t="str">
        <x:v>M3-11</x:v>
      </x:c>
      <x:c r="B83" s="144" t="str">
        <x:v>M3</x:v>
      </x:c>
      <x:c r="C83" s="144" t="str">
        <x:v>配置审计</x:v>
      </x:c>
      <x:c r="D83" s="144" t="str">
        <x:v>ARXML/生成物/二进制一致性</x:v>
      </x:c>
      <x:c r="E83" s="144" t="str">
        <x:v>自动比较需求矩阵、ECUC、生成C/H、linker/map、DBC/A2L和最终制品版本。</x:v>
      </x:c>
      <x:c r="F83" s="144" t="str">
        <x:v>现源ARXML Fee节点98与最终表103存在差异。</x:v>
      </x:c>
      <x:c r="G83" s="144" t="str">
        <x:v>最终基线。</x:v>
      </x:c>
      <x:c r="H83" s="144" t="str">
        <x:v>东软/独立验证组</x:v>
      </x:c>
      <x:c r="I83" s="144" t="str">
        <x:v>M3-01</x:v>
      </x:c>
      <x:c r="J83" s="144" t="str">
        <x:v>配置审计报告。</x:v>
      </x:c>
      <x:c r="K83" s="144" t="str">
        <x:v>无未解释差异；工具与生成时间/版本可追溯。</x:v>
      </x:c>
      <x:c r="L83" s="144" t="str">
        <x:v>P0</x:v>
      </x:c>
      <x:c r="M83" s="153" t="n">
        <x:v>8</x:v>
      </x:c>
      <x:c r="N83" s="144" t="str">
        <x:v>未开始</x:v>
      </x:c>
      <x:c r="O83" s="144" t="str">
        <x:v>原验收</x:v>
      </x:c>
      <x:c r="P83" s="144" t="str">
        <x:v>Fee源/生成差异</x:v>
      </x:c>
    </x:row>
    <x:row r="84" ht="82" customHeight="1">
      <x:c r="A84" s="144" t="str">
        <x:v>M3-12</x:v>
      </x:c>
      <x:c r="B84" s="144" t="str">
        <x:v>M3</x:v>
      </x:c>
      <x:c r="C84" s="144" t="str">
        <x:v>交付</x:v>
      </x:c>
      <x:c r="D84" s="144" t="str">
        <x:v>SBOM/许可证/第三方制品</x:v>
      </x:c>
      <x:c r="E84" s="144" t="str">
        <x:v>列出NeuSAR/RTA/MCAL/TI SDK/HSM/算法/工具的版本、许可证、可再分发范围和hash。</x:v>
      </x:c>
      <x:c r="F84" s="144" t="str">
        <x:v>工程含商业工具/库与外部KMS依赖。</x:v>
      </x:c>
      <x:c r="G84" s="144" t="str">
        <x:v>采购/法务信息。</x:v>
      </x:c>
      <x:c r="H84" s="144" t="str">
        <x:v>双方</x:v>
      </x:c>
      <x:c r="I84" s="144" t="str">
        <x:v>M3-01</x:v>
      </x:c>
      <x:c r="J84" s="144" t="str">
        <x:v>SBOM、License manifest、NOTICE。</x:v>
      </x:c>
      <x:c r="K84" s="144" t="str">
        <x:v>无未授权交付；每个二进制有来源和许可。</x:v>
      </x:c>
      <x:c r="L84" s="144" t="str">
        <x:v>P0</x:v>
      </x:c>
      <x:c r="M84" s="153" t="n">
        <x:v>6</x:v>
      </x:c>
      <x:c r="N84" s="144" t="str">
        <x:v>未开始</x:v>
      </x:c>
      <x:c r="O84" s="144" t="str">
        <x:v>原计划缺失</x:v>
      </x:c>
      <x:c r="P84" s="144" t="str">
        <x:v>工具与商业资产</x:v>
      </x:c>
    </x:row>
    <x:row r="85" ht="82" customHeight="1">
      <x:c r="A85" s="144" t="str">
        <x:v>M3-13</x:v>
      </x:c>
      <x:c r="B85" s="144" t="str">
        <x:v>M3</x:v>
      </x:c>
      <x:c r="C85" s="144" t="str">
        <x:v>交付</x:v>
      </x:c>
      <x:c r="D85" s="144" t="str">
        <x:v>烧写/回退/救援手顺</x:v>
      </x:c>
      <x:c r="E85" s="144" t="str">
        <x:v>交付生产/售后刷写、签名请求、失败恢复、回退、设备生命周期和日志审计。</x:v>
      </x:c>
      <x:c r="F85" s="144" t="str">
        <x:v>原计划仅“最小刷写手顺”。</x:v>
      </x:c>
      <x:c r="G85" s="144" t="str">
        <x:v>生产/售后流程。</x:v>
      </x:c>
      <x:c r="H85" s="144" t="str">
        <x:v>东软/我方</x:v>
      </x:c>
      <x:c r="I85" s="144" t="str">
        <x:v>M3-01,M3-09</x:v>
      </x:c>
      <x:c r="J85" s="144" t="str">
        <x:v>手顺、工具、校验脚本、演练报告。</x:v>
      </x:c>
      <x:c r="K85" s="144" t="str">
        <x:v>非专家按文档完成正常/失败/救援；制品hash和签名全程校验。</x:v>
      </x:c>
      <x:c r="L85" s="144" t="str">
        <x:v>P0</x:v>
      </x:c>
      <x:c r="M85" s="153" t="n">
        <x:v>8</x:v>
      </x:c>
      <x:c r="N85" s="144" t="str">
        <x:v>未开始</x:v>
      </x:c>
      <x:c r="O85" s="144" t="str">
        <x:v>Boot/验收</x:v>
      </x:c>
      <x:c r="P85" s="144" t="str">
        <x:v>ContainerGen/BlockProcessor</x:v>
      </x:c>
    </x:row>
    <x:row r="86" ht="82" customHeight="1">
      <x:c r="A86" s="144" t="str">
        <x:v>M3-14</x:v>
      </x:c>
      <x:c r="B86" s="144" t="str">
        <x:v>M3</x:v>
      </x:c>
      <x:c r="C86" s="144" t="str">
        <x:v>移交</x:v>
      </x:c>
      <x:c r="D86" s="144" t="str">
        <x:v>培训、维护与问题SLA</x:v>
      </x:c>
      <x:c r="E86" s="144" t="str">
        <x:v>完成至少2×4h培训、实操、FAQ、维护分支/升级/patch/紧急问题机制。</x:v>
      </x:c>
      <x:c r="F86" s="144" t="str">
        <x:v>附件培训要求存在但缺实操验收。</x:v>
      </x:c>
      <x:c r="G86" s="144" t="str">
        <x:v>培训环境与人员。</x:v>
      </x:c>
      <x:c r="H86" s="144" t="str">
        <x:v>东软</x:v>
      </x:c>
      <x:c r="I86" s="144" t="str">
        <x:v>M3-01..13</x:v>
      </x:c>
      <x:c r="J86" s="144" t="str">
        <x:v>课件/录屏/实操记录/SLA。</x:v>
      </x:c>
      <x:c r="K86" s="144" t="str">
        <x:v>甲方独立完成build/config/test/release演练；问题闭环。</x:v>
      </x:c>
      <x:c r="L86" s="144" t="str">
        <x:v>P1</x:v>
      </x:c>
      <x:c r="M86" s="153" t="n">
        <x:v>6</x:v>
      </x:c>
      <x:c r="N86" s="144" t="str">
        <x:v>未开始</x:v>
      </x:c>
      <x:c r="O86" s="144" t="str">
        <x:v>培训/技术支持</x:v>
      </x:c>
      <x:c r="P86" s="144" t="str">
        <x:v>附件里程碑计划</x:v>
      </x:c>
    </x:row>
    <x:row r="87" ht="82" customHeight="1">
      <x:c r="A87" s="144" t="str">
        <x:v>M3-15</x:v>
      </x:c>
      <x:c r="B87" s="144" t="str">
        <x:v>M3</x:v>
      </x:c>
      <x:c r="C87" s="144" t="str">
        <x:v>Gate</x:v>
      </x:c>
      <x:c r="D87" s="144" t="str">
        <x:v>量产发布签署</x:v>
      </x:c>
      <x:c r="E87" s="144" t="str">
        <x:v>汇总功能、质量、安全、合规、制品、KnownIssues和回退，决定Release/No Release。</x:v>
      </x:c>
      <x:c r="F87" s="144" t="str">
        <x:v>原计划“验收”缺独立发布门。</x:v>
      </x:c>
      <x:c r="G87" s="144" t="str">
        <x:v>M3全部证据。</x:v>
      </x:c>
      <x:c r="H87" s="144" t="str">
        <x:v>双方</x:v>
      </x:c>
      <x:c r="I87" s="144" t="str">
        <x:v>M3-01..14</x:v>
      </x:c>
      <x:c r="J87" s="144" t="str">
        <x:v>Release Note、Deliver Note、签署单。</x:v>
      </x:c>
      <x:c r="K87" s="144" t="str">
        <x:v>所有硬门禁通过；KnownIssues风险被明确接受；manifest/hash冻结。</x:v>
      </x:c>
      <x:c r="L87" s="144" t="str">
        <x:v>P0</x:v>
      </x:c>
      <x:c r="M87" s="153" t="n">
        <x:v>3</x:v>
      </x:c>
      <x:c r="N87" s="144" t="str">
        <x:v>未开始</x:v>
      </x:c>
      <x:c r="O87" s="144" t="str">
        <x:v>验收</x:v>
      </x:c>
      <x:c r="P87" s="144" t="str">
        <x:v>本评审结论</x:v>
      </x:c>
    </x:row>
    <x:row r="88" ht="82" customHeight="1">
      <x:c r="A88" s="144" t="str">
        <x:v>BT-01</x:v>
      </x:c>
      <x:c r="B88" s="144" t="str">
        <x:v>BT</x:v>
      </x:c>
      <x:c r="C88" s="144" t="str">
        <x:v>需求</x:v>
      </x:c>
      <x:c r="D88" s="144" t="str">
        <x:v>Boot需求与责任冻结</x:v>
      </x:c>
      <x:c r="E88" s="144" t="str">
        <x:v>冻结支持的服务、内存区、下载格式、加密/签名、生命周期、回滚、超时和异常。</x:v>
      </x:c>
      <x:c r="F88" s="144" t="str">
        <x:v>附件BT需求仍TBD。</x:v>
      </x:c>
      <x:c r="G88" s="144" t="str">
        <x:v>OEM刷新/安全规范。</x:v>
      </x:c>
      <x:c r="H88" s="144" t="str">
        <x:v>双方</x:v>
      </x:c>
      <x:c r="I88" s="144" t="str">
        <x:v>M0-01,M0-09</x:v>
      </x:c>
      <x:c r="J88" s="144" t="str">
        <x:v>Boot SRS/ICD。</x:v>
      </x:c>
      <x:c r="K88" s="144" t="str">
        <x:v>需求无TBD阻塞；与App/HSM/产线职责一致。</x:v>
      </x:c>
      <x:c r="L88" s="144" t="str">
        <x:v>P0</x:v>
      </x:c>
      <x:c r="M88" s="153" t="n">
        <x:v>8</x:v>
      </x:c>
      <x:c r="N88" s="144" t="str">
        <x:v>未开始</x:v>
      </x:c>
      <x:c r="O88" s="144" t="str">
        <x:v>BT需求待讨论</x:v>
      </x:c>
      <x:c r="P88" s="144" t="str">
        <x:v>附件里程碑计划</x:v>
      </x:c>
    </x:row>
    <x:row r="89" ht="82" customHeight="1">
      <x:c r="A89" s="144" t="str">
        <x:v>BT-02</x:v>
      </x:c>
      <x:c r="B89" s="144" t="str">
        <x:v>BT</x:v>
      </x:c>
      <x:c r="C89" s="144" t="str">
        <x:v>内存/容器</x:v>
      </x:c>
      <x:c r="D89" s="144" t="str">
        <x:v>V3/V4容器与Memory Map</x:v>
      </x:c>
      <x:c r="E89" s="144" t="str">
        <x:v>实现BM/PBL/CBL/App/HSM/WFDA/CUDA/CLDA布局与边界、header/CRC/版本。</x:v>
      </x:c>
      <x:c r="F89" s="144" t="str">
        <x:v>现App 0x090000–0x28FFFF，CUDA/CLDA 0x320000/0x330000。</x:v>
      </x:c>
      <x:c r="G89" s="144" t="str">
        <x:v>冻结memory map。</x:v>
      </x:c>
      <x:c r="H89" s="144" t="str">
        <x:v>东软</x:v>
      </x:c>
      <x:c r="I89" s="144" t="str">
        <x:v>BT-01</x:v>
      </x:c>
      <x:c r="J89" s="144" t="str">
        <x:v>linker/container recipe/map。</x:v>
      </x:c>
      <x:c r="K89" s="144" t="str">
        <x:v>所有区域无重叠/越界；V3/V4矩阵正确。</x:v>
      </x:c>
      <x:c r="L89" s="144" t="str">
        <x:v>P0</x:v>
      </x:c>
      <x:c r="M89" s="153" t="n">
        <x:v>8</x:v>
      </x:c>
      <x:c r="N89" s="144" t="str">
        <x:v>未开始</x:v>
      </x:c>
      <x:c r="O89" s="144" t="str">
        <x:v>Bootloader开发</x:v>
      </x:c>
      <x:c r="P89" s="144" t="str">
        <x:v>ContainerGen.py:38-66；rbBlock.h:32-61</x:v>
      </x:c>
    </x:row>
    <x:row r="90" ht="82" customHeight="1">
      <x:c r="A90" s="144" t="str">
        <x:v>BT-03</x:v>
      </x:c>
      <x:c r="B90" s="144" t="str">
        <x:v>BT</x:v>
      </x:c>
      <x:c r="C90" s="144" t="str">
        <x:v>诊断编程</x:v>
      </x:c>
      <x:c r="D90" s="144" t="str">
        <x:v>下载/传输/校验/退出流程</x:v>
      </x:c>
      <x:c r="E90" s="144" t="str">
        <x:v>按需求实现0x34/36/37/31等及地址白名单、块序、超时、NRC和断点恢复。</x:v>
      </x:c>
      <x:c r="F90" s="144" t="str">
        <x:v>当前App Dcm未启用上传下载。</x:v>
      </x:c>
      <x:c r="G90" s="144" t="str">
        <x:v>OEM刷新规范。</x:v>
      </x:c>
      <x:c r="H90" s="144" t="str">
        <x:v>东软</x:v>
      </x:c>
      <x:c r="I90" s="144" t="str">
        <x:v>BT-01,BT-02</x:v>
      </x:c>
      <x:c r="J90" s="144" t="str">
        <x:v>Boot DCM配置、刷写脚本。</x:v>
      </x:c>
      <x:c r="K90" s="144" t="str">
        <x:v>正常/错误长度/越界/丢包/重发/断电完整。</x:v>
      </x:c>
      <x:c r="L90" s="144" t="str">
        <x:v>P0</x:v>
      </x:c>
      <x:c r="M90" s="153" t="n">
        <x:v>15</x:v>
      </x:c>
      <x:c r="N90" s="144" t="str">
        <x:v>未开始</x:v>
      </x:c>
      <x:c r="O90" s="144" t="str">
        <x:v>Bootloader开发</x:v>
      </x:c>
      <x:c r="P90" s="144" t="str">
        <x:v>Dcm服务现状</x:v>
      </x:c>
    </x:row>
    <x:row r="91" ht="82" customHeight="1">
      <x:c r="A91" s="144" t="str">
        <x:v>BT-04</x:v>
      </x:c>
      <x:c r="B91" s="144" t="str">
        <x:v>BT</x:v>
      </x:c>
      <x:c r="C91" s="144" t="str">
        <x:v>安全</x:v>
      </x:c>
      <x:c r="D91" s="144" t="str">
        <x:v>签名/加密/HSM接口</x:v>
      </x:c>
      <x:c r="E91" s="144" t="str">
        <x:v>支持客户KMS签名请求与HSM验证；开发/量产密钥隔离；定义反回滚是否需要。</x:v>
      </x:c>
      <x:c r="F91" s="144" t="str">
        <x:v>当前efused流程依赖外部KMS，rollback未实现。</x:v>
      </x:c>
      <x:c r="G91" s="144" t="str">
        <x:v>HSM/KMS协议。</x:v>
      </x:c>
      <x:c r="H91" s="144" t="str">
        <x:v>双方/安全方</x:v>
      </x:c>
      <x:c r="I91" s="144" t="str">
        <x:v>BT-01,BT-02</x:v>
      </x:c>
      <x:c r="J91" s="144" t="str">
        <x:v>unsigned制品、manifest、签名接口和测试。</x:v>
      </x:c>
      <x:c r="K91" s="144" t="str">
        <x:v>错误签名/tag/版本/生命周期被拒；无密钥泄露。</x:v>
      </x:c>
      <x:c r="L91" s="144" t="str">
        <x:v>P0</x:v>
      </x:c>
      <x:c r="M91" s="153" t="n">
        <x:v>15</x:v>
      </x:c>
      <x:c r="N91" s="144" t="str">
        <x:v>未开始</x:v>
      </x:c>
      <x:c r="O91" s="144" t="str">
        <x:v>信息安全待讨论</x:v>
      </x:c>
      <x:c r="P91" s="144" t="str">
        <x:v>BlockProcessor.py:548-629；rbSecBoot.c</x:v>
      </x:c>
    </x:row>
    <x:row r="92" ht="82" customHeight="1">
      <x:c r="A92" s="144" t="str">
        <x:v>BT-05</x:v>
      </x:c>
      <x:c r="B92" s="144" t="str">
        <x:v>BT</x:v>
      </x:c>
      <x:c r="C92" s="144" t="str">
        <x:v>复位/响应</x:v>
      </x:c>
      <x:c r="D92" s="144" t="str">
        <x:v>App-Boot warm response</x:v>
      </x:c>
      <x:c r="E92" s="144" t="str">
        <x:v>实现编程请求flag、reset reason、response-after-reset和失败清理。</x:v>
      </x:c>
      <x:c r="F92" s="144" t="str">
        <x:v>现有接口部分为空。</x:v>
      </x:c>
      <x:c r="G92" s="144" t="str">
        <x:v>App ICD。</x:v>
      </x:c>
      <x:c r="H92" s="144" t="str">
        <x:v>双方</x:v>
      </x:c>
      <x:c r="I92" s="144" t="str">
        <x:v>BT-03,M2-20</x:v>
      </x:c>
      <x:c r="J92" s="144" t="str">
        <x:v>联调代码与报告。</x:v>
      </x:c>
      <x:c r="K92" s="144" t="str">
        <x:v>各种复位原因/超时/通信状态下响应正确。</x:v>
      </x:c>
      <x:c r="L92" s="144" t="str">
        <x:v>P0</x:v>
      </x:c>
      <x:c r="M92" s="153" t="n">
        <x:v>8</x:v>
      </x:c>
      <x:c r="N92" s="144" t="str">
        <x:v>未开始</x:v>
      </x:c>
      <x:c r="O92" s="144" t="str">
        <x:v>Boot联调</x:v>
      </x:c>
      <x:c r="P92" s="144" t="str">
        <x:v>Dia_FBL_WarmStart.c</x:v>
      </x:c>
    </x:row>
    <x:row r="93" ht="82" customHeight="1">
      <x:c r="A93" s="144" t="str">
        <x:v>BT-06</x:v>
      </x:c>
      <x:c r="B93" s="144" t="str">
        <x:v>BT</x:v>
      </x:c>
      <x:c r="C93" s="144" t="str">
        <x:v>鲁棒性</x:v>
      </x:c>
      <x:c r="D93" s="144" t="str">
        <x:v>断电/回退/救援</x:v>
      </x:c>
      <x:c r="E93" s="144" t="str">
        <x:v>覆盖擦除、下载、校验、激活各阶段断电；定义双区/恢复策略。</x:v>
      </x:c>
      <x:c r="F93" s="144" t="str">
        <x:v>现工程不能证明完整回滚。</x:v>
      </x:c>
      <x:c r="G93" s="144" t="str">
        <x:v>安全/可用性要求。</x:v>
      </x:c>
      <x:c r="H93" s="144" t="str">
        <x:v>东软</x:v>
      </x:c>
      <x:c r="I93" s="144" t="str">
        <x:v>BT-03,BT-04</x:v>
      </x:c>
      <x:c r="J93" s="144" t="str">
        <x:v>断电矩阵和救援手顺。</x:v>
      </x:c>
      <x:c r="K93" s="144" t="str">
        <x:v>任一窗口不砖化；能回到已批准镜像或救援模式。</x:v>
      </x:c>
      <x:c r="L93" s="144" t="str">
        <x:v>P0</x:v>
      </x:c>
      <x:c r="M93" s="153" t="n">
        <x:v>10</x:v>
      </x:c>
      <x:c r="N93" s="144" t="str">
        <x:v>未开始</x:v>
      </x:c>
      <x:c r="O93" s="144" t="str">
        <x:v>Boot自测</x:v>
      </x:c>
      <x:c r="P93" s="144" t="str">
        <x:v>Boot需求</x:v>
      </x:c>
    </x:row>
    <x:row r="94" ht="82" customHeight="1">
      <x:c r="A94" s="144" t="str">
        <x:v>BT-07</x:v>
      </x:c>
      <x:c r="B94" s="144" t="str">
        <x:v>BT</x:v>
      </x:c>
      <x:c r="C94" s="144" t="str">
        <x:v>测试</x:v>
      </x:c>
      <x:c r="D94" s="144" t="str">
        <x:v>Boot全矩阵自测</x:v>
      </x:c>
      <x:c r="E94" s="144" t="str">
        <x:v>覆盖V3/V4、efused/non-efused、正确/错误制品、生命周期、总线异常和重复刷新。</x:v>
      </x:c>
      <x:c r="F94" s="144" t="str">
        <x:v>原计划只有基本烧录自测。</x:v>
      </x:c>
      <x:c r="G94" s="144" t="str">
        <x:v>发布矩阵。</x:v>
      </x:c>
      <x:c r="H94" s="144" t="str">
        <x:v>东软/验证组</x:v>
      </x:c>
      <x:c r="I94" s="144" t="str">
        <x:v>BT-02..06</x:v>
      </x:c>
      <x:c r="J94" s="144" t="str">
        <x:v>自动化脚本和报告。</x:v>
      </x:c>
      <x:c r="K94" s="144" t="str">
        <x:v>矩阵100%执行，P0/P1缺陷关闭。</x:v>
      </x:c>
      <x:c r="L94" s="144" t="str">
        <x:v>P0</x:v>
      </x:c>
      <x:c r="M94" s="153" t="n">
        <x:v>10</x:v>
      </x:c>
      <x:c r="N94" s="144" t="str">
        <x:v>未开始</x:v>
      </x:c>
      <x:c r="O94" s="144" t="str">
        <x:v>Boot基本功能自测</x:v>
      </x:c>
      <x:c r="P94" s="144" t="str">
        <x:v>发布矩阵</x:v>
      </x:c>
    </x:row>
    <x:row r="95" ht="82" customHeight="1">
      <x:c r="A95" s="144" t="str">
        <x:v>BT-08</x:v>
      </x:c>
      <x:c r="B95" s="144" t="str">
        <x:v>BT</x:v>
      </x:c>
      <x:c r="C95" s="144" t="str">
        <x:v>交付</x:v>
      </x:c>
      <x:c r="D95" s="144" t="str">
        <x:v>Boot量产包与移交</x:v>
      </x:c>
      <x:c r="E95" s="144" t="str">
        <x:v>交付源码/配置、构建、容器、manifest、刷写/回退、SBOM、KnownIssues和培训。</x:v>
      </x:c>
      <x:c r="F95" s="144" t="str">
        <x:v>原计划交付范围不足。</x:v>
      </x:c>
      <x:c r="G95" s="144" t="str">
        <x:v>BT全部成果。</x:v>
      </x:c>
      <x:c r="H95" s="144" t="str">
        <x:v>东软</x:v>
      </x:c>
      <x:c r="I95" s="144" t="str">
        <x:v>BT-07</x:v>
      </x:c>
      <x:c r="J95" s="144" t="str">
        <x:v>Boot release包和签署单。</x:v>
      </x:c>
      <x:c r="K95" s="144" t="str">
        <x:v>独立环境可复现并通过验收；无未授权资产。</x:v>
      </x:c>
      <x:c r="L95" s="144" t="str">
        <x:v>P0</x:v>
      </x:c>
      <x:c r="M95" s="153" t="n">
        <x:v>5</x:v>
      </x:c>
      <x:c r="N95" s="144" t="str">
        <x:v>未开始</x:v>
      </x:c>
      <x:c r="O95" s="144" t="str">
        <x:v>BT版本交付</x:v>
      </x:c>
      <x:c r="P95" s="144" t="str">
        <x:v>本评审结论</x:v>
      </x:c>
    </x:row>
  </x:sheetData>
  <x:mergeCells>
    <x:mergeCell ref="A1:P1"/>
    <x:mergeCell ref="A2:P2"/>
  </x:mergeCells>
  <x:conditionalFormatting sqref="L6:L95">
    <x:cfRule type="containsText" dxfId="0" priority="1" operator="containsText" text="P0"/>
    <x:cfRule type="containsText" dxfId="1" priority="2" operator="containsText" text="P1"/>
  </x:conditionalFormatting>
  <x:conditionalFormatting sqref="N6:N95">
    <x:cfRule type="containsText" dxfId="2" priority="3" operator="containsText" text="已完成"/>
    <x:cfRule type="containsText" dxfId="3" priority="4" operator="containsText" text="阻塞"/>
  </x:conditionalFormatting>
  <x:dataValidations count="3">
    <x:dataValidation type="list" sqref="H6:H95">
      <x:formula1>"东软,我方,双方,东软/验证组,双方/验证组,独立验证组,安全方/东软,第三方/供应商"</x:formula1>
    </x:dataValidation>
    <x:dataValidation type="list" sqref="L6:L95">
      <x:formula1>"P0,P1,P2,P3"</x:formula1>
    </x:dataValidation>
    <x:dataValidation type="list" sqref="N6:N95">
      <x:formula1>"未开始,进行中,阻塞,待确认,已完成"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32777e32624e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2" hidden="0" customWidth="1"/>
    <x:col min="5" max="5" width="48" hidden="0" customWidth="1"/>
    <x:col min="6" max="6" width="38" hidden="0" customWidth="1"/>
    <x:col min="7" max="7" width="48" hidden="0" customWidth="1"/>
    <x:col min="8" max="8" width="30" hidden="0" customWidth="1"/>
    <x:col min="9" max="9" width="26" hidden="0" customWidth="1"/>
    <x:col min="10" max="10" width="30" hidden="0" customWidth="1"/>
    <x:col min="11" max="11" width="22" hidden="0" customWidth="1"/>
    <x:col min="12" max="12" width="18" hidden="0" customWidth="1"/>
  </x:cols>
  <x:sheetData>
    <x:row r="1" ht="30" customHeight="1">
      <x:c r="A1" s="133" t="str">
        <x:v>工程服务验收矩阵</x:v>
      </x:c>
      <x:c r="B1" s="133" t="str">
        <x:v>工程服务验收矩阵</x:v>
      </x:c>
      <x:c r="C1" s="133" t="str">
        <x:v>工程服务验收矩阵</x:v>
      </x:c>
      <x:c r="D1" s="133" t="str">
        <x:v>工程服务验收矩阵</x:v>
      </x:c>
      <x:c r="E1" s="133" t="str">
        <x:v>工程服务验收矩阵</x:v>
      </x:c>
      <x:c r="F1" s="133" t="str">
        <x:v>工程服务验收矩阵</x:v>
      </x:c>
      <x:c r="G1" s="133" t="str">
        <x:v>工程服务验收矩阵</x:v>
      </x:c>
      <x:c r="H1" s="133" t="str">
        <x:v>工程服务验收矩阵</x:v>
      </x:c>
      <x:c r="I1" s="133" t="str">
        <x:v>工程服务验收矩阵</x:v>
      </x:c>
      <x:c r="J1" s="133" t="str">
        <x:v>工程服务验收矩阵</x:v>
      </x:c>
      <x:c r="K1" s="133" t="str">
        <x:v>工程服务验收矩阵</x:v>
      </x:c>
      <x:c r="L1" s="133" t="str">
        <x:v>工程服务验收矩阵</x:v>
      </x:c>
    </x:row>
    <x:row r="2" ht="36" customHeight="1">
      <x:c r="A2" s="136" t="str">
        <x:v>验收必须能复现刺激、观测点和判据；“能编译/能通信/功能正常”不是独立的通过准则。</x:v>
      </x:c>
      <x:c r="B2" s="136" t="str">
        <x:v>验收必须能复现刺激、观测点和判据；“能编译/能通信/功能正常”不是独立的通过准则。</x:v>
      </x:c>
      <x:c r="C2" s="136" t="str">
        <x:v>验收必须能复现刺激、观测点和判据；“能编译/能通信/功能正常”不是独立的通过准则。</x:v>
      </x:c>
      <x:c r="D2" s="136" t="str">
        <x:v>验收必须能复现刺激、观测点和判据；“能编译/能通信/功能正常”不是独立的通过准则。</x:v>
      </x:c>
      <x:c r="E2" s="136" t="str">
        <x:v>验收必须能复现刺激、观测点和判据；“能编译/能通信/功能正常”不是独立的通过准则。</x:v>
      </x:c>
      <x:c r="F2" s="136" t="str">
        <x:v>验收必须能复现刺激、观测点和判据；“能编译/能通信/功能正常”不是独立的通过准则。</x:v>
      </x:c>
      <x:c r="G2" s="136" t="str">
        <x:v>验收必须能复现刺激、观测点和判据；“能编译/能通信/功能正常”不是独立的通过准则。</x:v>
      </x:c>
      <x:c r="H2" s="136" t="str">
        <x:v>验收必须能复现刺激、观测点和判据；“能编译/能通信/功能正常”不是独立的通过准则。</x:v>
      </x:c>
      <x:c r="I2" s="136" t="str">
        <x:v>验收必须能复现刺激、观测点和判据；“能编译/能通信/功能正常”不是独立的通过准则。</x:v>
      </x:c>
      <x:c r="J2" s="136" t="str">
        <x:v>验收必须能复现刺激、观测点和判据；“能编译/能通信/功能正常”不是独立的通过准则。</x:v>
      </x:c>
      <x:c r="K2" s="136" t="str">
        <x:v>验收必须能复现刺激、观测点和判据；“能编译/能通信/功能正常”不是独立的通过准则。</x:v>
      </x:c>
      <x:c r="L2" s="136" t="str">
        <x:v>验收必须能复现刺激、观测点和判据；“能编译/能通信/功能正常”不是独立的通过准则。</x:v>
      </x:c>
    </x:row>
    <x:row r="5" ht="34" customHeight="1">
      <x:c r="A5" s="150" t="str">
        <x:v>Test ID</x:v>
      </x:c>
      <x:c r="B5" s="151" t="str">
        <x:v>阶段</x:v>
      </x:c>
      <x:c r="C5" s="151" t="str">
        <x:v>领域</x:v>
      </x:c>
      <x:c r="D5" s="151" t="str">
        <x:v>前置条件</x:v>
      </x:c>
      <x:c r="E5" s="151" t="str">
        <x:v>刺激/步骤</x:v>
      </x:c>
      <x:c r="F5" s="151" t="str">
        <x:v>观测点</x:v>
      </x:c>
      <x:c r="G5" s="151" t="str">
        <x:v>通过判据</x:v>
      </x:c>
      <x:c r="H5" s="151" t="str">
        <x:v>量化口径/来源</x:v>
      </x:c>
      <x:c r="I5" s="151" t="str">
        <x:v>环境/工具</x:v>
      </x:c>
      <x:c r="J5" s="151" t="str">
        <x:v>验收证据</x:v>
      </x:c>
      <x:c r="K5" s="151" t="str">
        <x:v>关联WBS</x:v>
      </x:c>
      <x:c r="L5" s="152" t="str">
        <x:v>责任建议</x:v>
      </x:c>
    </x:row>
    <x:row r="6" ht="76" customHeight="1">
      <x:c r="A6" s="144" t="str">
        <x:v>AT-M0-01</x:v>
      </x:c>
      <x:c r="B6" s="144" t="str">
        <x:v>M0</x:v>
      </x:c>
      <x:c r="C6" s="144" t="str">
        <x:v>合规/IP</x:v>
      </x:c>
      <x:c r="D6" s="144" t="str">
        <x:v>边界协议草案</x:v>
      </x:c>
      <x:c r="E6" s="144" t="str">
        <x:v>抽查实现组资料库、会议纪要、交付输入包。</x:v>
      </x:c>
      <x:c r="F6" s="144" t="str">
        <x:v>文件hash、访问日志、审批记录。</x:v>
      </x:c>
      <x:c r="G6" s="144" t="str">
        <x:v>无参考源码/生成C/私钥/未授权商业库；全部输入经批准。</x:v>
      </x:c>
      <x:c r="H6" s="144" t="str">
        <x:v>100%抽查关键资料；零违规。</x:v>
      </x:c>
      <x:c r="I6" s="144" t="str">
        <x:v>隔离资料库</x:v>
      </x:c>
      <x:c r="J6" s="144" t="str">
        <x:v>审计记录</x:v>
      </x:c>
      <x:c r="K6" s="144" t="str">
        <x:v>M0-01</x:v>
      </x:c>
      <x:c r="L6" s="144" t="str">
        <x:v>双方/法务</x:v>
      </x:c>
    </x:row>
    <x:row r="7" ht="76" customHeight="1">
      <x:c r="A7" s="144" t="str">
        <x:v>AT-M0-02</x:v>
      </x:c>
      <x:c r="B7" s="144" t="str">
        <x:v>M0</x:v>
      </x:c>
      <x:c r="C7" s="144" t="str">
        <x:v>版本</x:v>
      </x:c>
      <x:c r="D7" s="144" t="str">
        <x:v>参考ECU与manifest</x:v>
      </x:c>
      <x:c r="E7" s="144" t="str">
        <x:v>读取DID/版本、烧录件hash、构建宏和总线身份。</x:v>
      </x:c>
      <x:c r="F7" s="144" t="str">
        <x:v>ECU版本、镜像hash、CAN节点/ID。</x:v>
      </x:c>
      <x:c r="G7" s="144" t="str">
        <x:v>与签署manifest一致；DEVELOP/SERIES身份明确。</x:v>
      </x:c>
      <x:c r="H7" s="144" t="str">
        <x:v>零未解释差异。</x:v>
      </x:c>
      <x:c r="I7" s="144" t="str">
        <x:v>目标ECU、刷写/诊断工具</x:v>
      </x:c>
      <x:c r="J7" s="144" t="str">
        <x:v>manifest+日志</x:v>
      </x:c>
      <x:c r="K7" s="144" t="str">
        <x:v>M0-02</x:v>
      </x:c>
      <x:c r="L7" s="144" t="str">
        <x:v>验证组</x:v>
      </x:c>
    </x:row>
    <x:row r="8" ht="76" customHeight="1">
      <x:c r="A8" s="144" t="str">
        <x:v>AT-M0-03</x:v>
      </x:c>
      <x:c r="B8" s="144" t="str">
        <x:v>M0</x:v>
      </x:c>
      <x:c r="C8" s="144" t="str">
        <x:v>工具链</x:v>
      </x:c>
      <x:c r="D8" s="144" t="str">
        <x:v>全新Windows环境与合法license</x:v>
      </x:c>
      <x:c r="E8" s="144" t="str">
        <x:v>从空workspace执行generate→compile→link→package两次。</x:v>
      </x:c>
      <x:c r="F8" s="144" t="str">
        <x:v>退出码、日志、生成清单、hash、目录diff。</x:v>
      </x:c>
      <x:c r="G8" s="144" t="str">
        <x:v>无硬编码个人盘符；缺输入即失败；两次结果可追溯。</x:v>
      </x:c>
      <x:c r="H8" s="144" t="str">
        <x:v>任一步失败必须非零；禁止“最新文件”回退。</x:v>
      </x:c>
      <x:c r="I8" s="144" t="str">
        <x:v>干净虚机/CI</x:v>
      </x:c>
      <x:c r="J8" s="144" t="str">
        <x:v>构建日志和diff</x:v>
      </x:c>
      <x:c r="K8" s="144" t="str">
        <x:v>M0-04,M0-05</x:v>
      </x:c>
      <x:c r="L8" s="144" t="str">
        <x:v>东软</x:v>
      </x:c>
    </x:row>
    <x:row r="9" ht="76" customHeight="1">
      <x:c r="A9" s="144" t="str">
        <x:v>AT-M0-04</x:v>
      </x:c>
      <x:c r="B9" s="144" t="str">
        <x:v>M0</x:v>
      </x:c>
      <x:c r="C9" s="144" t="str">
        <x:v>RTE生成</x:v>
      </x:c>
      <x:c r="D9" s="144" t="str">
        <x:v>冻结接口输入</x:v>
      </x:c>
      <x:c r="E9" s="144" t="str">
        <x:v>重生成RTA-BSW/RTE/OS并扫描旧路径和warning。</x:v>
      </x:c>
      <x:c r="F9" s="144" t="str">
        <x:v>RteErr、生成头/C、路径引用。</x:v>
      </x:c>
      <x:c r="G9" s="144" t="str">
        <x:v>无BAIC旧路径；warning全关闭或批准。</x:v>
      </x:c>
      <x:c r="H9" s="144" t="str">
        <x:v>旧路径命中=0。</x:v>
      </x:c>
      <x:c r="I9" s="144" t="str">
        <x:v>RTA工具/文本扫描</x:v>
      </x:c>
      <x:c r="J9" s="144" t="str">
        <x:v>生成审计报告</x:v>
      </x:c>
      <x:c r="K9" s="144" t="str">
        <x:v>M0-06</x:v>
      </x:c>
      <x:c r="L9" s="144" t="str">
        <x:v>东软</x:v>
      </x:c>
    </x:row>
    <x:row r="10" ht="76" customHeight="1">
      <x:c r="A10" s="144" t="str">
        <x:v>AT-M0-05</x:v>
      </x:c>
      <x:c r="B10" s="144" t="str">
        <x:v>M0</x:v>
      </x:c>
      <x:c r="C10" s="144" t="str">
        <x:v>RF基线</x:v>
      </x:c>
      <x:c r="D10" s="144" t="str">
        <x:v>量产ECU可发波</x:v>
      </x:c>
      <x:c r="E10" s="144" t="str">
        <x:v>采集RF配置下发和频谱/时序，四位置重复。</x:v>
      </x:c>
      <x:c r="F10" s="144" t="str">
        <x:v>profile/chirp/frame/subframe、Tx/Rx、时间片。</x:v>
      </x:c>
      <x:c r="G10" s="144" t="str">
        <x:v>唯一真值表与实测一致；模式矛盾关闭。</x:v>
      </x:c>
      <x:c r="H10" s="144" t="str">
        <x:v>按RF团队批准容差。</x:v>
      </x:c>
      <x:c r="I10" s="144" t="str">
        <x:v>频谱仪/逻辑分析/芯片trace</x:v>
      </x:c>
      <x:c r="J10" s="144" t="str">
        <x:v>RF抓测报告</x:v>
      </x:c>
      <x:c r="K10" s="144" t="str">
        <x:v>M0-08</x:v>
      </x:c>
      <x:c r="L10" s="144" t="str">
        <x:v>我方/验证组</x:v>
      </x:c>
    </x:row>
    <x:row r="11" ht="76" customHeight="1">
      <x:c r="A11" s="144" t="str">
        <x:v>AT-M0-06</x:v>
      </x:c>
      <x:c r="B11" s="144" t="str">
        <x:v>M0</x:v>
      </x:c>
      <x:c r="C11" s="144" t="str">
        <x:v>接口</x:v>
      </x:c>
      <x:c r="D11" s="144" t="str">
        <x:v>M4/RSS/算法ICD</x:v>
      </x:c>
      <x:c r="E11" s="144" t="str">
        <x:v>双方编译公共头并交换静态布局清单；注入错版本。</x:v>
      </x:c>
      <x:c r="F11" s="144" t="str">
        <x:v>sizeof/offsetof、版本、握手、错误码。</x:v>
      </x:c>
      <x:c r="G11" s="144" t="str">
        <x:v>布局一致；错版本拒绝且可诊断。</x:v>
      </x:c>
      <x:c r="H11" s="144" t="str">
        <x:v>所有共享结构100%检查。</x:v>
      </x:c>
      <x:c r="I11" s="144" t="str">
        <x:v>双方build、单测</x:v>
      </x:c>
      <x:c r="J11" s="144" t="str">
        <x:v>ABI报告</x:v>
      </x:c>
      <x:c r="K11" s="144" t="str">
        <x:v>M0-07</x:v>
      </x:c>
      <x:c r="L11" s="144" t="str">
        <x:v>双方</x:v>
      </x:c>
    </x:row>
    <x:row r="12" ht="76" customHeight="1">
      <x:c r="A12" s="144" t="str">
        <x:v>AT-M1-01</x:v>
      </x:c>
      <x:c r="B12" s="144" t="str">
        <x:v>M1</x:v>
      </x:c>
      <x:c r="C12" s="144" t="str">
        <x:v>镜像</x:v>
      </x:c>
      <x:c r="D12" s="144" t="str">
        <x:v>合法R5/M4/RSS输入</x:v>
      </x:c>
      <x:c r="E12" s="144" t="str">
        <x:v>生成三核appimage并解析header/core ID/CRC。</x:v>
      </x:c>
      <x:c r="F12" s="144" t="str">
        <x:v>R5@0、M4@2、RSS@3、地址/size/hash。</x:v>
      </x:c>
      <x:c r="G12" s="144" t="str">
        <x:v>全部字段与manifest一致；目标板可启动。</x:v>
      </x:c>
      <x:c r="H12" s="144" t="str">
        <x:v>两次clean build。</x:v>
      </x:c>
      <x:c r="I12" s="144" t="str">
        <x:v>ImageGen/解析脚本/目标板</x:v>
      </x:c>
      <x:c r="J12" s="144" t="str">
        <x:v>镜像清单</x:v>
      </x:c>
      <x:c r="K12" s="144" t="str">
        <x:v>M1-01</x:v>
      </x:c>
      <x:c r="L12" s="144" t="str">
        <x:v>东软</x:v>
      </x:c>
    </x:row>
    <x:row r="13" ht="76" customHeight="1">
      <x:c r="A13" s="144" t="str">
        <x:v>AT-M1-02</x:v>
      </x:c>
      <x:c r="B13" s="144" t="str">
        <x:v>M1</x:v>
      </x:c>
      <x:c r="C13" s="144" t="str">
        <x:v>内存</x:v>
      </x:c>
      <x:c r="D13" s="144" t="str">
        <x:v>最终map/linker</x:v>
      </x:c>
      <x:c r="E13" s="144" t="str">
        <x:v>自动解析TCMA/B、L2/L3、shared、Mailbox、M4保留区。</x:v>
      </x:c>
      <x:c r="F13" s="144" t="str">
        <x:v>地址、大小、重叠、剩余量、MPU属性。</x:v>
      </x:c>
      <x:c r="G13" s="144" t="str">
        <x:v>无重叠/越界；共享区双方属性一致。</x:v>
      </x:c>
      <x:c r="H13" s="144" t="str">
        <x:v>所有section检查；余量按合同。</x:v>
      </x:c>
      <x:c r="I13" s="144" t="str">
        <x:v>map分析器/JTAG</x:v>
      </x:c>
      <x:c r="J13" s="144" t="str">
        <x:v>map审计</x:v>
      </x:c>
      <x:c r="K13" s="144" t="str">
        <x:v>M1-03</x:v>
      </x:c>
      <x:c r="L13" s="144" t="str">
        <x:v>东软/验证组</x:v>
      </x:c>
    </x:row>
    <x:row r="14" ht="76" customHeight="1">
      <x:c r="A14" s="144" t="str">
        <x:v>AT-M1-03</x:v>
      </x:c>
      <x:c r="B14" s="144" t="str">
        <x:v>M1</x:v>
      </x:c>
      <x:c r="C14" s="144" t="str">
        <x:v>启动</x:v>
      </x:c>
      <x:c r="D14" s="144" t="str">
        <x:v>M1候选镜像</x:v>
      </x:c>
      <x:c r="E14" s="144" t="str">
        <x:v>冷启动、热复位、连续电源循环；记录各阶段时间。</x:v>
      </x:c>
      <x:c r="F14" s="144" t="str">
        <x:v>Reset→EcuM→OS→ReadAll→M4/RSS ready。</x:v>
      </x:c>
      <x:c r="G14" s="144" t="str">
        <x:v>无死机/未解释DET/OS Error；顺序正确。</x:v>
      </x:c>
      <x:c r="H14" s="144" t="str">
        <x:v>建议冷启100次；时间阈值由M0冻结。</x:v>
      </x:c>
      <x:c r="I14" s="144" t="str">
        <x:v>电源台架/JTAG/CAN</x:v>
      </x:c>
      <x:c r="J14" s="144" t="str">
        <x:v>启动trace</x:v>
      </x:c>
      <x:c r="K14" s="144" t="str">
        <x:v>M1-02,M1-10,M1-12</x:v>
      </x:c>
      <x:c r="L14" s="144" t="str">
        <x:v>验证组</x:v>
      </x:c>
    </x:row>
    <x:row r="15" ht="76" customHeight="1">
      <x:c r="A15" s="144" t="str">
        <x:v>AT-M1-04</x:v>
      </x:c>
      <x:c r="B15" s="144" t="str">
        <x:v>M1</x:v>
      </x:c>
      <x:c r="C15" s="144" t="str">
        <x:v>OS</x:v>
      </x:c>
      <x:c r="D15" s="144" t="str">
        <x:v>满算法/总线负载</x:v>
      </x:c>
      <x:c r="E15" s="144" t="str">
        <x:v>采集1/10/20/66/100ms任务和14 Cat2 ISR trace。</x:v>
      </x:c>
      <x:c r="F15" s="144" t="str">
        <x:v>周期、jitter、激活丢失、WCET、stack watermark。</x:v>
      </x:c>
      <x:c r="G15" s="144" t="str">
        <x:v>无丢激活/溢出/优先级反转；满足预算。</x:v>
      </x:c>
      <x:c r="H15" s="144" t="str">
        <x:v>阈值由M0/M1资源预算冻结。</x:v>
      </x:c>
      <x:c r="I15" s="144" t="str">
        <x:v>OS trace/JTAG</x:v>
      </x:c>
      <x:c r="J15" s="144" t="str">
        <x:v>任务时序报告</x:v>
      </x:c>
      <x:c r="K15" s="144" t="str">
        <x:v>M1-08,M1-24</x:v>
      </x:c>
      <x:c r="L15" s="144" t="str">
        <x:v>东软/验证组</x:v>
      </x:c>
    </x:row>
    <x:row r="16" ht="76" customHeight="1">
      <x:c r="A16" s="144" t="str">
        <x:v>AT-M1-05</x:v>
      </x:c>
      <x:c r="B16" s="144" t="str">
        <x:v>M1</x:v>
      </x:c>
      <x:c r="C16" s="144" t="str">
        <x:v>CUDA/CLDA</x:v>
      </x:c>
      <x:c r="D16" s="144" t="str">
        <x:v>合法样本和逐块损坏样本</x:v>
      </x:c>
      <x:c r="E16" s="144" t="str">
        <x:v>分别烧录正确、全FF、CRC错、长度错、错位置数据。</x:v>
      </x:c>
      <x:c r="F16" s="144" t="str">
        <x:v>读取状态、雷达启动门、DEM、默认/降级。</x:v>
      </x:c>
      <x:c r="G16" s="144" t="str">
        <x:v>合法数据启动；任一必需块错误禁止发波并可诊断。</x:v>
      </x:c>
      <x:c r="H16" s="144" t="str">
        <x:v>覆盖CUDA三类×四位置及CLDA三子块。</x:v>
      </x:c>
      <x:c r="I16" s="144" t="str">
        <x:v>烧录工具/JTAG/CAN</x:v>
      </x:c>
      <x:c r="J16" s="144" t="str">
        <x:v>故障注入日志</x:v>
      </x:c>
      <x:c r="K16" s="144" t="str">
        <x:v>M1-11</x:v>
      </x:c>
      <x:c r="L16" s="144" t="str">
        <x:v>验证组</x:v>
      </x:c>
    </x:row>
    <x:row r="17" ht="76" customHeight="1">
      <x:c r="A17" s="144" t="str">
        <x:v>AT-M1-06</x:v>
      </x:c>
      <x:c r="B17" s="144" t="str">
        <x:v>M1</x:v>
      </x:c>
      <x:c r="C17" s="144" t="str">
        <x:v>多核启动</x:v>
      </x:c>
      <x:c r="D17" s="144" t="str">
        <x:v>M4/RSS正常/缺失/延迟/重启</x:v>
      </x:c>
      <x:c r="E17" s="144" t="str">
        <x:v>控制对端启动时机并注入失联。</x:v>
      </x:c>
      <x:c r="F17" s="144" t="str">
        <x:v>boot bits、MMWave_sync、timeout、DEM、恢复。</x:v>
      </x:c>
      <x:c r="G17" s="144" t="str">
        <x:v>无无界等待；按矩阵恢复/降级。</x:v>
      </x:c>
      <x:c r="H17" s="144" t="str">
        <x:v>每种异常重复10次。</x:v>
      </x:c>
      <x:c r="I17" s="144" t="str">
        <x:v>JTAG/镜像替换</x:v>
      </x:c>
      <x:c r="J17" s="144" t="str">
        <x:v>多核异常报告</x:v>
      </x:c>
      <x:c r="K17" s="144" t="str">
        <x:v>M1-12</x:v>
      </x:c>
      <x:c r="L17" s="144" t="str">
        <x:v>验证组</x:v>
      </x:c>
    </x:row>
    <x:row r="18" ht="76" customHeight="1">
      <x:c r="A18" s="144" t="str">
        <x:v>AT-M1-07</x:v>
      </x:c>
      <x:c r="B18" s="144" t="str">
        <x:v>M1</x:v>
      </x:c>
      <x:c r="C18" s="144" t="str">
        <x:v>IPC</x:v>
      </x:c>
      <x:c r="D18" s="144" t="str">
        <x:v>正常与0x10/0x11/0x12异常序列</x:v>
      </x:c>
      <x:c r="E18" s="144" t="str">
        <x:v>丢包、重复、乱序、长度错、洪泛、ACK超时。</x:v>
      </x:c>
      <x:c r="F18" s="144" t="str">
        <x:v>消息计数、共享数据版本、任务激活、错误恢复。</x:v>
      </x:c>
      <x:c r="G18" s="144" t="str">
        <x:v>不死锁/越界/污染下一帧；异常可追踪。</x:v>
      </x:c>
      <x:c r="H18" s="144" t="str">
        <x:v>覆盖所有状态转移。</x:v>
      </x:c>
      <x:c r="I18" s="144" t="str">
        <x:v>M4 stub/逻辑trace</x:v>
      </x:c>
      <x:c r="J18" s="144" t="str">
        <x:v>IPC报告</x:v>
      </x:c>
      <x:c r="K18" s="144" t="str">
        <x:v>M1-13,M1-14</x:v>
      </x:c>
      <x:c r="L18" s="144" t="str">
        <x:v>双方/验证组</x:v>
      </x:c>
    </x:row>
    <x:row r="19" ht="76" customHeight="1">
      <x:c r="A19" s="144" t="str">
        <x:v>AT-M1-08</x:v>
      </x:c>
      <x:c r="B19" s="144" t="str">
        <x:v>M1</x:v>
      </x:c>
      <x:c r="C19" s="144" t="str">
        <x:v>RF</x:v>
      </x:c>
      <x:c r="D19" s="144" t="str">
        <x:v>冻结RF配置</x:v>
      </x:c>
      <x:c r="E19" s="144" t="str">
        <x:v>执行open/config/start/stop、异步错误和反复重启。</x:v>
      </x:c>
      <x:c r="F19" s="144" t="str">
        <x:v>mmWaveLink API、RSS事件、频谱、帧计数。</x:v>
      </x:c>
      <x:c r="G19" s="144" t="str">
        <x:v>实测参数与M0表一致；错误不永久busy。</x:v>
      </x:c>
      <x:c r="H19" s="144" t="str">
        <x:v>四位置；正常+关键错误。</x:v>
      </x:c>
      <x:c r="I19" s="144" t="str">
        <x:v>频谱仪/RSS trace</x:v>
      </x:c>
      <x:c r="J19" s="144" t="str">
        <x:v>RF报告</x:v>
      </x:c>
      <x:c r="K19" s="144" t="str">
        <x:v>M1-15</x:v>
      </x:c>
      <x:c r="L19" s="144" t="str">
        <x:v>验证组</x:v>
      </x:c>
    </x:row>
    <x:row r="20" ht="76" customHeight="1">
      <x:c r="A20" s="144" t="str">
        <x:v>AT-M1-09</x:v>
      </x:c>
      <x:c r="B20" s="144" t="str">
        <x:v>M1</x:v>
      </x:c>
      <x:c r="C20" s="144" t="str">
        <x:v>分时发波</x:v>
      </x:c>
      <x:c r="D20" s="144" t="str">
        <x:v>同步/失同步/时间跳变</x:v>
      </x:c>
      <x:c r="E20" s="144" t="str">
        <x:v>四角节点同时运行，丢CanTSyn、跳时、重启节点。</x:v>
      </x:c>
      <x:c r="F20" s="144" t="str">
        <x:v>StbM状态、TriggerWave激活、发波窗口、碰撞。</x:v>
      </x:c>
      <x:c r="G20" s="144" t="str">
        <x:v>周期/偏移满足冻结表；失步安全处理且无碰撞。</x:v>
      </x:c>
      <x:c r="H20" s="144" t="str">
        <x:v>66ms周期，窗口/容差由RF表。</x:v>
      </x:c>
      <x:c r="I20" s="144" t="str">
        <x:v>多ECU/总线/频谱</x:v>
      </x:c>
      <x:c r="J20" s="144" t="str">
        <x:v>时隙报告</x:v>
      </x:c>
      <x:c r="K20" s="144" t="str">
        <x:v>M1-16</x:v>
      </x:c>
      <x:c r="L20" s="144" t="str">
        <x:v>验证组</x:v>
      </x:c>
    </x:row>
    <x:row r="21" ht="76" customHeight="1">
      <x:c r="A21" s="144" t="str">
        <x:v>AT-M1-10</x:v>
      </x:c>
      <x:c r="B21" s="144" t="str">
        <x:v>M1</x:v>
      </x:c>
      <x:c r="C21" s="144" t="str">
        <x:v>ADCBuf/DMA</x:v>
      </x:c>
      <x:c r="D21" s="144" t="str">
        <x:v>真实发波和压力数据</x:v>
      </x:c>
      <x:c r="E21" s="144" t="str">
        <x:v>运行最大点数、连续帧、DMA延迟/通道冲突注入。</x:v>
      </x:c>
      <x:c r="F21" s="144" t="str">
        <x:v>overrun、TCC、buffer地址、帧序、cache。</x:v>
      </x:c>
      <x:c r="G21" s="144" t="str">
        <x:v>无overrun/错位/撕裂；冲突被检测。</x:v>
      </x:c>
      <x:c r="H21" s="144" t="str">
        <x:v>512 samples、4Rx、350点边界。</x:v>
      </x:c>
      <x:c r="I21" s="144" t="str">
        <x:v>JTAG/DMA trace</x:v>
      </x:c>
      <x:c r="J21" s="144" t="str">
        <x:v>采集链报告</x:v>
      </x:c>
      <x:c r="K21" s="144" t="str">
        <x:v>M1-17</x:v>
      </x:c>
      <x:c r="L21" s="144" t="str">
        <x:v>东软/验证组</x:v>
      </x:c>
    </x:row>
    <x:row r="22" ht="76" customHeight="1">
      <x:c r="A22" s="144" t="str">
        <x:v>AT-M1-11</x:v>
      </x:c>
      <x:c r="B22" s="144" t="str">
        <x:v>M1</x:v>
      </x:c>
      <x:c r="C22" s="144" t="str">
        <x:v>算法适配</x:v>
      </x:c>
      <x:c r="D22" s="144" t="str">
        <x:v>批准golden vectors</x:v>
      </x:c>
      <x:c r="E22" s="144" t="str">
        <x:v>逐帧输入M4/共享数据并对比中间量和最终输出。</x:v>
      </x:c>
      <x:c r="F22" s="144" t="str">
        <x:v>signal/perception输出、错误码、WCET、内存。</x:v>
      </x:c>
      <x:c r="G22" s="144" t="str">
        <x:v>数值在批准容差内；错误输入不输出伪有效目标。</x:v>
      </x:c>
      <x:c r="H22" s="144" t="str">
        <x:v>WCET&lt;66ms并留批准裕量。</x:v>
      </x:c>
      <x:c r="I22" s="144" t="str">
        <x:v>算法测试框架/JTAG</x:v>
      </x:c>
      <x:c r="J22" s="144" t="str">
        <x:v>golden对比</x:v>
      </x:c>
      <x:c r="K22" s="144" t="str">
        <x:v>M1-18,M1-19</x:v>
      </x:c>
      <x:c r="L22" s="144" t="str">
        <x:v>双方</x:v>
      </x:c>
    </x:row>
    <x:row r="23" ht="76" customHeight="1">
      <x:c r="A23" s="144" t="str">
        <x:v>AT-M1-12</x:v>
      </x:c>
      <x:c r="B23" s="144" t="str">
        <x:v>M1</x:v>
      </x:c>
      <x:c r="C23" s="144" t="str">
        <x:v>最小CAN输入</x:v>
      </x:c>
      <x:c r="D23" s="144" t="str">
        <x:v>07页最小Signal合同已签署且东软自有配置可用</x:v>
      </x:c>
      <x:c r="E23" s="144" t="str">
        <x:v>注入车速/yaw/轮速/挡位边界、超时和无效值。</x:v>
      </x:c>
      <x:c r="F23" s="144" t="str">
        <x:v>Com/RTE、0x11锁存、算法输入。</x:v>
      </x:c>
      <x:c r="G23" s="144" t="str">
        <x:v>缩放/端序/超时/锁存时点正确。</x:v>
      </x:c>
      <x:c r="H23" s="144" t="str">
        <x:v>所有M1输入信号100%。</x:v>
      </x:c>
      <x:c r="I23" s="144" t="str">
        <x:v>CANoe/CANalyzer</x:v>
      </x:c>
      <x:c r="J23" s="144" t="str">
        <x:v>信号日志</x:v>
      </x:c>
      <x:c r="K23" s="144" t="str">
        <x:v>M1-20</x:v>
      </x:c>
      <x:c r="L23" s="144" t="str">
        <x:v>验证组</x:v>
      </x:c>
    </x:row>
    <x:row r="24" ht="76" customHeight="1">
      <x:c r="A24" s="144" t="str">
        <x:v>AT-M1-13</x:v>
      </x:c>
      <x:c r="B24" s="144" t="str">
        <x:v>M1</x:v>
      </x:c>
      <x:c r="C24" s="144" t="str">
        <x:v>最小CAN输出</x:v>
      </x:c>
      <x:c r="D24" s="144" t="str">
        <x:v>真实目标与frame trace</x:v>
      </x:c>
      <x:c r="E24" s="144" t="str">
        <x:v>关联RSS帧、M4完成、R5 runCnt和目标PDU。</x:v>
      </x:c>
      <x:c r="F24" s="144" t="str">
        <x:v>CAN ID/DLC/周期/值/E2E/frame ID。</x:v>
      </x:c>
      <x:c r="G24" s="144" t="str">
        <x:v>正确位置PDU且与同一frame一致。</x:v>
      </x:c>
      <x:c r="H24" s="144" t="str">
        <x:v>所有M1输出PDU100%。</x:v>
      </x:c>
      <x:c r="I24" s="144" t="str">
        <x:v>频谱+JTAG+CAN</x:v>
      </x:c>
      <x:c r="J24" s="144" t="str">
        <x:v>同帧证据</x:v>
      </x:c>
      <x:c r="K24" s="144" t="str">
        <x:v>M1-21</x:v>
      </x:c>
      <x:c r="L24" s="144" t="str">
        <x:v>验证组</x:v>
      </x:c>
    </x:row>
    <x:row r="25" ht="76" customHeight="1">
      <x:c r="A25" s="144" t="str">
        <x:v>AT-M1-14</x:v>
      </x:c>
      <x:c r="B25" s="144" t="str">
        <x:v>M1</x:v>
      </x:c>
      <x:c r="C25" s="144" t="str">
        <x:v>看门狗</x:v>
      </x:c>
      <x:c r="D25" s="144" t="str">
        <x:v>正常/卡死10ms/100ms/主链任务</x:v>
      </x:c>
      <x:c r="E25" s="144" t="str">
        <x:v>冻结任务或停止刷新，重复测试启动/运行/诊断复位。</x:v>
      </x:c>
      <x:c r="F25" s="144" t="str">
        <x:v>PMIC喂狗、复位时间、ResetReason NvM、误复位。</x:v>
      </x:c>
      <x:c r="G25" s="144" t="str">
        <x:v>卡死按策略复位/降级；正常不误触发。</x:v>
      </x:c>
      <x:c r="H25" s="144" t="str">
        <x:v>复位时间按批准矩阵。</x:v>
      </x:c>
      <x:c r="I25" s="144" t="str">
        <x:v>JTAG/电源/CAN</x:v>
      </x:c>
      <x:c r="J25" s="144" t="str">
        <x:v>Wdg报告</x:v>
      </x:c>
      <x:c r="K25" s="144" t="str">
        <x:v>M1-23</x:v>
      </x:c>
      <x:c r="L25" s="144" t="str">
        <x:v>验证组</x:v>
      </x:c>
    </x:row>
    <x:row r="26" ht="76" customHeight="1">
      <x:c r="A26" s="144" t="str">
        <x:v>AT-M1-15</x:v>
      </x:c>
      <x:c r="B26" s="144" t="str">
        <x:v>M1</x:v>
      </x:c>
      <x:c r="C26" s="144" t="str">
        <x:v>主链Gate</x:v>
      </x:c>
      <x:c r="D26" s="144" t="str">
        <x:v>NORMAL/FUNTEST_OFF候选版本</x:v>
      </x:c>
      <x:c r="E26" s="144" t="str">
        <x:v>上电→合法标定→真实发波→M4→IPC→R5→CAN，连续运行并插入关键故障。</x:v>
      </x:c>
      <x:c r="F26" s="144" t="str">
        <x:v>RF/帧/IPC/R5/CAN关联、资源、恢复。</x:v>
      </x:c>
      <x:c r="G26" s="144" t="str">
        <x:v>同帧闭环；无永久阻塞/越界/不可恢复错误。</x:v>
      </x:c>
      <x:c r="H26" s="144" t="str">
        <x:v>连续时长、丢帧率等由M0 Gate冻结。</x:v>
      </x:c>
      <x:c r="I26" s="144" t="str">
        <x:v>目标板/真实目标/多工具同步</x:v>
      </x:c>
      <x:c r="J26" s="144" t="str">
        <x:v>M1签署报告</x:v>
      </x:c>
      <x:c r="K26" s="144" t="str">
        <x:v>M1-25</x:v>
      </x:c>
      <x:c r="L26" s="144" t="str">
        <x:v>独立验证组</x:v>
      </x:c>
    </x:row>
    <x:row r="27" ht="76" customHeight="1">
      <x:c r="A27" s="144" t="str">
        <x:v>AT-M2-01</x:v>
      </x:c>
      <x:c r="B27" s="144" t="str">
        <x:v>M2</x:v>
      </x:c>
      <x:c r="C27" s="144" t="str">
        <x:v>通信</x:v>
      </x:c>
      <x:c r="D27" s="144" t="str">
        <x:v>07页98个I-PDU/1457个Signal已签署；东软自有数据库/ARXML已生成</x:v>
      </x:c>
      <x:c r="E27" s="144" t="str">
        <x:v>把东软自有CanIf/Com/PduR配置导出为中立矩阵，与07页逐项比较。</x:v>
      </x:c>
      <x:c r="F27" s="144" t="str">
        <x:v>38 Tx/70 Rx CanIf PDU、34/64 Com I-PDU、687/770 Signal及路由。</x:v>
      </x:c>
      <x:c r="G27" s="144" t="str">
        <x:v>ID/DLC/bit/端序/factor/offset/range/周期/timeout/group/E2E零未解释差异。</x:v>
      </x:c>
      <x:c r="H27" s="144" t="str">
        <x:v>全量100%。</x:v>
      </x:c>
      <x:c r="I27" s="144" t="str">
        <x:v>东软数据库工具/配置审计脚本</x:v>
      </x:c>
      <x:c r="J27" s="144" t="str">
        <x:v>通信审计</x:v>
      </x:c>
      <x:c r="K27" s="144" t="str">
        <x:v>M2-01,M2-02</x:v>
      </x:c>
      <x:c r="L27" s="144" t="str">
        <x:v>东软/验证组</x:v>
      </x:c>
    </x:row>
    <x:row r="28" ht="76" customHeight="1">
      <x:c r="A28" s="144" t="str">
        <x:v>AT-M2-02</x:v>
      </x:c>
      <x:c r="B28" s="144" t="str">
        <x:v>M2</x:v>
      </x:c>
      <x:c r="C28" s="144" t="str">
        <x:v>CAN FD</x:v>
      </x:c>
      <x:c r="D28" s="144" t="str">
        <x:v>全量网络</x:v>
      </x:c>
      <x:c r="E28" s="144" t="str">
        <x:v>500k/2M和批准1M/5M下满载、错误帧、Bus-Off。</x:v>
      </x:c>
      <x:c r="F28" s="144" t="str">
        <x:v>控制器状态、丢帧、恢复、总线负载。</x:v>
      </x:c>
      <x:c r="G28" s="144" t="str">
        <x:v>稳定收发；恢复参数与配置一致。</x:v>
      </x:c>
      <x:c r="H28" s="144" t="str">
        <x:v>负载/错误率按OEM。</x:v>
      </x:c>
      <x:c r="I28" s="144" t="str">
        <x:v>CANoe/故障注入</x:v>
      </x:c>
      <x:c r="J28" s="144" t="str">
        <x:v>CAN报告</x:v>
      </x:c>
      <x:c r="K28" s="144" t="str">
        <x:v>M2-01,M2-03</x:v>
      </x:c>
      <x:c r="L28" s="144" t="str">
        <x:v>验证组</x:v>
      </x:c>
    </x:row>
    <x:row r="29" ht="76" customHeight="1">
      <x:c r="A29" s="144" t="str">
        <x:v>AT-M2-03</x:v>
      </x:c>
      <x:c r="B29" s="144" t="str">
        <x:v>M2</x:v>
      </x:c>
      <x:c r="C29" s="144" t="str">
        <x:v>E2E</x:v>
      </x:c>
      <x:c r="D29" s="144" t="str">
        <x:v>Profile01报文</x:v>
      </x:c>
      <x:c r="E29" s="144" t="str">
        <x:v>正常、CRC错、counter跳/重复/回绕、DataID错。</x:v>
      </x:c>
      <x:c r="F29" s="144" t="str">
        <x:v>接收状态、错误反应、应用有效性。</x:v>
      </x:c>
      <x:c r="G29" s="144" t="str">
        <x:v>所有错误被正确检测/恢复；发送字段正确。</x:v>
      </x:c>
      <x:c r="H29" s="144" t="str">
        <x:v>所有受保护PDU。</x:v>
      </x:c>
      <x:c r="I29" s="144" t="str">
        <x:v>CANoe E2E</x:v>
      </x:c>
      <x:c r="J29" s="144" t="str">
        <x:v>E2E报告</x:v>
      </x:c>
      <x:c r="K29" s="144" t="str">
        <x:v>M2-02</x:v>
      </x:c>
      <x:c r="L29" s="144" t="str">
        <x:v>验证组</x:v>
      </x:c>
    </x:row>
    <x:row r="30" ht="76" customHeight="1">
      <x:c r="A30" s="144" t="str">
        <x:v>AT-M2-04</x:v>
      </x:c>
      <x:c r="B30" s="144" t="str">
        <x:v>M2</x:v>
      </x:c>
      <x:c r="C30" s="144" t="str">
        <x:v>NM/ComM/CanSM</x:v>
      </x:c>
      <x:c r="D30" s="144" t="str">
        <x:v>COM/XCP网络</x:v>
      </x:c>
      <x:c r="E30" s="144" t="str">
        <x:v>验证20ms×25、500ms、1.6s、2s、Bus-Off L1/L2、诊断保持通信。</x:v>
      </x:c>
      <x:c r="F30" s="144" t="str">
        <x:v>Nm/ComM/CanSM/BswM状态、PDU组、功耗。</x:v>
      </x:c>
      <x:c r="G30" s="144" t="str">
        <x:v>计时与状态机符合冻结配置；无错误唤醒。</x:v>
      </x:c>
      <x:c r="H30" s="144" t="str">
        <x:v>边界±调度容差。</x:v>
      </x:c>
      <x:c r="I30" s="144" t="str">
        <x:v>CANoe/电流计</x:v>
      </x:c>
      <x:c r="J30" s="144" t="str">
        <x:v>NM报告</x:v>
      </x:c>
      <x:c r="K30" s="144" t="str">
        <x:v>M2-03</x:v>
      </x:c>
      <x:c r="L30" s="144" t="str">
        <x:v>验证组</x:v>
      </x:c>
    </x:row>
    <x:row r="31" ht="76" customHeight="1">
      <x:c r="A31" s="144" t="str">
        <x:v>AT-M2-05</x:v>
      </x:c>
      <x:c r="B31" s="144" t="str">
        <x:v>M2</x:v>
      </x:c>
      <x:c r="C31" s="144" t="str">
        <x:v>NvM</x:v>
      </x:c>
      <x:c r="D31" s="144" t="str">
        <x:v>105项生成配置</x:v>
      </x:c>
      <x:c r="E31" s="144" t="str">
        <x:v>自动解析NvM/Fee生成表并和05页逐项diff。</x:v>
      </x:c>
      <x:c r="F31" s="144" t="str">
        <x:v>ID/长度/persistent ID/management/flags/RAM/ROM。</x:v>
      </x:c>
      <x:c r="G31" s="144" t="str">
        <x:v>零未解释差异；103业务块全部映射Fee。</x:v>
      </x:c>
      <x:c r="H31" s="144" t="str">
        <x:v>105/105。</x:v>
      </x:c>
      <x:c r="I31" s="144" t="str">
        <x:v>解析脚本</x:v>
      </x:c>
      <x:c r="J31" s="144" t="str">
        <x:v>配置diff</x:v>
      </x:c>
      <x:c r="K31" s="144" t="str">
        <x:v>M2-05</x:v>
      </x:c>
      <x:c r="L31" s="144" t="str">
        <x:v>东软/验证组</x:v>
      </x:c>
    </x:row>
    <x:row r="32" ht="76" customHeight="1">
      <x:c r="A32" s="144" t="str">
        <x:v>AT-M2-06</x:v>
      </x:c>
      <x:c r="B32" s="144" t="str">
        <x:v>M2</x:v>
      </x:c>
      <x:c r="C32" s="144" t="str">
        <x:v>NvM API</x:v>
      </x:c>
      <x:c r="D32" s="144" t="str">
        <x:v>每类块代表+边界块</x:v>
      </x:c>
      <x:c r="E32" s="144" t="str">
        <x:v>Read/Write/Invalidate/RestoreDefaults/ReadAll/WriteAll；NULL RAM/Sync/ROM/大块。</x:v>
      </x:c>
      <x:c r="F32" s="144" t="str">
        <x:v>结果码、RAM/NV内容、回调、队列。</x:v>
      </x:c>
      <x:c r="G32" s="144" t="str">
        <x:v>符合块属性；边界长度和非法ID拒绝。</x:v>
      </x:c>
      <x:c r="H32" s="144" t="str">
        <x:v>覆盖全部属性组合，关键块逐项。</x:v>
      </x:c>
      <x:c r="I32" s="144" t="str">
        <x:v>JTAG/NvM测试SWC</x:v>
      </x:c>
      <x:c r="J32" s="144" t="str">
        <x:v>NvM功能报告</x:v>
      </x:c>
      <x:c r="K32" s="144" t="str">
        <x:v>M2-05</x:v>
      </x:c>
      <x:c r="L32" s="144" t="str">
        <x:v>验证组</x:v>
      </x:c>
    </x:row>
    <x:row r="33" ht="76" customHeight="1">
      <x:c r="A33" s="144" t="str">
        <x:v>AT-M2-07</x:v>
      </x:c>
      <x:c r="B33" s="144" t="str">
        <x:v>M2</x:v>
      </x:c>
      <x:c r="C33" s="144" t="str">
        <x:v>Fee断电</x:v>
      </x:c>
      <x:c r="D33" s="144" t="str">
        <x:v>双Bank和ID15冗余</x:v>
      </x:c>
      <x:c r="E33" s="144" t="str">
        <x:v>erase/write/reorg各窗口断电；破坏ID15一份；填满Bank。</x:v>
      </x:c>
      <x:c r="F33" s="144" t="str">
        <x:v>重启数据、重组、逻辑ID、错误。</x:v>
      </x:c>
      <x:c r="G33" s="144" t="str">
        <x:v>数据不丢/不串；冗余恢复；物理位置可变。</x:v>
      </x:c>
      <x:c r="H33" s="144" t="str">
        <x:v>每个窗口多次随机化。</x:v>
      </x:c>
      <x:c r="I33" s="144" t="str">
        <x:v>可控电源/Flash dump</x:v>
      </x:c>
      <x:c r="J33" s="144" t="str">
        <x:v>Fee报告</x:v>
      </x:c>
      <x:c r="K33" s="144" t="str">
        <x:v>M2-06</x:v>
      </x:c>
      <x:c r="L33" s="144" t="str">
        <x:v>验证组</x:v>
      </x:c>
    </x:row>
    <x:row r="34" ht="76" customHeight="1">
      <x:c r="A34" s="144" t="str">
        <x:v>AT-M2-08</x:v>
      </x:c>
      <x:c r="B34" s="144" t="str">
        <x:v>M2</x:v>
      </x:c>
      <x:c r="C34" s="144" t="str">
        <x:v>Dem</x:v>
      </x:c>
      <x:c r="D34" s="144" t="str">
        <x:v>217事件/59 DTC矩阵</x:v>
      </x:c>
      <x:c r="E34" s="144" t="str">
        <x:v>注入故障、去抖、恢复、老化、跨电源；填满40条。</x:v>
      </x:c>
      <x:c r="F34" s="144" t="str">
        <x:v>event status、0x19、FF/ext、NvM、清除。</x:v>
      </x:c>
      <x:c r="G34" s="144" t="str">
        <x:v>与矩阵一致；满载策略明确且不串数据。</x:v>
      </x:c>
      <x:c r="H34" s="144" t="str">
        <x:v>全事件或批准等价类；所有DTC。</x:v>
      </x:c>
      <x:c r="I34" s="144" t="str">
        <x:v>故障注入/诊断工具</x:v>
      </x:c>
      <x:c r="J34" s="144" t="str">
        <x:v>Dem报告</x:v>
      </x:c>
      <x:c r="K34" s="144" t="str">
        <x:v>M2-08,M2-24</x:v>
      </x:c>
      <x:c r="L34" s="144" t="str">
        <x:v>验证组</x:v>
      </x:c>
    </x:row>
    <x:row r="35" ht="76" customHeight="1">
      <x:c r="A35" s="144" t="str">
        <x:v>AT-M2-09</x:v>
      </x:c>
      <x:c r="B35" s="144" t="str">
        <x:v>M2</x:v>
      </x:c>
      <x:c r="C35" s="144" t="str">
        <x:v>Dcm服务</x:v>
      </x:c>
      <x:c r="D35" s="144" t="str">
        <x:v>11服务×会话×安全</x:v>
      </x:c>
      <x:c r="E35" s="144" t="str">
        <x:v>执行支持/不支持/错误长度/条件/权限/NRC。</x:v>
      </x:c>
      <x:c r="F35" s="144" t="str">
        <x:v>响应、P2/P2*/S3、session/security状态。</x:v>
      </x:c>
      <x:c r="G35" s="144" t="str">
        <x:v>与服务矩阵一致；未授权服务拒绝。</x:v>
      </x:c>
      <x:c r="H35" s="144" t="str">
        <x:v>全组合自动化。</x:v>
      </x:c>
      <x:c r="I35" s="144" t="str">
        <x:v>诊断测试仪</x:v>
      </x:c>
      <x:c r="J35" s="144" t="str">
        <x:v>Dcm报告</x:v>
      </x:c>
      <x:c r="K35" s="144" t="str">
        <x:v>M2-09</x:v>
      </x:c>
      <x:c r="L35" s="144" t="str">
        <x:v>验证组</x:v>
      </x:c>
    </x:row>
    <x:row r="36" ht="76" customHeight="1">
      <x:c r="A36" s="144" t="str">
        <x:v>AT-M2-10</x:v>
      </x:c>
      <x:c r="B36" s="144" t="str">
        <x:v>M2</x:v>
      </x:c>
      <x:c r="C36" s="144" t="str">
        <x:v>DID</x:v>
      </x:c>
      <x:c r="D36" s="144" t="str">
        <x:v>48 DID</x:v>
      </x:c>
      <x:c r="E36" s="144" t="str">
        <x:v>读写边界、端序、持久化、条件、错长度、复位。</x:v>
      </x:c>
      <x:c r="F36" s="144" t="str">
        <x:v>回调、NvM、响应/NRC。</x:v>
      </x:c>
      <x:c r="G36" s="144" t="str">
        <x:v>48/48满足DID矩阵；写后重启一致。</x:v>
      </x:c>
      <x:c r="H36" s="144" t="str">
        <x:v>全量。</x:v>
      </x:c>
      <x:c r="I36" s="144" t="str">
        <x:v>诊断测试仪/JTAG</x:v>
      </x:c>
      <x:c r="J36" s="144" t="str">
        <x:v>DID报告</x:v>
      </x:c>
      <x:c r="K36" s="144" t="str">
        <x:v>M2-10</x:v>
      </x:c>
      <x:c r="L36" s="144" t="str">
        <x:v>验证组</x:v>
      </x:c>
    </x:row>
    <x:row r="37" ht="76" customHeight="1">
      <x:c r="A37" s="144" t="str">
        <x:v>AT-M2-11</x:v>
      </x:c>
      <x:c r="B37" s="144" t="str">
        <x:v>M2</x:v>
      </x:c>
      <x:c r="C37" s="144" t="str">
        <x:v>Routine</x:v>
      </x:c>
      <x:c r="D37" s="144" t="str">
        <x:v>5 Routine</x:v>
      </x:c>
      <x:c r="E37" s="144" t="str">
        <x:v>start/stop/result、busy、取消、超时、错参数、掉电。</x:v>
      </x:c>
      <x:c r="F37" s="144" t="str">
        <x:v>异步状态、NRC、持久化/安全影响。</x:v>
      </x:c>
      <x:c r="G37" s="144" t="str">
        <x:v>5/5满足Routine矩阵。</x:v>
      </x:c>
      <x:c r="H37" s="144" t="str">
        <x:v>全状态转移。</x:v>
      </x:c>
      <x:c r="I37" s="144" t="str">
        <x:v>诊断测试仪</x:v>
      </x:c>
      <x:c r="J37" s="144" t="str">
        <x:v>Routine报告</x:v>
      </x:c>
      <x:c r="K37" s="144" t="str">
        <x:v>M2-11</x:v>
      </x:c>
      <x:c r="L37" s="144" t="str">
        <x:v>验证组</x:v>
      </x:c>
    </x:row>
    <x:row r="38" ht="76" customHeight="1">
      <x:c r="A38" s="144" t="str">
        <x:v>AT-M2-12</x:v>
      </x:c>
      <x:c r="B38" s="144" t="str">
        <x:v>M2</x:v>
      </x:c>
      <x:c r="C38" s="144" t="str">
        <x:v>安全访问</x:v>
      </x:c>
      <x:c r="D38" s="144" t="str">
        <x:v>L1/L31/L32</x:v>
      </x:c>
      <x:c r="E38" s="144" t="str">
        <x:v>正确/错误/重放/暴力/超时/掉电/HSM繁忙。</x:v>
      </x:c>
      <x:c r="F38" s="144" t="str">
        <x:v>seed/key、延迟、attempt counter、生命周期。</x:v>
      </x:c>
      <x:c r="G38" s="144" t="str">
        <x:v>算法和策略符合批准规范；计数持久化；无秘密泄露。</x:v>
      </x:c>
      <x:c r="H38" s="144" t="str">
        <x:v>全等级。</x:v>
      </x:c>
      <x:c r="I38" s="144" t="str">
        <x:v>安全诊断台架</x:v>
      </x:c>
      <x:c r="J38" s="144" t="str">
        <x:v>安全访问报告</x:v>
      </x:c>
      <x:c r="K38" s="144" t="str">
        <x:v>M2-12</x:v>
      </x:c>
      <x:c r="L38" s="144" t="str">
        <x:v>安全验证组</x:v>
      </x:c>
    </x:row>
    <x:row r="39" ht="76" customHeight="1">
      <x:c r="A39" s="144" t="str">
        <x:v>AT-M2-13</x:v>
      </x:c>
      <x:c r="B39" s="144" t="str">
        <x:v>M2</x:v>
      </x:c>
      <x:c r="C39" s="144" t="str">
        <x:v>CanTp</x:v>
      </x:c>
      <x:c r="D39" s="144" t="str">
        <x:v>物理/功能寻址</x:v>
      </x:c>
      <x:c r="E39" s="144" t="str">
        <x:v>SF/FF/CF/FC，4095边界，BS/STmin，丢帧/乱序/超时/padding。</x:v>
      </x:c>
      <x:c r="F39" s="144" t="str">
        <x:v>CanTp/PduR/Dcm状态和响应。</x:v>
      </x:c>
      <x:c r="G39" s="144" t="str">
        <x:v>参数与配置一致；异常恢复。</x:v>
      </x:c>
      <x:c r="H39" s="144" t="str">
        <x:v>覆盖所有timeout。</x:v>
      </x:c>
      <x:c r="I39" s="144" t="str">
        <x:v>CANoe诊断</x:v>
      </x:c>
      <x:c r="J39" s="144" t="str">
        <x:v>CanTp报告</x:v>
      </x:c>
      <x:c r="K39" s="144" t="str">
        <x:v>M2-13</x:v>
      </x:c>
      <x:c r="L39" s="144" t="str">
        <x:v>验证组</x:v>
      </x:c>
    </x:row>
    <x:row r="40" ht="76" customHeight="1">
      <x:c r="A40" s="144" t="str">
        <x:v>AT-M2-14</x:v>
      </x:c>
      <x:c r="B40" s="144" t="str">
        <x:v>M2</x:v>
      </x:c>
      <x:c r="C40" s="144" t="str">
        <x:v>XCP</x:v>
      </x:c>
      <x:c r="D40" s="144" t="str">
        <x:v>开发/量产生命周期</x:v>
      </x:c>
      <x:c r="E40" s="144" t="str">
        <x:v>DAQ、A2L、非法地址、错误key、重放、量产件连接。</x:v>
      </x:c>
      <x:c r="F40" s="144" t="str">
        <x:v>XCP响应、内存访问、日志。</x:v>
      </x:c>
      <x:c r="G40" s="144" t="str">
        <x:v>批准变量可用；非法/量产访问拒绝。</x:v>
      </x:c>
      <x:c r="H40" s="144" t="str">
        <x:v>四角位置和全部生命周期。</x:v>
      </x:c>
      <x:c r="I40" s="144" t="str">
        <x:v>CANape/CANoe</x:v>
      </x:c>
      <x:c r="J40" s="144" t="str">
        <x:v>XCP报告</x:v>
      </x:c>
      <x:c r="K40" s="144" t="str">
        <x:v>M2-17</x:v>
      </x:c>
      <x:c r="L40" s="144" t="str">
        <x:v>安全验证组</x:v>
      </x:c>
    </x:row>
    <x:row r="41" ht="76" customHeight="1">
      <x:c r="A41" s="144" t="str">
        <x:v>AT-M2-15</x:v>
      </x:c>
      <x:c r="B41" s="144" t="str">
        <x:v>M2</x:v>
      </x:c>
      <x:c r="C41" s="144" t="str">
        <x:v>生命周期</x:v>
      </x:c>
      <x:c r="D41" s="144" t="str">
        <x:v>上电/休眠/唤醒/诊断复位/WDG复位</x:v>
      </x:c>
      <x:c r="E41" s="144" t="str">
        <x:v>组合KL30/KL15、CAN wake、NoCom、NvM忙、Bus-Off。</x:v>
      </x:c>
      <x:c r="F41" s="144" t="str">
        <x:v>EcuM/BswM/ComM/NvM/Dem/PMIC、电流。</x:v>
      </x:c>
      <x:c r="G41" s="144" t="str">
        <x:v>状态/数据/功耗/响应满足规范，无误唤醒。</x:v>
      </x:c>
      <x:c r="H41" s="144" t="str">
        <x:v>所有状态转移。</x:v>
      </x:c>
      <x:c r="I41" s="144" t="str">
        <x:v>电源台架/CAN</x:v>
      </x:c>
      <x:c r="J41" s="144" t="str">
        <x:v>生命周期报告</x:v>
      </x:c>
      <x:c r="K41" s="144" t="str">
        <x:v>M2-15,M2-16</x:v>
      </x:c>
      <x:c r="L41" s="144" t="str">
        <x:v>验证组</x:v>
      </x:c>
    </x:row>
    <x:row r="42" ht="76" customHeight="1">
      <x:c r="A42" s="144" t="str">
        <x:v>AT-M2-16</x:v>
      </x:c>
      <x:c r="B42" s="144" t="str">
        <x:v>M2</x:v>
      </x:c>
      <x:c r="C42" s="144" t="str">
        <x:v>全功能资源</x:v>
      </x:c>
      <x:c r="D42" s="144" t="str">
        <x:v>全量模块+算法+总线满载</x:v>
      </x:c>
      <x:c r="E42" s="144" t="str">
        <x:v>执行最坏场景并采集任务、堆栈、内存、Flash队列。</x:v>
      </x:c>
      <x:c r="F42" s="144" t="str">
        <x:v>CPU/WCET/jitter/stack/bus/load/queue。</x:v>
      </x:c>
      <x:c r="G42" s="144" t="str">
        <x:v>所有实时与资源阈值满足合同。</x:v>
      </x:c>
      <x:c r="H42" s="144" t="str">
        <x:v>最坏场景持续运行。</x:v>
      </x:c>
      <x:c r="I42" s="144" t="str">
        <x:v>OS trace/JTAG/CAN</x:v>
      </x:c>
      <x:c r="J42" s="144" t="str">
        <x:v>性能报告</x:v>
      </x:c>
      <x:c r="K42" s="144" t="str">
        <x:v>M2-28</x:v>
      </x:c>
      <x:c r="L42" s="144" t="str">
        <x:v>验证组</x:v>
      </x:c>
    </x:row>
    <x:row r="43" ht="76" customHeight="1">
      <x:c r="A43" s="144" t="str">
        <x:v>AT-M3-01</x:v>
      </x:c>
      <x:c r="B43" s="144" t="str">
        <x:v>M3</x:v>
      </x:c>
      <x:c r="C43" s="144" t="str">
        <x:v>CI发布</x:v>
      </x:c>
      <x:c r="D43" s="144" t="str">
        <x:v>完整build matrix</x:v>
      </x:c>
      <x:c r="E43" s="144" t="str">
        <x:v>逐组合执行clean generate/build/test/package。</x:v>
      </x:c>
      <x:c r="F43" s="144" t="str">
        <x:v>制品、hash、日志、SBOM、空归档。</x:v>
      </x:c>
      <x:c r="G43" s="144" t="str">
        <x:v>每组合唯一、完整、可复现；失败阻断。</x:v>
      </x:c>
      <x:c r="H43" s="144" t="str">
        <x:v>100%矩阵。</x:v>
      </x:c>
      <x:c r="I43" s="144" t="str">
        <x:v>CI/干净agent</x:v>
      </x:c>
      <x:c r="J43" s="144" t="str">
        <x:v>发布矩阵报告</x:v>
      </x:c>
      <x:c r="K43" s="144" t="str">
        <x:v>M3-01,M3-11,M3-12</x:v>
      </x:c>
      <x:c r="L43" s="144" t="str">
        <x:v>东软/验证组</x:v>
      </x:c>
    </x:row>
    <x:row r="44" ht="76" customHeight="1">
      <x:c r="A44" s="144" t="str">
        <x:v>AT-M3-02</x:v>
      </x:c>
      <x:c r="B44" s="144" t="str">
        <x:v>M3</x:v>
      </x:c>
      <x:c r="C44" s="144" t="str">
        <x:v>静态质量</x:v>
      </x:c>
      <x:c r="D44" s="144" t="str">
        <x:v>最终候选</x:v>
      </x:c>
      <x:c r="E44" s="144" t="str">
        <x:v>运行静态分析、MISRA、编译warning和复杂度门禁。</x:v>
      </x:c>
      <x:c r="F44" s="144" t="str">
        <x:v>报告与基线差异。</x:v>
      </x:c>
      <x:c r="G44" s="144" t="str">
        <x:v>Critical/High=0；偏差批准。</x:v>
      </x:c>
      <x:c r="H44" s="144" t="str">
        <x:v>阈值按合同。</x:v>
      </x:c>
      <x:c r="I44" s="144" t="str">
        <x:v>QAC/Coverity等</x:v>
      </x:c>
      <x:c r="J44" s="144" t="str">
        <x:v>质量报告</x:v>
      </x:c>
      <x:c r="K44" s="144" t="str">
        <x:v>M3-02</x:v>
      </x:c>
      <x:c r="L44" s="144" t="str">
        <x:v>独立质量组</x:v>
      </x:c>
    </x:row>
    <x:row r="45" ht="76" customHeight="1">
      <x:c r="A45" s="144" t="str">
        <x:v>AT-M3-03</x:v>
      </x:c>
      <x:c r="B45" s="144" t="str">
        <x:v>M3</x:v>
      </x:c>
      <x:c r="C45" s="144" t="str">
        <x:v>覆盖率</x:v>
      </x:c>
      <x:c r="D45" s="144" t="str">
        <x:v>全部UT</x:v>
      </x:c>
      <x:c r="E45" s="144" t="str">
        <x:v>运行所有目标模块和覆盖率统计。</x:v>
      </x:c>
      <x:c r="F45" s="144" t="str">
        <x:v>statement/branch/function。</x:v>
      </x:c>
      <x:c r="G45" s="144" t="str">
        <x:v>达到合同阈值；低于阈值CI失败。</x:v>
      </x:c>
      <x:c r="H45" s="144" t="str">
        <x:v>阈值需双方冻结。</x:v>
      </x:c>
      <x:c r="I45" s="144" t="str">
        <x:v>GTest/coverage</x:v>
      </x:c>
      <x:c r="J45" s="144" t="str">
        <x:v>UT/覆盖率报告</x:v>
      </x:c>
      <x:c r="K45" s="144" t="str">
        <x:v>M3-03</x:v>
      </x:c>
      <x:c r="L45" s="144" t="str">
        <x:v>独立质量组</x:v>
      </x:c>
    </x:row>
    <x:row r="46" ht="76" customHeight="1">
      <x:c r="A46" s="144" t="str">
        <x:v>AT-M3-04</x:v>
      </x:c>
      <x:c r="B46" s="144" t="str">
        <x:v>M3</x:v>
      </x:c>
      <x:c r="C46" s="144" t="str">
        <x:v>电源鲁棒</x:v>
      </x:c>
      <x:c r="D46" s="144" t="str">
        <x:v>最终候选</x:v>
      </x:c>
      <x:c r="E46" s="144" t="str">
        <x:v>冷/热/欠压/快速循环及NvM/Flash/Boot临界断电。</x:v>
      </x:c>
      <x:c r="F46" s="144" t="str">
        <x:v>启动、数据、恢复、砖化。</x:v>
      </x:c>
      <x:c r="G46" s="144" t="str">
        <x:v>零砖化/数据串块/不可恢复；指标满足OEM。</x:v>
      </x:c>
      <x:c r="H46" s="144" t="str">
        <x:v>循环次数/电压窗由OEM。</x:v>
      </x:c>
      <x:c r="I46" s="144" t="str">
        <x:v>可编程电源</x:v>
      </x:c>
      <x:c r="J46" s="144" t="str">
        <x:v>电源报告</x:v>
      </x:c>
      <x:c r="K46" s="144" t="str">
        <x:v>M3-04,M3-05</x:v>
      </x:c>
      <x:c r="L46" s="144" t="str">
        <x:v>验证组</x:v>
      </x:c>
    </x:row>
    <x:row r="47" ht="76" customHeight="1">
      <x:c r="A47" s="144" t="str">
        <x:v>AT-M3-05</x:v>
      </x:c>
      <x:c r="B47" s="144" t="str">
        <x:v>M3</x:v>
      </x:c>
      <x:c r="C47" s="144" t="str">
        <x:v>网络/功耗</x:v>
      </x:c>
      <x:c r="D47" s="144" t="str">
        <x:v>最终候选</x:v>
      </x:c>
      <x:c r="E47" s="144" t="str">
        <x:v>满总线、错误帧、Bus-Off、丢NM、反复睡眠唤醒。</x:v>
      </x:c>
      <x:c r="F47" s="144" t="str">
        <x:v>状态、PDU、电流、恢复时间。</x:v>
      </x:c>
      <x:c r="G47" s="144" t="str">
        <x:v>满足OEM网络与静态电流指标。</x:v>
      </x:c>
      <x:c r="H47" s="144" t="str">
        <x:v>全角位置。</x:v>
      </x:c>
      <x:c r="I47" s="144" t="str">
        <x:v>CANoe/电流计</x:v>
      </x:c>
      <x:c r="J47" s="144" t="str">
        <x:v>网络功耗报告</x:v>
      </x:c>
      <x:c r="K47" s="144" t="str">
        <x:v>M3-06</x:v>
      </x:c>
      <x:c r="L47" s="144" t="str">
        <x:v>验证组</x:v>
      </x:c>
    </x:row>
    <x:row r="48" ht="76" customHeight="1">
      <x:c r="A48" s="144" t="str">
        <x:v>AT-M3-06</x:v>
      </x:c>
      <x:c r="B48" s="144" t="str">
        <x:v>M3</x:v>
      </x:c>
      <x:c r="C48" s="144" t="str">
        <x:v>雷达长稳</x:v>
      </x:c>
      <x:c r="D48" s="144" t="str">
        <x:v>四角样件和环境条件</x:v>
      </x:c>
      <x:c r="E48" s="144" t="str">
        <x:v>真实发波长稳、温度/电压、场景循环。</x:v>
      </x:c>
      <x:c r="F48" s="144" t="str">
        <x:v>RF/帧/IPC/R5/CAN/资源。</x:v>
      </x:c>
      <x:c r="G48" s="144" t="str">
        <x:v>无帧序/内存/位置映射问题；算法指标满足甲方规范。</x:v>
      </x:c>
      <x:c r="H48" s="144" t="str">
        <x:v>持续时长由合同。</x:v>
      </x:c>
      <x:c r="I48" s="144" t="str">
        <x:v>环境箱/目标模拟/实场</x:v>
      </x:c>
      <x:c r="J48" s="144" t="str">
        <x:v>长稳报告</x:v>
      </x:c>
      <x:c r="K48" s="144" t="str">
        <x:v>M3-07</x:v>
      </x:c>
      <x:c r="L48" s="144" t="str">
        <x:v>验证组</x:v>
      </x:c>
    </x:row>
    <x:row r="49" ht="76" customHeight="1">
      <x:c r="A49" s="144" t="str">
        <x:v>AT-M3-07</x:v>
      </x:c>
      <x:c r="B49" s="144" t="str">
        <x:v>M3</x:v>
      </x:c>
      <x:c r="C49" s="144" t="str">
        <x:v>诊断一致性</x:v>
      </x:c>
      <x:c r="D49" s="144" t="str">
        <x:v>最终候选</x:v>
      </x:c>
      <x:c r="E49" s="144" t="str">
        <x:v>运行UDS/DEM/NvM全自动回归和故障组合。</x:v>
      </x:c>
      <x:c r="F49" s="144" t="str">
        <x:v>响应/NRC/时序/持久化。</x:v>
      </x:c>
      <x:c r="G49" s="144" t="str">
        <x:v>全部正式需求通过。</x:v>
      </x:c>
      <x:c r="H49" s="144" t="str">
        <x:v>100%自动用例。</x:v>
      </x:c>
      <x:c r="I49" s="144" t="str">
        <x:v>诊断测试仪</x:v>
      </x:c>
      <x:c r="J49" s="144" t="str">
        <x:v>诊断报告</x:v>
      </x:c>
      <x:c r="K49" s="144" t="str">
        <x:v>M3-08</x:v>
      </x:c>
      <x:c r="L49" s="144" t="str">
        <x:v>验证组</x:v>
      </x:c>
    </x:row>
    <x:row r="50" ht="76" customHeight="1">
      <x:c r="A50" s="144" t="str">
        <x:v>AT-M3-08</x:v>
      </x:c>
      <x:c r="B50" s="144" t="str">
        <x:v>M3</x:v>
      </x:c>
      <x:c r="C50" s="144" t="str">
        <x:v>安全</x:v>
      </x:c>
      <x:c r="D50" s="144" t="str">
        <x:v>最终签名候选</x:v>
      </x:c>
      <x:c r="E50" s="144" t="str">
        <x:v>篡改、错签名/tag、非法XCP/UDS、HSM异常、生命周期/降级。</x:v>
      </x:c>
      <x:c r="F50" s="144" t="str">
        <x:v>启动/拒绝/日志/恢复。</x:v>
      </x:c>
      <x:c r="G50" s="144" t="str">
        <x:v>未授权全部拒绝；失败进入批准状态；无秘密泄露。</x:v>
      </x:c>
      <x:c r="H50" s="144" t="str">
        <x:v>全生命周期。</x:v>
      </x:c>
      <x:c r="I50" s="144" t="str">
        <x:v>安全台架</x:v>
      </x:c>
      <x:c r="J50" s="144" t="str">
        <x:v>安全报告</x:v>
      </x:c>
      <x:c r="K50" s="144" t="str">
        <x:v>M3-09</x:v>
      </x:c>
      <x:c r="L50" s="144" t="str">
        <x:v>安全验证组</x:v>
      </x:c>
    </x:row>
    <x:row r="51" ht="76" customHeight="1">
      <x:c r="A51" s="144" t="str">
        <x:v>AT-M3-09</x:v>
      </x:c>
      <x:c r="B51" s="144" t="str">
        <x:v>M3</x:v>
      </x:c>
      <x:c r="C51" s="144" t="str">
        <x:v>车辆</x:v>
      </x:c>
      <x:c r="D51" s="144" t="str">
        <x:v>台架Gate通过</x:v>
      </x:c>
      <x:c r="E51" s="144" t="str">
        <x:v>实车/等效整车执行通信、休眠、发波时片、位置和算法用例。</x:v>
      </x:c>
      <x:c r="F51" s="144" t="str">
        <x:v>整车网络/RF/输出/功耗。</x:v>
      </x:c>
      <x:c r="G51" s="144" t="str">
        <x:v>OEM用例通过，无跨ECU干扰。</x:v>
      </x:c>
      <x:c r="H51" s="144" t="str">
        <x:v>全目标变体。</x:v>
      </x:c>
      <x:c r="I51" s="144" t="str">
        <x:v>车辆/道路</x:v>
      </x:c>
      <x:c r="J51" s="144" t="str">
        <x:v>车辆报告</x:v>
      </x:c>
      <x:c r="K51" s="144" t="str">
        <x:v>M3-10</x:v>
      </x:c>
      <x:c r="L51" s="144" t="str">
        <x:v>双方</x:v>
      </x:c>
    </x:row>
    <x:row r="52" ht="76" customHeight="1">
      <x:c r="A52" s="144" t="str">
        <x:v>AT-M3-10</x:v>
      </x:c>
      <x:c r="B52" s="144" t="str">
        <x:v>M3</x:v>
      </x:c>
      <x:c r="C52" s="144" t="str">
        <x:v>交付复现</x:v>
      </x:c>
      <x:c r="D52" s="144" t="str">
        <x:v>最终交付包</x:v>
      </x:c>
      <x:c r="E52" s="144" t="str">
        <x:v>独立人员按文档安装、build、变更一个配置、测试、刷写和回退。</x:v>
      </x:c>
      <x:c r="F52" s="144" t="str">
        <x:v>步骤、制品、hash、问题数。</x:v>
      </x:c>
      <x:c r="G52" s="144" t="str">
        <x:v>无需东软代操作即可完成；manifest一致。</x:v>
      </x:c>
      <x:c r="H52" s="144" t="str">
        <x:v>一次完整演练。</x:v>
      </x:c>
      <x:c r="I52" s="144" t="str">
        <x:v>隔离环境/目标板</x:v>
      </x:c>
      <x:c r="J52" s="144" t="str">
        <x:v>移交演练记录</x:v>
      </x:c>
      <x:c r="K52" s="144" t="str">
        <x:v>M3-13,M3-14,M3-15</x:v>
      </x:c>
      <x:c r="L52" s="144" t="str">
        <x:v>我方/独立验证组</x:v>
      </x:c>
    </x:row>
    <x:row r="53" ht="76" customHeight="1">
      <x:c r="A53" s="144" t="str">
        <x:v>AT-BT-01</x:v>
      </x:c>
      <x:c r="B53" s="144" t="str">
        <x:v>BT</x:v>
      </x:c>
      <x:c r="C53" s="144" t="str">
        <x:v>Boot内存</x:v>
      </x:c>
      <x:c r="D53" s="144" t="str">
        <x:v>冻结memory map</x:v>
      </x:c>
      <x:c r="E53" s="144" t="str">
        <x:v>解析容器V3/V4各区域、header/CRC/地址。</x:v>
      </x:c>
      <x:c r="F53" s="144" t="str">
        <x:v>BM/PBL/CBL/App/HSM/WFDA/CUDA/CLDA。</x:v>
      </x:c>
      <x:c r="G53" s="144" t="str">
        <x:v>无重叠/越界；容器字段正确。</x:v>
      </x:c>
      <x:c r="H53" s="144" t="str">
        <x:v>全build matrix。</x:v>
      </x:c>
      <x:c r="I53" s="144" t="str">
        <x:v>容器解析器</x:v>
      </x:c>
      <x:c r="J53" s="144" t="str">
        <x:v>map/容器报告</x:v>
      </x:c>
      <x:c r="K53" s="144" t="str">
        <x:v>BT-02</x:v>
      </x:c>
      <x:c r="L53" s="144" t="str">
        <x:v>验证组</x:v>
      </x:c>
    </x:row>
    <x:row r="54" ht="76" customHeight="1">
      <x:c r="A54" s="144" t="str">
        <x:v>AT-BT-02</x:v>
      </x:c>
      <x:c r="B54" s="144" t="str">
        <x:v>BT</x:v>
      </x:c>
      <x:c r="C54" s="144" t="str">
        <x:v>刷新</x:v>
      </x:c>
      <x:c r="D54" s="144" t="str">
        <x:v>Boot候选</x:v>
      </x:c>
      <x:c r="E54" s="144" t="str">
        <x:v>正常下载、错误长度/地址/块序/CRC、丢包、重试。</x:v>
      </x:c>
      <x:c r="F54" s="144" t="str">
        <x:v>UDS响应、Flash内容、状态机。</x:v>
      </x:c>
      <x:c r="G54" s="144" t="str">
        <x:v>正确成功；错误拒绝并可恢复。</x:v>
      </x:c>
      <x:c r="H54" s="144" t="str">
        <x:v>所有支持服务。</x:v>
      </x:c>
      <x:c r="I54" s="144" t="str">
        <x:v>诊断刷写工具</x:v>
      </x:c>
      <x:c r="J54" s="144" t="str">
        <x:v>刷新报告</x:v>
      </x:c>
      <x:c r="K54" s="144" t="str">
        <x:v>BT-03</x:v>
      </x:c>
      <x:c r="L54" s="144" t="str">
        <x:v>验证组</x:v>
      </x:c>
    </x:row>
    <x:row r="55" ht="76" customHeight="1">
      <x:c r="A55" s="144" t="str">
        <x:v>AT-BT-03</x:v>
      </x:c>
      <x:c r="B55" s="144" t="str">
        <x:v>BT</x:v>
      </x:c>
      <x:c r="C55" s="144" t="str">
        <x:v>安全启动</x:v>
      </x:c>
      <x:c r="D55" s="144" t="str">
        <x:v>efused/non-efused候选</x:v>
      </x:c>
      <x:c r="E55" s="144" t="str">
        <x:v>正确/错误签名、payload/header篡改、tag错、错生命周期。</x:v>
      </x:c>
      <x:c r="F55" s="144" t="str">
        <x:v>Boot/HSM结果、日志、进入模式。</x:v>
      </x:c>
      <x:c r="G55" s="144" t="str">
        <x:v>按安全策略接受/拒绝；无未授权执行。</x:v>
      </x:c>
      <x:c r="H55" s="144" t="str">
        <x:v>所有生命周期。</x:v>
      </x:c>
      <x:c r="I55" s="144" t="str">
        <x:v>HSM/签名台架</x:v>
      </x:c>
      <x:c r="J55" s="144" t="str">
        <x:v>安全启动报告</x:v>
      </x:c>
      <x:c r="K55" s="144" t="str">
        <x:v>BT-04</x:v>
      </x:c>
      <x:c r="L55" s="144" t="str">
        <x:v>安全验证组</x:v>
      </x:c>
    </x:row>
    <x:row r="56" ht="76" customHeight="1">
      <x:c r="A56" s="144" t="str">
        <x:v>AT-BT-04</x:v>
      </x:c>
      <x:c r="B56" s="144" t="str">
        <x:v>BT</x:v>
      </x:c>
      <x:c r="C56" s="144" t="str">
        <x:v>断电恢复</x:v>
      </x:c>
      <x:c r="D56" s="144" t="str">
        <x:v>刷写各阶段</x:v>
      </x:c>
      <x:c r="E56" s="144" t="str">
        <x:v>随机切断电源并重启/救援。</x:v>
      </x:c>
      <x:c r="F56" s="144" t="str">
        <x:v>有效镜像、恢复模式、数据/flag。</x:v>
      </x:c>
      <x:c r="G56" s="144" t="str">
        <x:v>不砖化；回到已批准镜像或救援。</x:v>
      </x:c>
      <x:c r="H56" s="144" t="str">
        <x:v>覆盖erase/download/verify/activate。</x:v>
      </x:c>
      <x:c r="I56" s="144" t="str">
        <x:v>可控电源</x:v>
      </x:c>
      <x:c r="J56" s="144" t="str">
        <x:v>断电报告</x:v>
      </x:c>
      <x:c r="K56" s="144" t="str">
        <x:v>BT-06</x:v>
      </x:c>
      <x:c r="L56" s="144" t="str">
        <x:v>验证组</x:v>
      </x:c>
    </x:row>
    <x:row r="57" ht="76" customHeight="1">
      <x:c r="A57" s="144" t="str">
        <x:v>AT-BT-05</x:v>
      </x:c>
      <x:c r="B57" s="144" t="str">
        <x:v>BT</x:v>
      </x:c>
      <x:c r="C57" s="144" t="str">
        <x:v>App联调</x:v>
      </x:c>
      <x:c r="D57" s="144" t="str">
        <x:v>App与Boot候选</x:v>
      </x:c>
      <x:c r="E57" s="144" t="str">
        <x:v>执行编程请求、复位、warm response、ComM等待、失败超时。</x:v>
      </x:c>
      <x:c r="F57" s="144" t="str">
        <x:v>NvM flag、ResetReason、响应和清理。</x:v>
      </x:c>
      <x:c r="G57" s="144" t="str">
        <x:v>所有状态转移符合ICD，无循环复位。</x:v>
      </x:c>
      <x:c r="H57" s="144" t="str">
        <x:v>全复位原因。</x:v>
      </x:c>
      <x:c r="I57" s="144" t="str">
        <x:v>目标板/CAN</x:v>
      </x:c>
      <x:c r="J57" s="144" t="str">
        <x:v>联调报告</x:v>
      </x:c>
      <x:c r="K57" s="144" t="str">
        <x:v>BT-05,BT-07,BT-08</x:v>
      </x:c>
      <x:c r="L57" s="144" t="str">
        <x:v>双方/验证组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eebe114dae4a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8" hidden="0" customWidth="1"/>
    <x:col min="5" max="5" width="40" hidden="0" customWidth="1"/>
    <x:col min="6" max="6" width="42" hidden="0" customWidth="1"/>
    <x:col min="7" max="7" width="42" hidden="0" customWidth="1"/>
    <x:col min="8" max="8" width="32" hidden="0" customWidth="1"/>
    <x:col min="9" max="9" width="14" hidden="0" customWidth="1"/>
    <x:col min="10" max="10" width="42" hidden="0" customWidth="1"/>
  </x:cols>
  <x:sheetData>
    <x:row r="1" ht="30" customHeight="1">
      <x:c r="A1" s="133" t="str">
        <x:v>外包输入输出与Clean-room边界</x:v>
      </x:c>
      <x:c r="B1" s="133" t="str">
        <x:v>外包输入输出与Clean-room边界</x:v>
      </x:c>
      <x:c r="C1" s="133" t="str">
        <x:v>外包输入输出与Clean-room边界</x:v>
      </x:c>
      <x:c r="D1" s="133" t="str">
        <x:v>外包输入输出与Clean-room边界</x:v>
      </x:c>
      <x:c r="E1" s="133" t="str">
        <x:v>外包输入输出与Clean-room边界</x:v>
      </x:c>
      <x:c r="F1" s="133" t="str">
        <x:v>外包输入输出与Clean-room边界</x:v>
      </x:c>
      <x:c r="G1" s="133" t="str">
        <x:v>外包输入输出与Clean-room边界</x:v>
      </x:c>
      <x:c r="H1" s="133" t="str">
        <x:v>外包输入输出与Clean-room边界</x:v>
      </x:c>
      <x:c r="I1" s="133" t="str">
        <x:v>外包输入输出与Clean-room边界</x:v>
      </x:c>
      <x:c r="J1" s="133" t="str">
        <x:v>外包输入输出与Clean-room边界</x:v>
      </x:c>
    </x:row>
    <x:row r="2" ht="36" customHeight="1">
      <x:c r="A2" s="136" t="str">
        <x:v>目标定义为功能、配置和接口等价；任何源码、密钥、证书、商业库或OEM资料的披露必须有明确授权。</x:v>
      </x:c>
      <x:c r="B2" s="136" t="str">
        <x:v>目标定义为功能、配置和接口等价；任何源码、密钥、证书、商业库或OEM资料的披露必须有明确授权。</x:v>
      </x:c>
      <x:c r="C2" s="136" t="str">
        <x:v>目标定义为功能、配置和接口等价；任何源码、密钥、证书、商业库或OEM资料的披露必须有明确授权。</x:v>
      </x:c>
      <x:c r="D2" s="136" t="str">
        <x:v>目标定义为功能、配置和接口等价；任何源码、密钥、证书、商业库或OEM资料的披露必须有明确授权。</x:v>
      </x:c>
      <x:c r="E2" s="136" t="str">
        <x:v>目标定义为功能、配置和接口等价；任何源码、密钥、证书、商业库或OEM资料的披露必须有明确授权。</x:v>
      </x:c>
      <x:c r="F2" s="136" t="str">
        <x:v>目标定义为功能、配置和接口等价；任何源码、密钥、证书、商业库或OEM资料的披露必须有明确授权。</x:v>
      </x:c>
      <x:c r="G2" s="136" t="str">
        <x:v>目标定义为功能、配置和接口等价；任何源码、密钥、证书、商业库或OEM资料的披露必须有明确授权。</x:v>
      </x:c>
      <x:c r="H2" s="136" t="str">
        <x:v>目标定义为功能、配置和接口等价；任何源码、密钥、证书、商业库或OEM资料的披露必须有明确授权。</x:v>
      </x:c>
      <x:c r="I2" s="136" t="str">
        <x:v>目标定义为功能、配置和接口等价；任何源码、密钥、证书、商业库或OEM资料的披露必须有明确授权。</x:v>
      </x:c>
      <x:c r="J2" s="136" t="str">
        <x:v>目标定义为功能、配置和接口等价；任何源码、密钥、证书、商业库或OEM资料的披露必须有明确授权。</x:v>
      </x:c>
    </x:row>
    <x:row r="5" ht="34" customHeight="1">
      <x:c r="A5" s="150" t="str">
        <x:v>ID</x:v>
      </x:c>
      <x:c r="B5" s="151" t="str">
        <x:v>对象/资料</x:v>
      </x:c>
      <x:c r="C5" s="151" t="str">
        <x:v>资料Owner</x:v>
      </x:c>
      <x:c r="D5" s="151" t="str">
        <x:v>可给实现组的中立输入</x:v>
      </x:c>
      <x:c r="E5" s="151" t="str">
        <x:v>禁止或受限内容</x:v>
      </x:c>
      <x:c r="F5" s="151" t="str">
        <x:v>东软责任</x:v>
      </x:c>
      <x:c r="G5" s="151" t="str">
        <x:v>甲方责任</x:v>
      </x:c>
      <x:c r="H5" s="151" t="str">
        <x:v>版本/完整性要求</x:v>
      </x:c>
      <x:c r="I5" s="151" t="str">
        <x:v>进入阶段</x:v>
      </x:c>
      <x:c r="J5" s="152" t="str">
        <x:v>验收/关闭条件</x:v>
      </x:c>
    </x:row>
    <x:row r="6" ht="80" customHeight="1">
      <x:c r="A6" s="144" t="str">
        <x:v>BND-01</x:v>
      </x:c>
      <x:c r="B6" s="144" t="str">
        <x:v>参考量产工程 D:/Project/CR60LightBYD/xxx</x:v>
      </x:c>
      <x:c r="C6" s="144" t="str">
        <x:v>甲方内部</x:v>
      </x:c>
      <x:c r="D6" s="144" t="str">
        <x:v>仅提供经批准的中立 SRS、接口契约、配置数值、状态机、故障策略和黑盒验收期望。</x:v>
      </x:c>
      <x:c r="E6" s="144" t="str">
        <x:v>整个参考工程、目录结构、源码、生成物、工程文件、map、日志、内部注释和路径。</x:v>
      </x:c>
      <x:c r="F6" s="144" t="str">
        <x:v>Clean-room 独立实现；不得要求查看或复制参考工程。</x:v>
      </x:c>
      <x:c r="G6" s="144" t="str">
        <x:v>内部取证、需求脱敏、证据编号维护。</x:v>
      </x:c>
      <x:c r="H6" s="144" t="str">
        <x:v>外发包执行关键词、路径、元数据和压缩包内容审计。</x:v>
      </x:c>
      <x:c r="I6" s="144" t="str">
        <x:v>M0</x:v>
      </x:c>
      <x:c r="J6" s="144" t="str">
        <x:v>外发包中 AUTOSAR 资产与参考路径命中数=0。</x:v>
      </x:c>
    </x:row>
    <x:row r="7" ht="80" customHeight="1">
      <x:c r="A7" s="144" t="str">
        <x:v>BND-02</x:v>
      </x:c>
      <x:c r="B7" s="144" t="str">
        <x:v>允许提供的三类技术输入</x:v>
      </x:c>
      <x:c r="C7" s="144" t="str">
        <x:v>甲方</x:v>
      </x:c>
      <x:c r="D7" s="144" t="str">
        <x:v>①RSS 射频 bin；②M4 bin；③甲方自有算法及 mmWaveLink 相关 ASW 内容，以及为集成所需的公开/自有接口头文件。</x:v>
      </x:c>
      <x:c r="E7" s="144" t="str">
        <x:v>除上述内容外的 AUTOSAR/商业软件资产；任何未获授权第三方源码或库。</x:v>
      </x:c>
      <x:c r="F7" s="144" t="str">
        <x:v>完成装载、版本校验、启动、IPC/共享内存、调度和故障适配。</x:v>
      </x:c>
      <x:c r="G7" s="144" t="str">
        <x:v>提供版本号、SHA-256、目标芯片/硬件变体、加载地址与接口 ICD。</x:v>
      </x:c>
      <x:c r="H7" s="144" t="str">
        <x:v>每个文件有 owner、license、hash、ABI 版本和适用变体。</x:v>
      </x:c>
      <x:c r="I7" s="144" t="str">
        <x:v>M0/M1</x:v>
      </x:c>
      <x:c r="J7" s="144" t="str">
        <x:v>空白环境仅依赖允许输入即可构建并跑通主链。</x:v>
      </x:c>
    </x:row>
    <x:row r="8" ht="80" customHeight="1">
      <x:c r="A8" s="144" t="str">
        <x:v>BND-03</x:v>
      </x:c>
      <x:c r="B8" s="144" t="str">
        <x:v>AUTOSAR 平台工程</x:v>
      </x:c>
      <x:c r="C8" s="144" t="str">
        <x:v>东软</x:v>
      </x:c>
      <x:c r="D8" s="144" t="str">
        <x:v>本工作簿的中立模块需求、配置字典、通信/诊断/存储/调度矩阵、验收用例。</x:v>
      </x:c>
      <x:c r="E8" s="144" t="str">
        <x:v>甲方参考 ARXML、ECUC、RTA 项目、BSW/RTE/OS/MCAL 配置及生成物一律不提供。</x:v>
      </x:c>
      <x:c r="F8" s="144" t="str">
        <x:v>自行采购合法工具/license，自行创建全部 ARXML/ECUC，生成并维护 BSW/RTE/OS/MCAL。</x:v>
      </x:c>
      <x:c r="G8" s="144" t="str">
        <x:v>评审中立需求与验收结果，不提供参考配置工程。</x:v>
      </x:c>
      <x:c r="H8" s="144" t="str">
        <x:v>生成输入、生成输出、工具版本、命令、日志、manifest 全可追溯。</x:v>
      </x:c>
      <x:c r="I8" s="144" t="str">
        <x:v>M0-M3</x:v>
      </x:c>
      <x:c r="J8" s="144" t="str">
        <x:v>干净机一键 generate→compile→link→package→test 成功。</x:v>
      </x:c>
    </x:row>
    <x:row r="9" ht="80" customHeight="1">
      <x:c r="A9" s="144" t="str">
        <x:v>BND-04</x:v>
      </x:c>
      <x:c r="B9" s="144" t="str">
        <x:v>构建入口与发布链</x:v>
      </x:c>
      <x:c r="C9" s="144" t="str">
        <x:v>东软</x:v>
      </x:c>
      <x:c r="D9" s="144" t="str">
        <x:v>目标行为：参数化车型/供电/BuildType/天线/功能测试，失败立即退出，生成镜像并输出 manifest。</x:v>
      </x:c>
      <x:c r="E9" s="144" t="str">
        <x:v>不提供 scons_gen.bat、内部 SCons/生成脚本或 Jenkins 文件。</x:v>
      </x:c>
      <x:c r="F9" s="144" t="str">
        <x:v>建立自己的可复现构建和 CI；禁止硬编码个人盘符。</x:v>
      </x:c>
      <x:c r="G9" s="144" t="str">
        <x:v>提供目标矩阵和发布审批。</x:v>
      </x:c>
      <x:c r="H9" s="144" t="str">
        <x:v>SERIES/DEVELOP 行为分离；量产发布必须为批准的 SERIES 配置。</x:v>
      </x:c>
      <x:c r="I9" s="144" t="str">
        <x:v>M0/M3</x:v>
      </x:c>
      <x:c r="J9" s="144" t="str">
        <x:v>clean agent 全矩阵通过、空归档失败、制品 hash 唯一。</x:v>
      </x:c>
    </x:row>
    <x:row r="10" ht="80" customHeight="1">
      <x:c r="A10" s="144" t="str">
        <x:v>BND-05</x:v>
      </x:c>
      <x:c r="B10" s="144" t="str">
        <x:v>RF/RSS 输入</x:v>
      </x:c>
      <x:c r="C10" s="144" t="str">
        <x:v>甲方/RF Owner</x:v>
      </x:c>
      <x:c r="D10" s="144" t="str">
        <x:v>RSS bin、签署的 RF 参数表、启动/停止/错误接口、RF 黑盒 trace 和允许披露的 mmWaveLink ASW。</x:v>
      </x:c>
      <x:c r="E10" s="144" t="str">
        <x:v>参考 RF 配置源码、AUTOSAR 适配代码、未授权 TI 源码。</x:v>
      </x:c>
      <x:c r="F10" s="144" t="str">
        <x:v>完成 bin 装载、版本/CRC、mmWaveLink 控制、RF 错误上报和恢复。</x:v>
      </x:c>
      <x:c r="G10" s="144" t="str">
        <x:v>对 R-002/R-006 的唯一 RF 真值签署。</x:v>
      </x:c>
      <x:c r="H10" s="144" t="str">
        <x:v>模式/subframe/profile/chirp/frame/时片与位置变体唯一。</x:v>
      </x:c>
      <x:c r="I10" s="144" t="str">
        <x:v>M0/M1</x:v>
      </x:c>
      <x:c r="J10" s="144" t="str">
        <x:v>真实 ECU 频谱、帧计数和抓测与签署表一致。</x:v>
      </x:c>
    </x:row>
    <x:row r="11" ht="80" customHeight="1">
      <x:c r="A11" s="144" t="str">
        <x:v>BND-06</x:v>
      </x:c>
      <x:c r="B11" s="144" t="str">
        <x:v>M4 与多核接口</x:v>
      </x:c>
      <x:c r="C11" s="144" t="str">
        <x:v>甲方</x:v>
      </x:c>
      <x:c r="D11" s="144" t="str">
        <x:v>M4 bin、版本/hash、core ID、加载地址、共享内存/IPC ICD、golden vectors。</x:v>
      </x:c>
      <x:c r="E11" s="144" t="str">
        <x:v>M4 无关源码、参考 MCAL/IPC 配置和生成物。</x:v>
      </x:c>
      <x:c r="F11" s="144" t="str">
        <x:v>完成 boot、cache/MPU、mailbox、超时、复位恢复和兼容性校验。</x:v>
      </x:c>
      <x:c r="G11" s="144" t="str">
        <x:v>维护 M4 功能和 golden。</x:v>
      </x:c>
      <x:c r="H11" s="144" t="str">
        <x:v>ABI/结构体/端序/对齐/ownership/sequence/timeout 全部版本化。</x:v>
      </x:c>
      <x:c r="I11" s="144" t="str">
        <x:v>M0/M1</x:v>
      </x:c>
      <x:c r="J11" s="144" t="str">
        <x:v>静态断言、握手、丢乱重包、对端复位和 golden 全通过。</x:v>
      </x:c>
    </x:row>
    <x:row r="12" ht="80" customHeight="1">
      <x:c r="A12" s="144" t="str">
        <x:v>BND-07</x:v>
      </x:c>
      <x:c r="B12" s="144" t="str">
        <x:v>算法与信号处理 ASW</x:v>
      </x:c>
      <x:c r="C12" s="144" t="str">
        <x:v>甲方</x:v>
      </x:c>
      <x:c r="D12" s="144" t="str">
        <x:v>甲方自有算法/mmWaveLink ASW、API、内存/WCET、数据结构、golden 输入输出及容差。</x:v>
      </x:c>
      <x:c r="E12" s="144" t="str">
        <x:v>参考 RTE 映射、OS 配置、生成代码和第三方未授权算法。</x:v>
      </x:c>
      <x:c r="F12" s="144" t="str">
        <x:v>实现 OS/RTE/缓存/DMA/时间/通信适配，不改变算法业务结果。</x:v>
      </x:c>
      <x:c r="G12" s="144" t="str">
        <x:v>算法正确性和指标 owner。</x:v>
      </x:c>
      <x:c r="H12" s="144" t="str">
        <x:v>每版 hash、编译选项、ABI、资源预算可追溯。</x:v>
      </x:c>
      <x:c r="I12" s="144" t="str">
        <x:v>M1-M3</x:v>
      </x:c>
      <x:c r="J12" s="144" t="str">
        <x:v>逐帧 golden、异常输入、WCET/stack/长稳通过。</x:v>
      </x:c>
    </x:row>
    <x:row r="13" ht="80" customHeight="1">
      <x:c r="A13" s="144" t="str">
        <x:v>BND-08</x:v>
      </x:c>
      <x:c r="B13" s="144" t="str">
        <x:v>通信需求</x:v>
      </x:c>
      <x:c r="C13" s="144" t="str">
        <x:v>甲方/OEM</x:v>
      </x:c>
      <x:c r="D13" s="144" t="str">
        <x:v>本工作簿 07 页的中立 PDU/Signal 契约：方向、CAN ID、DLC、周期、bit、端序、factor/offset/范围/单位及超时/E2E要求。</x:v>
      </x:c>
      <x:c r="E13" s="144" t="str">
        <x:v>不提供参考 DBC、通信 ARXML、Com/CanIf/PduR 生成物。</x:v>
      </x:c>
      <x:c r="F13" s="144" t="str">
        <x:v>自行建立通信数据库和 AUTOSAR 配置并交付可编辑源。</x:v>
      </x:c>
      <x:c r="G13" s="144" t="str">
        <x:v>确认 OEM 版本和业务语义。</x:v>
      </x:c>
      <x:c r="H13" s="144" t="str">
        <x:v>98 I-PDU/1457 Signal 逐项有 Requirement ID。</x:v>
      </x:c>
      <x:c r="I13" s="144" t="str">
        <x:v>M0/M2</x:v>
      </x:c>
      <x:c r="J13" s="144" t="str">
        <x:v>数据库自动检查、restbus 和边界值全量通过。</x:v>
      </x:c>
    </x:row>
    <x:row r="14" ht="80" customHeight="1">
      <x:c r="A14" s="144" t="str">
        <x:v>BND-09</x:v>
      </x:c>
      <x:c r="B14" s="144" t="str">
        <x:v>诊断与故障需求</x:v>
      </x:c>
      <x:c r="C14" s="144" t="str">
        <x:v>甲方/OEM</x:v>
      </x:c>
      <x:c r="D14" s="144" t="str">
        <x:v>06 页的 Service/Session/Security/Routine/DID/Dem Event/DTC 中立矩阵。</x:v>
      </x:c>
      <x:c r="E14" s="144" t="str">
        <x:v>不提供参考诊断 ARXML、Dem/Dcm 配置或生成代码；不提供 seed/key 秘密。</x:v>
      </x:c>
      <x:c r="F14" s="144" t="str">
        <x:v>自行配置 Dcm/Dem/FiM/CanTp 并实现回调、NRC、时序和持久化。</x:v>
      </x:c>
      <x:c r="G14" s="144" t="str">
        <x:v>签署 DID/Routine 业务语义及安全算法接口。</x:v>
      </x:c>
      <x:c r="H14" s="144" t="str">
        <x:v>每项有长度、权限、状态、输入、输出、边界和验收。</x:v>
      </x:c>
      <x:c r="I14" s="144" t="str">
        <x:v>M0/M2</x:v>
      </x:c>
      <x:c r="J14" s="144" t="str">
        <x:v>全矩阵自动正负向测试通过。</x:v>
      </x:c>
    </x:row>
    <x:row r="15" ht="80" customHeight="1">
      <x:c r="A15" s="144" t="str">
        <x:v>BND-10</x:v>
      </x:c>
      <x:c r="B15" s="144" t="str">
        <x:v>NvM/Fee/Fls 需求</x:v>
      </x:c>
      <x:c r="C15" s="144" t="str">
        <x:v>甲方数据 Owner/东软</x:v>
      </x:c>
      <x:c r="D15" s="144" t="str">
        <x:v>05 页 105 个 Block 的逻辑 ID、长度、管理属性、默认值口径、Fee 区域和验收；密钥内容只经安全接口。</x:v>
      </x:c>
      <x:c r="E15" s="144" t="str">
        <x:v>不提供参考 NvM/Fee/Fls ARXML、配置工程或生成 C/H。</x:v>
      </x:c>
      <x:c r="F15" s="144" t="str">
        <x:v>自行配置并实现迁移、掉电一致性、寿命管理和诊断映射。</x:v>
      </x:c>
      <x:c r="G15" s="144" t="str">
        <x:v>补充 owner、写频率、寿命与升级迁移策略。</x:v>
      </x:c>
      <x:c r="H15" s="144" t="str">
        <x:v>物理地址由供应商 Fee 动态管理，不把逻辑 ID 假定为固定物理地址。</x:v>
      </x:c>
      <x:c r="I15" s="144" t="str">
        <x:v>M0/M2</x:v>
      </x:c>
      <x:c r="J15" s="144" t="str">
        <x:v>105/105 diff、掉电、重组、耐久和迁移通过。</x:v>
      </x:c>
    </x:row>
    <x:row r="16" ht="80" customHeight="1">
      <x:c r="A16" s="144" t="str">
        <x:v>BND-11</x:v>
      </x:c>
      <x:c r="B16" s="144" t="str">
        <x:v>硬件与板级资料</x:v>
      </x:c>
      <x:c r="C16" s="144" t="str">
        <x:v>甲方</x:v>
      </x:c>
      <x:c r="D16" s="144" t="str">
        <x:v>经授权的原理图摘要、Pin/IO、BOM 参数、时钟/电源/收发器、Flash/PMIC/ADC 需求。</x:v>
      </x:c>
      <x:c r="E16" s="144" t="str">
        <x:v>超出 NDA 的供应链资料和参考 MCAL 配置。</x:v>
      </x:c>
      <x:c r="F16" s="144" t="str">
        <x:v>依据硬件需求自行完成 MCAL/CDD 配置与板级驱动。</x:v>
      </x:c>
      <x:c r="G16" s="144" t="str">
        <x:v>资料准确并通知 ECN。</x:v>
      </x:c>
      <x:c r="H16" s="144" t="str">
        <x:v>硬件版本、pin、寄存器目标值、测点清晰。</x:v>
      </x:c>
      <x:c r="I16" s="144" t="str">
        <x:v>M0/M1</x:v>
      </x:c>
      <x:c r="J16" s="144" t="str">
        <x:v>寄存器 golden、板测和故障注入通过。</x:v>
      </x:c>
    </x:row>
    <x:row r="17" ht="80" customHeight="1">
      <x:c r="A17" s="144" t="str">
        <x:v>BND-12</x:v>
      </x:c>
      <x:c r="B17" s="144" t="str">
        <x:v>标定 CUDA/CLDA/rbBlock</x:v>
      </x:c>
      <x:c r="C17" s="144" t="str">
        <x:v>甲方/产线</x:v>
      </x:c>
      <x:c r="D17" s="144" t="str">
        <x:v>schema、ID、长度、校验、合法/损坏样本、位置/车型规则和烧录接口。</x:v>
      </x:c>
      <x:c r="E17" s="144" t="str">
        <x:v>生产密钥、参考实现和未授权标定内容。</x:v>
      </x:c>
      <x:c r="F17" s="144" t="str">
        <x:v>读取、校验、故障上报、默认/降级和产线接口集成。</x:v>
      </x:c>
      <x:c r="G17" s="144" t="str">
        <x:v>提供 golden 与数据生成服务。</x:v>
      </x:c>
      <x:c r="H17" s="144" t="str">
        <x:v>版本/hash/位置/车型/生命周期完整。</x:v>
      </x:c>
      <x:c r="I17" s="144" t="str">
        <x:v>M1/M2</x:v>
      </x:c>
      <x:c r="J17" s="144" t="str">
        <x:v>正确、损坏、缺失、错位置、掉电用例通过。</x:v>
      </x:c>
    </x:row>
    <x:row r="18" ht="80" customHeight="1">
      <x:c r="A18" s="144" t="str">
        <x:v>BND-13</x:v>
      </x:c>
      <x:c r="B18" s="144" t="str">
        <x:v>HSM/KMS/证书</x:v>
      </x:c>
      <x:c r="C18" s="144" t="str">
        <x:v>甲方安全方</x:v>
      </x:c>
      <x:c r="D18" s="144" t="str">
        <x:v>服务 API、签名请求格式、证书链、公钥、测试向量和失败策略。</x:v>
      </x:c>
      <x:c r="E18" s="144" t="str">
        <x:v>私钥、KMS 凭据、生产 secret、参考安全配置。</x:v>
      </x:c>
      <x:c r="F18" s="144" t="str">
        <x:v>集成 HSM、生成 unsigned 制品和 manifest，执行授权验证。</x:v>
      </x:c>
      <x:c r="G18" s="144" t="str">
        <x:v>执行签名、密钥生命周期与审计。</x:v>
      </x:c>
      <x:c r="H18" s="144" t="str">
        <x:v>所有请求有 ID/hash/超时/审计记录。</x:v>
      </x:c>
      <x:c r="I18" s="144" t="str">
        <x:v>M2/BT/M3</x:v>
      </x:c>
      <x:c r="J18" s="144" t="str">
        <x:v>篡改、错签、生命周期和 HSM 异常测试通过。</x:v>
      </x:c>
    </x:row>
    <x:row r="19" ht="80" customHeight="1">
      <x:c r="A19" s="144" t="str">
        <x:v>BND-14</x:v>
      </x:c>
      <x:c r="B19" s="144" t="str">
        <x:v>Bootloader</x:v>
      </x:c>
      <x:c r="C19" s="144" t="str">
        <x:v>双方</x:v>
      </x:c>
      <x:c r="D19" s="144" t="str">
        <x:v>经签署的 Boot SRS/ICD、memory map、刷写、安全、回退和 App 联调需求。</x:v>
      </x:c>
      <x:c r="E19" s="144" t="str">
        <x:v>参考 Boot 源码/配置与未授权商业资产。</x:v>
      </x:c>
      <x:c r="F19" s="144" t="str">
        <x:v>独立开发或合法采购，完成 App/HSM/诊断联调。</x:v>
      </x:c>
      <x:c r="G19" s="144" t="str">
        <x:v>冻结 OEM/安全需求与签名服务。</x:v>
      </x:c>
      <x:c r="H19" s="144" t="str">
        <x:v>需求冻结后重新估算。</x:v>
      </x:c>
      <x:c r="I19" s="144" t="str">
        <x:v>BT</x:v>
      </x:c>
      <x:c r="J19" s="144" t="str">
        <x:v>全矩阵刷写、断电、安全启动与恢复通过。</x:v>
      </x:c>
    </x:row>
    <x:row r="20" ht="80" customHeight="1">
      <x:c r="A20" s="144" t="str">
        <x:v>BND-15</x:v>
      </x:c>
      <x:c r="B20" s="144" t="str">
        <x:v>XCP/A2L</x:v>
      </x:c>
      <x:c r="C20" s="144" t="str">
        <x:v>甲方数据 Owner/安全方</x:v>
      </x:c>
      <x:c r="D20" s="144" t="str">
        <x:v>批准变量清单、地址白名单、DAQ event、生命周期和量产关闭策略。</x:v>
      </x:c>
      <x:c r="E20" s="144" t="str">
        <x:v>参考 A2L、任意内存映射、seed/key 样例、生产 secret。</x:v>
      </x:c>
      <x:c r="F20" s="144" t="str">
        <x:v>从自己的 ELF 生成 A2L，实施白名单和正式安全策略。</x:v>
      </x:c>
      <x:c r="G20" s="144" t="str">
        <x:v>审批量产开放范围。</x:v>
      </x:c>
      <x:c r="H20" s="144" t="str">
        <x:v>A2L 与交付 ELF hash 绑定。</x:v>
      </x:c>
      <x:c r="I20" s="144" t="str">
        <x:v>M2/M3</x:v>
      </x:c>
      <x:c r="J20" s="144" t="str">
        <x:v>批准变量可用；非法地址/错误 key/量产关闭验证通过。</x:v>
      </x:c>
    </x:row>
    <x:row r="21" ht="80" customHeight="1">
      <x:c r="A21" s="144" t="str">
        <x:v>BND-16</x:v>
      </x:c>
      <x:c r="B21" s="144" t="str">
        <x:v>交付与审计</x:v>
      </x:c>
      <x:c r="C21" s="144" t="str">
        <x:v>东软/甲方</x:v>
      </x:c>
      <x:c r="D21" s="144" t="str">
        <x:v>交付清单、质量门槛、测试规范和接收流程。</x:v>
      </x:c>
      <x:c r="E21" s="144" t="str">
        <x:v>未授权第三方二进制、甲方参考资产和秘密。</x:v>
      </x:c>
      <x:c r="F21" s="144" t="str">
        <x:v>交付自有 ARXML/ECUC、源代码、生成说明、制品、SBOM、license、Known Issues 和回退包。</x:v>
      </x:c>
      <x:c r="G21" s="144" t="str">
        <x:v>进行独立复现和资料审计。</x:v>
      </x:c>
      <x:c r="H21" s="144" t="str">
        <x:v>每个文件有 owner/version/hash/license；外发包扫描通过。</x:v>
      </x:c>
      <x:c r="I21" s="144" t="str">
        <x:v>M3</x:v>
      </x:c>
      <x:c r="J21" s="144" t="str">
        <x:v>无需东软代操作即可从空环境复现并验收。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947ac0022cb41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12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6" hidden="0" customWidth="1"/>
    <x:col min="15" max="15" width="12" hidden="0" customWidth="1"/>
    <x:col min="16" max="16" width="14" hidden="0" customWidth="1"/>
    <x:col min="17" max="17" width="12" hidden="0" customWidth="1"/>
    <x:col min="18" max="18" width="22" hidden="0" customWidth="1"/>
    <x:col min="19" max="19" width="40" hidden="0" customWidth="1"/>
    <x:col min="20" max="20" width="18" hidden="0" customWidth="1"/>
    <x:col min="21" max="21" width="34" hidden="0" customWidth="1"/>
    <x:col min="22" max="22" width="34" hidden="0" customWidth="1"/>
    <x:col min="23" max="23" width="44" hidden="0" customWidth="1"/>
  </x:cols>
  <x:sheetData>
    <x:row r="1" ht="30" customHeight="1">
      <x:c r="A1" s="133" t="str">
        <x:v>NvM / Fee / Fls 配置详表（从生成配置解析）</x:v>
      </x:c>
      <x:c r="B1" s="133" t="str">
        <x:v>NvM / Fee / Fls 配置详表（从生成配置解析）</x:v>
      </x:c>
      <x:c r="C1" s="133" t="str">
        <x:v>NvM / Fee / Fls 配置详表（从生成配置解析）</x:v>
      </x:c>
      <x:c r="D1" s="133" t="str">
        <x:v>NvM / Fee / Fls 配置详表（从生成配置解析）</x:v>
      </x:c>
      <x:c r="E1" s="133" t="str">
        <x:v>NvM / Fee / Fls 配置详表（从生成配置解析）</x:v>
      </x:c>
      <x:c r="F1" s="133" t="str">
        <x:v>NvM / Fee / Fls 配置详表（从生成配置解析）</x:v>
      </x:c>
      <x:c r="G1" s="133" t="str">
        <x:v>NvM / Fee / Fls 配置详表（从生成配置解析）</x:v>
      </x:c>
      <x:c r="H1" s="133" t="str">
        <x:v>NvM / Fee / Fls 配置详表（从生成配置解析）</x:v>
      </x:c>
      <x:c r="I1" s="133" t="str">
        <x:v>NvM / Fee / Fls 配置详表（从生成配置解析）</x:v>
      </x:c>
      <x:c r="J1" s="133" t="str">
        <x:v>NvM / Fee / Fls 配置详表（从生成配置解析）</x:v>
      </x:c>
      <x:c r="K1" s="133" t="str">
        <x:v>NvM / Fee / Fls 配置详表（从生成配置解析）</x:v>
      </x:c>
      <x:c r="L1" s="133" t="str">
        <x:v>NvM / Fee / Fls 配置详表（从生成配置解析）</x:v>
      </x:c>
      <x:c r="M1" s="133" t="str">
        <x:v>NvM / Fee / Fls 配置详表（从生成配置解析）</x:v>
      </x:c>
      <x:c r="N1" s="133" t="str">
        <x:v>NvM / Fee / Fls 配置详表（从生成配置解析）</x:v>
      </x:c>
      <x:c r="O1" s="133" t="str">
        <x:v>NvM / Fee / Fls 配置详表（从生成配置解析）</x:v>
      </x:c>
      <x:c r="P1" s="133" t="str">
        <x:v>NvM / Fee / Fls 配置详表（从生成配置解析）</x:v>
      </x:c>
      <x:c r="Q1" s="133" t="str">
        <x:v>NvM / Fee / Fls 配置详表（从生成配置解析）</x:v>
      </x:c>
      <x:c r="R1" s="133" t="str">
        <x:v>NvM / Fee / Fls 配置详表（从生成配置解析）</x:v>
      </x:c>
      <x:c r="S1" s="133" t="str">
        <x:v>NvM / Fee / Fls 配置详表（从生成配置解析）</x:v>
      </x:c>
      <x:c r="T1" s="133" t="str">
        <x:v>NvM / Fee / Fls 配置详表（从生成配置解析）</x:v>
      </x:c>
      <x:c r="U1" s="133" t="str">
        <x:v>NvM / Fee / Fls 配置详表（从生成配置解析）</x:v>
      </x:c>
      <x:c r="V1" s="133" t="str">
        <x:v>NvM / Fee / Fls 配置详表（从生成配置解析）</x:v>
      </x:c>
      <x:c r="W1" s="133" t="str">
        <x:v>NvM / Fee / Fls 配置详表（从生成配置解析）</x:v>
      </x:c>
    </x:row>
    <x:row r="2" ht="36" customHeight="1">
      <x:c r="A2" s="136" t="str">
        <x:v>Fee Bank0=0x00350000–0x0038FFFF、Bank1=0x00390000–0x003CFFFF，各256KiB。Persistent ID是逻辑ID；Fee磨损均衡下单块物理地址不固定，不能把逻辑ID当Flash地址。</x:v>
      </x:c>
      <x:c r="B2" s="136" t="str">
        <x:v>Fee Bank0=0x00350000–0x0038FFFF、Bank1=0x00390000–0x003CFFFF，各256KiB。Persistent ID是逻辑ID；Fee磨损均衡下单块物理地址不固定，不能把逻辑ID当Flash地址。</x:v>
      </x:c>
      <x:c r="C2" s="136" t="str">
        <x:v>Fee Bank0=0x00350000–0x0038FFFF、Bank1=0x00390000–0x003CFFFF，各256KiB。Persistent ID是逻辑ID；Fee磨损均衡下单块物理地址不固定，不能把逻辑ID当Flash地址。</x:v>
      </x:c>
      <x:c r="D2" s="136" t="str">
        <x:v>Fee Bank0=0x00350000–0x0038FFFF、Bank1=0x00390000–0x003CFFFF，各256KiB。Persistent ID是逻辑ID；Fee磨损均衡下单块物理地址不固定，不能把逻辑ID当Flash地址。</x:v>
      </x:c>
      <x:c r="E2" s="136" t="str">
        <x:v>Fee Bank0=0x00350000–0x0038FFFF、Bank1=0x00390000–0x003CFFFF，各256KiB。Persistent ID是逻辑ID；Fee磨损均衡下单块物理地址不固定，不能把逻辑ID当Flash地址。</x:v>
      </x:c>
      <x:c r="F2" s="136" t="str">
        <x:v>Fee Bank0=0x00350000–0x0038FFFF、Bank1=0x00390000–0x003CFFFF，各256KiB。Persistent ID是逻辑ID；Fee磨损均衡下单块物理地址不固定，不能把逻辑ID当Flash地址。</x:v>
      </x:c>
      <x:c r="G2" s="136" t="str">
        <x:v>Fee Bank0=0x00350000–0x0038FFFF、Bank1=0x00390000–0x003CFFFF，各256KiB。Persistent ID是逻辑ID；Fee磨损均衡下单块物理地址不固定，不能把逻辑ID当Flash地址。</x:v>
      </x:c>
      <x:c r="H2" s="136" t="str">
        <x:v>Fee Bank0=0x00350000–0x0038FFFF、Bank1=0x00390000–0x003CFFFF，各256KiB。Persistent ID是逻辑ID；Fee磨损均衡下单块物理地址不固定，不能把逻辑ID当Flash地址。</x:v>
      </x:c>
      <x:c r="I2" s="136" t="str">
        <x:v>Fee Bank0=0x00350000–0x0038FFFF、Bank1=0x00390000–0x003CFFFF，各256KiB。Persistent ID是逻辑ID；Fee磨损均衡下单块物理地址不固定，不能把逻辑ID当Flash地址。</x:v>
      </x:c>
      <x:c r="J2" s="136" t="str">
        <x:v>Fee Bank0=0x00350000–0x0038FFFF、Bank1=0x00390000–0x003CFFFF，各256KiB。Persistent ID是逻辑ID；Fee磨损均衡下单块物理地址不固定，不能把逻辑ID当Flash地址。</x:v>
      </x:c>
      <x:c r="K2" s="136" t="str">
        <x:v>Fee Bank0=0x00350000–0x0038FFFF、Bank1=0x00390000–0x003CFFFF，各256KiB。Persistent ID是逻辑ID；Fee磨损均衡下单块物理地址不固定，不能把逻辑ID当Flash地址。</x:v>
      </x:c>
      <x:c r="L2" s="136" t="str">
        <x:v>Fee Bank0=0x00350000–0x0038FFFF、Bank1=0x00390000–0x003CFFFF，各256KiB。Persistent ID是逻辑ID；Fee磨损均衡下单块物理地址不固定，不能把逻辑ID当Flash地址。</x:v>
      </x:c>
      <x:c r="M2" s="136" t="str">
        <x:v>Fee Bank0=0x00350000–0x0038FFFF、Bank1=0x00390000–0x003CFFFF，各256KiB。Persistent ID是逻辑ID；Fee磨损均衡下单块物理地址不固定，不能把逻辑ID当Flash地址。</x:v>
      </x:c>
      <x:c r="N2" s="136" t="str">
        <x:v>Fee Bank0=0x00350000–0x0038FFFF、Bank1=0x00390000–0x003CFFFF，各256KiB。Persistent ID是逻辑ID；Fee磨损均衡下单块物理地址不固定，不能把逻辑ID当Flash地址。</x:v>
      </x:c>
      <x:c r="O2" s="136" t="str">
        <x:v>Fee Bank0=0x00350000–0x0038FFFF、Bank1=0x00390000–0x003CFFFF，各256KiB。Persistent ID是逻辑ID；Fee磨损均衡下单块物理地址不固定，不能把逻辑ID当Flash地址。</x:v>
      </x:c>
      <x:c r="P2" s="136" t="str">
        <x:v>Fee Bank0=0x00350000–0x0038FFFF、Bank1=0x00390000–0x003CFFFF，各256KiB。Persistent ID是逻辑ID；Fee磨损均衡下单块物理地址不固定，不能把逻辑ID当Flash地址。</x:v>
      </x:c>
      <x:c r="Q2" s="136" t="str">
        <x:v>Fee Bank0=0x00350000–0x0038FFFF、Bank1=0x00390000–0x003CFFFF，各256KiB。Persistent ID是逻辑ID；Fee磨损均衡下单块物理地址不固定，不能把逻辑ID当Flash地址。</x:v>
      </x:c>
      <x:c r="R2" s="136" t="str">
        <x:v>Fee Bank0=0x00350000–0x0038FFFF、Bank1=0x00390000–0x003CFFFF，各256KiB。Persistent ID是逻辑ID；Fee磨损均衡下单块物理地址不固定，不能把逻辑ID当Flash地址。</x:v>
      </x:c>
      <x:c r="S2" s="136" t="str">
        <x:v>Fee Bank0=0x00350000–0x0038FFFF、Bank1=0x00390000–0x003CFFFF，各256KiB。Persistent ID是逻辑ID；Fee磨损均衡下单块物理地址不固定，不能把逻辑ID当Flash地址。</x:v>
      </x:c>
      <x:c r="T2" s="136" t="str">
        <x:v>Fee Bank0=0x00350000–0x0038FFFF、Bank1=0x00390000–0x003CFFFF，各256KiB。Persistent ID是逻辑ID；Fee磨损均衡下单块物理地址不固定，不能把逻辑ID当Flash地址。</x:v>
      </x:c>
      <x:c r="U2" s="136" t="str">
        <x:v>Fee Bank0=0x00350000–0x0038FFFF、Bank1=0x00390000–0x003CFFFF，各256KiB。Persistent ID是逻辑ID；Fee磨损均衡下单块物理地址不固定，不能把逻辑ID当Flash地址。</x:v>
      </x:c>
      <x:c r="V2" s="136" t="str">
        <x:v>Fee Bank0=0x00350000–0x0038FFFF、Bank1=0x00390000–0x003CFFFF，各256KiB。Persistent ID是逻辑ID；Fee磨损均衡下单块物理地址不固定，不能把逻辑ID当Flash地址。</x:v>
      </x:c>
      <x:c r="W2" s="136" t="str">
        <x:v>Fee Bank0=0x00350000–0x0038FFFF、Bank1=0x00390000–0x003CFFFF，各256KiB。Persistent ID是逻辑ID；Fee磨损均衡下单块物理地址不固定，不能把逻辑ID当Flash地址。</x:v>
      </x:c>
    </x:row>
    <x:row r="3">
      <x:c r="A3" s="156" t="str">
        <x:v>业务块数量</x:v>
      </x:c>
      <x:c r="B3" s="157" t="n">
        <x:f>COUNTIF(A6:A110,"&gt;=2")</x:f>
        <x:v>103</x:v>
      </x:c>
      <x:c r="C3" s="157" t="str">
        <x:v>总逻辑字节</x:v>
      </x:c>
      <x:c r="D3" s="157" t="n">
        <x:f>SUM(D6:D110)</x:f>
        <x:v>13944</x:v>
      </x:c>
      <x:c r="E3" s="157" t="str">
        <x:v>CRC口径</x:v>
      </x:c>
      <x:c r="F3" s="157" t="str">
        <x:v>全部NoCrc</x:v>
      </x:c>
      <x:c r="G3" s="157" t="str">
        <x:v>Fee区域</x:v>
      </x:c>
      <x:c r="H3" s="158" t="str">
        <x:v>2×256KiB</x:v>
      </x:c>
    </x:row>
    <x:row r="5" ht="34" customHeight="1">
      <x:c r="A5" s="150" t="str">
        <x:v>Block ID</x:v>
      </x:c>
      <x:c r="B5" s="151" t="str">
        <x:v>Block名称</x:v>
      </x:c>
      <x:c r="C5" s="151" t="str">
        <x:v>分类/用途</x:v>
      </x:c>
      <x:c r="D5" s="151" t="str">
        <x:v>长度(Byte)</x:v>
      </x:c>
      <x:c r="E5" s="151" t="str">
        <x:v>Fee逻辑Persistent ID</x:v>
      </x:c>
      <x:c r="F5" s="151" t="str">
        <x:v>管理类型</x:v>
      </x:c>
      <x:c r="G5" s="151" t="str">
        <x:v>NV副本数</x:v>
      </x:c>
      <x:c r="H5" s="151" t="str">
        <x:v>ROM副本数</x:v>
      </x:c>
      <x:c r="I5" s="151" t="str">
        <x:v>CRC</x:v>
      </x:c>
      <x:c r="J5" s="151" t="str">
        <x:v>优先级</x:v>
      </x:c>
      <x:c r="K5" s="151" t="str">
        <x:v>ReadAll</x:v>
      </x:c>
      <x:c r="L5" s="151" t="str">
        <x:v>WriteAll</x:v>
      </x:c>
      <x:c r="M5" s="151" t="str">
        <x:v>FirstInitAll</x:v>
      </x:c>
      <x:c r="N5" s="151" t="str">
        <x:v>ResistantToChangedSW</x:v>
      </x:c>
      <x:c r="O5" s="151" t="str">
        <x:v>ExplicitSync</x:v>
      </x:c>
      <x:c r="P5" s="151" t="str">
        <x:v>WriteProtected</x:v>
      </x:c>
      <x:c r="Q5" s="151" t="str">
        <x:v>WriteOnce</x:v>
      </x:c>
      <x:c r="R5" s="151" t="str">
        <x:v>RAM类型</x:v>
      </x:c>
      <x:c r="S5" s="151" t="str">
        <x:v>ROM默认值</x:v>
      </x:c>
      <x:c r="T5" s="151" t="str">
        <x:v>Fee Flag</x:v>
      </x:c>
      <x:c r="U5" s="151" t="str">
        <x:v>物理存储说明</x:v>
      </x:c>
      <x:c r="V5" s="151" t="str">
        <x:v>源码证据</x:v>
      </x:c>
      <x:c r="W5" s="152" t="str">
        <x:v>专项验收</x:v>
      </x:c>
    </x:row>
    <x:row r="6" ht="54" customHeight="1">
      <x:c r="A6" s="144" t="n">
        <x:v>0</x:v>
      </x:c>
      <x:c r="B6" s="144" t="str">
        <x:v>NvM_MultiBlock</x:v>
      </x:c>
      <x:c r="C6" s="144" t="str">
        <x:v>NvM系统保留</x:v>
      </x:c>
      <x:c r="D6" s="153" t="n">
        <x:v>1</x:v>
      </x:c>
      <x:c r="E6" s="153" t="str">
        <x:v>-</x:v>
      </x:c>
      <x:c r="F6" s="144" t="str">
        <x:v>NATIVE</x:v>
      </x:c>
      <x:c r="G6" s="144" t="n">
        <x:v>1</x:v>
      </x:c>
      <x:c r="H6" s="144" t="n">
        <x:v>0</x:v>
      </x:c>
      <x:c r="I6" s="144" t="str">
        <x:v>NoCrc</x:v>
      </x:c>
      <x:c r="J6" s="144" t="n">
        <x:v>1</x:v>
      </x:c>
      <x:c r="K6" s="144" t="str">
        <x:v>否</x:v>
      </x:c>
      <x:c r="L6" s="144" t="str">
        <x:v>否</x:v>
      </x:c>
      <x:c r="M6" s="144" t="str">
        <x:v>否</x:v>
      </x:c>
      <x:c r="N6" s="144" t="str">
        <x:v>否</x:v>
      </x:c>
      <x:c r="O6" s="144" t="str">
        <x:v>否</x:v>
      </x:c>
      <x:c r="P6" s="144" t="str">
        <x:v>否</x:v>
      </x:c>
      <x:c r="Q6" s="144" t="str">
        <x:v>否</x:v>
      </x:c>
      <x:c r="R6" s="144" t="str">
        <x:v>NvM内部/NULL</x:v>
      </x:c>
      <x:c r="S6" s="144" t="str">
        <x:v>无ROM默认块</x:v>
      </x:c>
      <x:c r="T6" s="144" t="str">
        <x:v>-</x:v>
      </x:c>
      <x:c r="U6" s="144" t="str">
        <x:v>NvM内部</x:v>
      </x:c>
      <x:c r="V6" s="144" t="str">
        <x:v>NvM_Cfg.c:1305（ID 0 descriptor）</x:v>
      </x:c>
      <x:c r="W6" s="144" t="str">
        <x:v>读/写/状态码、掉电、默认恢复、版本迁移。</x:v>
      </x:c>
    </x:row>
    <x:row r="7" ht="54" customHeight="1">
      <x:c r="A7" s="144" t="n">
        <x:v>1</x:v>
      </x:c>
      <x:c r="B7" s="144" t="str">
        <x:v>NvM_ConfigId</x:v>
      </x:c>
      <x:c r="C7" s="144" t="str">
        <x:v>NvM系统保留</x:v>
      </x:c>
      <x:c r="D7" s="153" t="n">
        <x:v>2</x:v>
      </x:c>
      <x:c r="E7" s="153" t="str">
        <x:v>-</x:v>
      </x:c>
      <x:c r="F7" s="144" t="str">
        <x:v>NATIVE</x:v>
      </x:c>
      <x:c r="G7" s="144" t="n">
        <x:v>1</x:v>
      </x:c>
      <x:c r="H7" s="144" t="n">
        <x:v>0</x:v>
      </x:c>
      <x:c r="I7" s="144" t="str">
        <x:v>NoCrc</x:v>
      </x:c>
      <x:c r="J7" s="144" t="n">
        <x:v>1</x:v>
      </x:c>
      <x:c r="K7" s="144" t="str">
        <x:v>否</x:v>
      </x:c>
      <x:c r="L7" s="144" t="str">
        <x:v>否</x:v>
      </x:c>
      <x:c r="M7" s="144" t="str">
        <x:v>否</x:v>
      </x:c>
      <x:c r="N7" s="144" t="str">
        <x:v>否</x:v>
      </x:c>
      <x:c r="O7" s="144" t="str">
        <x:v>否</x:v>
      </x:c>
      <x:c r="P7" s="144" t="str">
        <x:v>否</x:v>
      </x:c>
      <x:c r="Q7" s="144" t="str">
        <x:v>否</x:v>
      </x:c>
      <x:c r="R7" s="144" t="str">
        <x:v>NvM内部/NULL</x:v>
      </x:c>
      <x:c r="S7" s="144" t="str">
        <x:v>无ROM默认块</x:v>
      </x:c>
      <x:c r="T7" s="144" t="str">
        <x:v>-</x:v>
      </x:c>
      <x:c r="U7" s="144" t="str">
        <x:v>NvM内部</x:v>
      </x:c>
      <x:c r="V7" s="144" t="str">
        <x:v>NvM_Cfg.c:1338（ID 1 descriptor）</x:v>
      </x:c>
      <x:c r="W7" s="144" t="str">
        <x:v>读/写/状态码、掉电、默认恢复、版本迁移。</x:v>
      </x:c>
    </x:row>
    <x:row r="8" ht="54" customHeight="1">
      <x:c r="A8" s="144" t="n">
        <x:v>2</x:v>
      </x:c>
      <x:c r="B8" s="144" t="str">
        <x:v>NvMBlock_LogisticData</x:v>
      </x:c>
      <x:c r="C8" s="144" t="str">
        <x:v>应用/系统持久化数据</x:v>
      </x:c>
      <x:c r="D8" s="153" t="n">
        <x:v>128</x:v>
      </x:c>
      <x:c r="E8" s="153" t="n">
        <x:v>44000</x:v>
      </x:c>
      <x:c r="F8" s="144" t="str">
        <x:v>NATIVE</x:v>
      </x:c>
      <x:c r="G8" s="144" t="n">
        <x:v>1</x:v>
      </x:c>
      <x:c r="H8" s="144" t="n">
        <x:v>0</x:v>
      </x:c>
      <x:c r="I8" s="144" t="str">
        <x:v>NoCrc</x:v>
      </x:c>
      <x:c r="J8" s="144" t="n">
        <x:v>1</x:v>
      </x:c>
      <x:c r="K8" s="144" t="str">
        <x:v>是</x:v>
      </x:c>
      <x:c r="L8" s="144" t="str">
        <x:v>否</x:v>
      </x:c>
      <x:c r="M8" s="144" t="str">
        <x:v>否</x:v>
      </x:c>
      <x:c r="N8" s="144" t="str">
        <x:v>是</x:v>
      </x:c>
      <x:c r="O8" s="144" t="str">
        <x:v>否</x:v>
      </x:c>
      <x:c r="P8" s="144" t="str">
        <x:v>否</x:v>
      </x:c>
      <x:c r="Q8" s="144" t="str">
        <x:v>否</x:v>
      </x:c>
      <x:c r="R8" s="144" t="str">
        <x:v>永久RAM</x:v>
      </x:c>
      <x:c r="S8" s="144" t="str">
        <x:v>无ROM默认块</x:v>
      </x:c>
      <x:c r="T8" s="144" t="str">
        <x:v>0x0100</x:v>
      </x:c>
      <x:c r="U8" s="144" t="str">
        <x:v>Fee动态（Bank0/Bank1；块物理地址不固定）</x:v>
      </x:c>
      <x:c r="V8" s="144" t="str">
        <x:v>NvM_Cfg.c:1371（ID 2 descriptor）</x:v>
      </x:c>
      <x:c r="W8" s="144" t="str">
        <x:v>读/写/状态码、掉电、默认恢复、版本迁移。</x:v>
      </x:c>
    </x:row>
    <x:row r="9" ht="54" customHeight="1">
      <x:c r="A9" s="144" t="n">
        <x:v>3</x:v>
      </x:c>
      <x:c r="B9" s="144" t="str">
        <x:v>NVM_OS_ErrorlogOsErrorHook</x:v>
      </x:c>
      <x:c r="C9" s="144" t="str">
        <x:v>复位/PMIC/OS错误日志</x:v>
      </x:c>
      <x:c r="D9" s="153" t="n">
        <x:v>370</x:v>
      </x:c>
      <x:c r="E9" s="153" t="n">
        <x:v>44002</x:v>
      </x:c>
      <x:c r="F9" s="144" t="str">
        <x:v>NATIVE</x:v>
      </x:c>
      <x:c r="G9" s="144" t="n">
        <x:v>1</x:v>
      </x:c>
      <x:c r="H9" s="144" t="n">
        <x:v>0</x:v>
      </x:c>
      <x:c r="I9" s="144" t="str">
        <x:v>NoCrc</x:v>
      </x:c>
      <x:c r="J9" s="144" t="n">
        <x:v>1</x:v>
      </x:c>
      <x:c r="K9" s="144" t="str">
        <x:v>是</x:v>
      </x:c>
      <x:c r="L9" s="144" t="str">
        <x:v>否</x:v>
      </x:c>
      <x:c r="M9" s="144" t="str">
        <x:v>否</x:v>
      </x:c>
      <x:c r="N9" s="144" t="str">
        <x:v>是</x:v>
      </x:c>
      <x:c r="O9" s="144" t="str">
        <x:v>否</x:v>
      </x:c>
      <x:c r="P9" s="144" t="str">
        <x:v>否</x:v>
      </x:c>
      <x:c r="Q9" s="144" t="str">
        <x:v>否</x:v>
      </x:c>
      <x:c r="R9" s="144" t="str">
        <x:v>永久RAM</x:v>
      </x:c>
      <x:c r="S9" s="144" t="str">
        <x:v>无ROM默认块</x:v>
      </x:c>
      <x:c r="T9" s="144" t="str">
        <x:v>0x0100</x:v>
      </x:c>
      <x:c r="U9" s="144" t="str">
        <x:v>Fee动态（Bank0/Bank1；块物理地址不固定）</x:v>
      </x:c>
      <x:c r="V9" s="144" t="str">
        <x:v>NvM_Cfg.c:1405（ID 3 descriptor）</x:v>
      </x:c>
      <x:c r="W9" s="144" t="str">
        <x:v>读/写/状态码、掉电、默认恢复、版本迁移。</x:v>
      </x:c>
    </x:row>
    <x:row r="10" ht="54" customHeight="1">
      <x:c r="A10" s="144" t="n">
        <x:v>4</x:v>
      </x:c>
      <x:c r="B10" s="144" t="str">
        <x:v>NVM_OS_ErrorlogOsShutdown</x:v>
      </x:c>
      <x:c r="C10" s="144" t="str">
        <x:v>复位/PMIC/OS错误日志</x:v>
      </x:c>
      <x:c r="D10" s="153" t="n">
        <x:v>44</x:v>
      </x:c>
      <x:c r="E10" s="153" t="n">
        <x:v>44003</x:v>
      </x:c>
      <x:c r="F10" s="144" t="str">
        <x:v>NATIVE</x:v>
      </x:c>
      <x:c r="G10" s="144" t="n">
        <x:v>1</x:v>
      </x:c>
      <x:c r="H10" s="144" t="n">
        <x:v>0</x:v>
      </x:c>
      <x:c r="I10" s="144" t="str">
        <x:v>NoCrc</x:v>
      </x:c>
      <x:c r="J10" s="144" t="n">
        <x:v>1</x:v>
      </x:c>
      <x:c r="K10" s="144" t="str">
        <x:v>是</x:v>
      </x:c>
      <x:c r="L10" s="144" t="str">
        <x:v>否</x:v>
      </x:c>
      <x:c r="M10" s="144" t="str">
        <x:v>否</x:v>
      </x:c>
      <x:c r="N10" s="144" t="str">
        <x:v>是</x:v>
      </x:c>
      <x:c r="O10" s="144" t="str">
        <x:v>否</x:v>
      </x:c>
      <x:c r="P10" s="144" t="str">
        <x:v>否</x:v>
      </x:c>
      <x:c r="Q10" s="144" t="str">
        <x:v>否</x:v>
      </x:c>
      <x:c r="R10" s="144" t="str">
        <x:v>永久RAM</x:v>
      </x:c>
      <x:c r="S10" s="144" t="str">
        <x:v>无ROM默认块</x:v>
      </x:c>
      <x:c r="T10" s="144" t="str">
        <x:v>0x0100</x:v>
      </x:c>
      <x:c r="U10" s="144" t="str">
        <x:v>Fee动态（Bank0/Bank1；块物理地址不固定）</x:v>
      </x:c>
      <x:c r="V10" s="144" t="str">
        <x:v>NvM_Cfg.c:1439（ID 4 descriptor）</x:v>
      </x:c>
      <x:c r="W10" s="144" t="str">
        <x:v>读/写/状态码、掉电、默认恢复、版本迁移。</x:v>
      </x:c>
    </x:row>
    <x:row r="11" ht="54" customHeight="1">
      <x:c r="A11" s="144" t="n">
        <x:v>5</x:v>
      </x:c>
      <x:c r="B11" s="144" t="str">
        <x:v>NVM_OS_ErrorlogOsWdgReset</x:v>
      </x:c>
      <x:c r="C11" s="144" t="str">
        <x:v>复位/PMIC/OS错误日志</x:v>
      </x:c>
      <x:c r="D11" s="153" t="n">
        <x:v>6</x:v>
      </x:c>
      <x:c r="E11" s="153" t="n">
        <x:v>44004</x:v>
      </x:c>
      <x:c r="F11" s="144" t="str">
        <x:v>NATIVE</x:v>
      </x:c>
      <x:c r="G11" s="144" t="n">
        <x:v>1</x:v>
      </x:c>
      <x:c r="H11" s="144" t="n">
        <x:v>0</x:v>
      </x:c>
      <x:c r="I11" s="144" t="str">
        <x:v>NoCrc</x:v>
      </x:c>
      <x:c r="J11" s="144" t="n">
        <x:v>1</x:v>
      </x:c>
      <x:c r="K11" s="144" t="str">
        <x:v>是</x:v>
      </x:c>
      <x:c r="L11" s="144" t="str">
        <x:v>否</x:v>
      </x:c>
      <x:c r="M11" s="144" t="str">
        <x:v>否</x:v>
      </x:c>
      <x:c r="N11" s="144" t="str">
        <x:v>是</x:v>
      </x:c>
      <x:c r="O11" s="144" t="str">
        <x:v>否</x:v>
      </x:c>
      <x:c r="P11" s="144" t="str">
        <x:v>否</x:v>
      </x:c>
      <x:c r="Q11" s="144" t="str">
        <x:v>否</x:v>
      </x:c>
      <x:c r="R11" s="144" t="str">
        <x:v>永久RAM</x:v>
      </x:c>
      <x:c r="S11" s="144" t="str">
        <x:v>无ROM默认块</x:v>
      </x:c>
      <x:c r="T11" s="144" t="str">
        <x:v>0x0100</x:v>
      </x:c>
      <x:c r="U11" s="144" t="str">
        <x:v>Fee动态（Bank0/Bank1；块物理地址不固定）</x:v>
      </x:c>
      <x:c r="V11" s="144" t="str">
        <x:v>NvM_Cfg.c:1473（ID 5 descriptor）</x:v>
      </x:c>
      <x:c r="W11" s="144" t="str">
        <x:v>读/写/状态码、掉电、默认恢复、版本迁移。</x:v>
      </x:c>
    </x:row>
    <x:row r="12" ht="54" customHeight="1">
      <x:c r="A12" s="144" t="n">
        <x:v>6</x:v>
      </x:c>
      <x:c r="B12" s="144" t="str">
        <x:v>NVM_OS_ErrorlogActiveReset</x:v>
      </x:c>
      <x:c r="C12" s="144" t="str">
        <x:v>复位/PMIC/OS错误日志</x:v>
      </x:c>
      <x:c r="D12" s="153" t="n">
        <x:v>5</x:v>
      </x:c>
      <x:c r="E12" s="153" t="n">
        <x:v>44005</x:v>
      </x:c>
      <x:c r="F12" s="144" t="str">
        <x:v>NATIVE</x:v>
      </x:c>
      <x:c r="G12" s="144" t="n">
        <x:v>1</x:v>
      </x:c>
      <x:c r="H12" s="144" t="n">
        <x:v>0</x:v>
      </x:c>
      <x:c r="I12" s="144" t="str">
        <x:v>NoCrc</x:v>
      </x:c>
      <x:c r="J12" s="144" t="n">
        <x:v>1</x:v>
      </x:c>
      <x:c r="K12" s="144" t="str">
        <x:v>是</x:v>
      </x:c>
      <x:c r="L12" s="144" t="str">
        <x:v>否</x:v>
      </x:c>
      <x:c r="M12" s="144" t="str">
        <x:v>否</x:v>
      </x:c>
      <x:c r="N12" s="144" t="str">
        <x:v>是</x:v>
      </x:c>
      <x:c r="O12" s="144" t="str">
        <x:v>否</x:v>
      </x:c>
      <x:c r="P12" s="144" t="str">
        <x:v>否</x:v>
      </x:c>
      <x:c r="Q12" s="144" t="str">
        <x:v>否</x:v>
      </x:c>
      <x:c r="R12" s="144" t="str">
        <x:v>永久RAM</x:v>
      </x:c>
      <x:c r="S12" s="144" t="str">
        <x:v>无ROM默认块</x:v>
      </x:c>
      <x:c r="T12" s="144" t="str">
        <x:v>0x0100</x:v>
      </x:c>
      <x:c r="U12" s="144" t="str">
        <x:v>Fee动态（Bank0/Bank1；块物理地址不固定）</x:v>
      </x:c>
      <x:c r="V12" s="144" t="str">
        <x:v>NvM_Cfg.c:1507（ID 6 descriptor）</x:v>
      </x:c>
      <x:c r="W12" s="144" t="str">
        <x:v>读/写/状态码、掉电、默认恢复、版本迁移。</x:v>
      </x:c>
    </x:row>
    <x:row r="13" ht="54" customHeight="1">
      <x:c r="A13" s="144" t="n">
        <x:v>7</x:v>
      </x:c>
      <x:c r="B13" s="144" t="str">
        <x:v>NVM_PMIC_DTC_ERROR</x:v>
      </x:c>
      <x:c r="C13" s="144" t="str">
        <x:v>复位/PMIC/OS错误日志</x:v>
      </x:c>
      <x:c r="D13" s="153" t="n">
        <x:v>40</x:v>
      </x:c>
      <x:c r="E13" s="153" t="n">
        <x:v>44017</x:v>
      </x:c>
      <x:c r="F13" s="144" t="str">
        <x:v>NATIVE</x:v>
      </x:c>
      <x:c r="G13" s="144" t="n">
        <x:v>1</x:v>
      </x:c>
      <x:c r="H13" s="144" t="n">
        <x:v>0</x:v>
      </x:c>
      <x:c r="I13" s="144" t="str">
        <x:v>NoCrc</x:v>
      </x:c>
      <x:c r="J13" s="144" t="n">
        <x:v>1</x:v>
      </x:c>
      <x:c r="K13" s="144" t="str">
        <x:v>是</x:v>
      </x:c>
      <x:c r="L13" s="144" t="str">
        <x:v>否</x:v>
      </x:c>
      <x:c r="M13" s="144" t="str">
        <x:v>否</x:v>
      </x:c>
      <x:c r="N13" s="144" t="str">
        <x:v>否</x:v>
      </x:c>
      <x:c r="O13" s="144" t="str">
        <x:v>否</x:v>
      </x:c>
      <x:c r="P13" s="144" t="str">
        <x:v>否</x:v>
      </x:c>
      <x:c r="Q13" s="144" t="str">
        <x:v>否</x:v>
      </x:c>
      <x:c r="R13" s="144" t="str">
        <x:v>永久RAM</x:v>
      </x:c>
      <x:c r="S13" s="144" t="str">
        <x:v>无ROM默认块</x:v>
      </x:c>
      <x:c r="T13" s="144" t="str">
        <x:v>0x0100</x:v>
      </x:c>
      <x:c r="U13" s="144" t="str">
        <x:v>Fee动态（Bank0/Bank1；块物理地址不固定）</x:v>
      </x:c>
      <x:c r="V13" s="144" t="str">
        <x:v>NvM_Cfg.c:1541（ID 7 descriptor）</x:v>
      </x:c>
      <x:c r="W13" s="144" t="str">
        <x:v>读/写/状态码、掉电、默认恢复、版本迁移。</x:v>
      </x:c>
    </x:row>
    <x:row r="14" ht="54" customHeight="1">
      <x:c r="A14" s="144" t="n">
        <x:v>8</x:v>
      </x:c>
      <x:c r="B14" s="144" t="str">
        <x:v>CustDID_APPVersion</x:v>
      </x:c>
      <x:c r="C14" s="144" t="str">
        <x:v>诊断DID/车辆配置数据</x:v>
      </x:c>
      <x:c r="D14" s="153" t="n">
        <x:v>6</x:v>
      </x:c>
      <x:c r="E14" s="153" t="n">
        <x:v>4099</x:v>
      </x:c>
      <x:c r="F14" s="144" t="str">
        <x:v>NATIVE</x:v>
      </x:c>
      <x:c r="G14" s="144" t="n">
        <x:v>1</x:v>
      </x:c>
      <x:c r="H14" s="144" t="n">
        <x:v>0</x:v>
      </x:c>
      <x:c r="I14" s="144" t="str">
        <x:v>NoCrc</x:v>
      </x:c>
      <x:c r="J14" s="144" t="n">
        <x:v>1</x:v>
      </x:c>
      <x:c r="K14" s="144" t="str">
        <x:v>是</x:v>
      </x:c>
      <x:c r="L14" s="144" t="str">
        <x:v>否</x:v>
      </x:c>
      <x:c r="M14" s="144" t="str">
        <x:v>否</x:v>
      </x:c>
      <x:c r="N14" s="144" t="str">
        <x:v>否</x:v>
      </x:c>
      <x:c r="O14" s="144" t="str">
        <x:v>否</x:v>
      </x:c>
      <x:c r="P14" s="144" t="str">
        <x:v>否</x:v>
      </x:c>
      <x:c r="Q14" s="144" t="str">
        <x:v>否</x:v>
      </x:c>
      <x:c r="R14" s="144" t="str">
        <x:v>永久RAM</x:v>
      </x:c>
      <x:c r="S14" s="144" t="str">
        <x:v>无ROM默认块</x:v>
      </x:c>
      <x:c r="T14" s="144" t="str">
        <x:v>0x0100</x:v>
      </x:c>
      <x:c r="U14" s="144" t="str">
        <x:v>Fee动态（Bank0/Bank1；块物理地址不固定）</x:v>
      </x:c>
      <x:c r="V14" s="144" t="str">
        <x:v>NvM_Cfg.c:1574（ID 8 descriptor）</x:v>
      </x:c>
      <x:c r="W14" s="144" t="str">
        <x:v>0x22/0x2E长度、端序、默认、权限与复位后持久化。</x:v>
      </x:c>
    </x:row>
    <x:row r="15" ht="54" customHeight="1">
      <x:c r="A15" s="144" t="n">
        <x:v>9</x:v>
      </x:c>
      <x:c r="B15" s="144" t="str">
        <x:v>CustDID_DisBetFrontandRear</x:v>
      </x:c>
      <x:c r="C15" s="144" t="str">
        <x:v>诊断DID/车辆配置数据</x:v>
      </x:c>
      <x:c r="D15" s="153" t="n">
        <x:v>2</x:v>
      </x:c>
      <x:c r="E15" s="153" t="n">
        <x:v>37771</x:v>
      </x:c>
      <x:c r="F15" s="144" t="str">
        <x:v>NATIVE</x:v>
      </x:c>
      <x:c r="G15" s="144" t="n">
        <x:v>1</x:v>
      </x:c>
      <x:c r="H15" s="144" t="n">
        <x:v>1</x:v>
      </x:c>
      <x:c r="I15" s="144" t="str">
        <x:v>NoCrc</x:v>
      </x:c>
      <x:c r="J15" s="144" t="n">
        <x:v>1</x:v>
      </x:c>
      <x:c r="K15" s="144" t="str">
        <x:v>是</x:v>
      </x:c>
      <x:c r="L15" s="144" t="str">
        <x:v>否</x:v>
      </x:c>
      <x:c r="M15" s="144" t="str">
        <x:v>否</x:v>
      </x:c>
      <x:c r="N15" s="144" t="str">
        <x:v>否</x:v>
      </x:c>
      <x:c r="O15" s="144" t="str">
        <x:v>否</x:v>
      </x:c>
      <x:c r="P15" s="144" t="str">
        <x:v>否</x:v>
      </x:c>
      <x:c r="Q15" s="144" t="str">
        <x:v>否</x:v>
      </x:c>
      <x:c r="R15" s="144" t="str">
        <x:v>永久RAM</x:v>
      </x:c>
      <x:c r="S15" s="144" t="str">
        <x:v>00 00（C静态零初始化）</x:v>
      </x:c>
      <x:c r="T15" s="144" t="str">
        <x:v>0x0100</x:v>
      </x:c>
      <x:c r="U15" s="144" t="str">
        <x:v>Fee动态（Bank0/Bank1；块物理地址不固定）</x:v>
      </x:c>
      <x:c r="V15" s="144" t="str">
        <x:v>NvM_Cfg.c:1607（ID 9 descriptor）</x:v>
      </x:c>
      <x:c r="W15" s="144" t="str">
        <x:v>0x22/0x2E长度、端序、默认、权限与复位后持久化。</x:v>
      </x:c>
    </x:row>
    <x:row r="16" ht="54" customHeight="1">
      <x:c r="A16" s="144" t="n">
        <x:v>10</x:v>
      </x:c>
      <x:c r="B16" s="144" t="str">
        <x:v>CustDID_DisBetLeftandRight_0x126A</x:v>
      </x:c>
      <x:c r="C16" s="144" t="str">
        <x:v>诊断DID/车辆配置数据</x:v>
      </x:c>
      <x:c r="D16" s="153" t="n">
        <x:v>2</x:v>
      </x:c>
      <x:c r="E16" s="153" t="n">
        <x:v>37770</x:v>
      </x:c>
      <x:c r="F16" s="144" t="str">
        <x:v>NATIVE</x:v>
      </x:c>
      <x:c r="G16" s="144" t="n">
        <x:v>1</x:v>
      </x:c>
      <x:c r="H16" s="144" t="n">
        <x:v>1</x:v>
      </x:c>
      <x:c r="I16" s="144" t="str">
        <x:v>NoCrc</x:v>
      </x:c>
      <x:c r="J16" s="144" t="n">
        <x:v>1</x:v>
      </x:c>
      <x:c r="K16" s="144" t="str">
        <x:v>是</x:v>
      </x:c>
      <x:c r="L16" s="144" t="str">
        <x:v>否</x:v>
      </x:c>
      <x:c r="M16" s="144" t="str">
        <x:v>否</x:v>
      </x:c>
      <x:c r="N16" s="144" t="str">
        <x:v>否</x:v>
      </x:c>
      <x:c r="O16" s="144" t="str">
        <x:v>否</x:v>
      </x:c>
      <x:c r="P16" s="144" t="str">
        <x:v>否</x:v>
      </x:c>
      <x:c r="Q16" s="144" t="str">
        <x:v>否</x:v>
      </x:c>
      <x:c r="R16" s="144" t="str">
        <x:v>永久RAM</x:v>
      </x:c>
      <x:c r="S16" s="144" t="str">
        <x:v>00 00（C静态零初始化）</x:v>
      </x:c>
      <x:c r="T16" s="144" t="str">
        <x:v>0x0100</x:v>
      </x:c>
      <x:c r="U16" s="144" t="str">
        <x:v>Fee动态（Bank0/Bank1；块物理地址不固定）</x:v>
      </x:c>
      <x:c r="V16" s="144" t="str">
        <x:v>NvM_Cfg.c:1640（ID 10 descriptor）</x:v>
      </x:c>
      <x:c r="W16" s="144" t="str">
        <x:v>0x22/0x2E长度、端序、默认、权限与复位后持久化。</x:v>
      </x:c>
    </x:row>
    <x:row r="17" ht="54" customHeight="1">
      <x:c r="A17" s="144" t="n">
        <x:v>11</x:v>
      </x:c>
      <x:c r="B17" s="144" t="str">
        <x:v>CustDID_ECUHWVersionNumber</x:v>
      </x:c>
      <x:c r="C17" s="144" t="str">
        <x:v>诊断DID/车辆配置数据</x:v>
      </x:c>
      <x:c r="D17" s="153" t="n">
        <x:v>5</x:v>
      </x:c>
      <x:c r="E17" s="153" t="n">
        <x:v>4102</x:v>
      </x:c>
      <x:c r="F17" s="144" t="str">
        <x:v>NATIVE</x:v>
      </x:c>
      <x:c r="G17" s="144" t="n">
        <x:v>1</x:v>
      </x:c>
      <x:c r="H17" s="144" t="n">
        <x:v>0</x:v>
      </x:c>
      <x:c r="I17" s="144" t="str">
        <x:v>NoCrc</x:v>
      </x:c>
      <x:c r="J17" s="144" t="n">
        <x:v>1</x:v>
      </x:c>
      <x:c r="K17" s="144" t="str">
        <x:v>否</x:v>
      </x:c>
      <x:c r="L17" s="144" t="str">
        <x:v>否</x:v>
      </x:c>
      <x:c r="M17" s="144" t="str">
        <x:v>否</x:v>
      </x:c>
      <x:c r="N17" s="144" t="str">
        <x:v>否</x:v>
      </x:c>
      <x:c r="O17" s="144" t="str">
        <x:v>否</x:v>
      </x:c>
      <x:c r="P17" s="144" t="str">
        <x:v>否</x:v>
      </x:c>
      <x:c r="Q17" s="144" t="str">
        <x:v>否</x:v>
      </x:c>
      <x:c r="R17" s="144" t="str">
        <x:v>永久RAM</x:v>
      </x:c>
      <x:c r="S17" s="144" t="str">
        <x:v>无ROM默认块</x:v>
      </x:c>
      <x:c r="T17" s="144" t="str">
        <x:v>0x0100</x:v>
      </x:c>
      <x:c r="U17" s="144" t="str">
        <x:v>Fee动态（Bank0/Bank1；块物理地址不固定）</x:v>
      </x:c>
      <x:c r="V17" s="144" t="str">
        <x:v>NvM_Cfg.c:1673（ID 11 descriptor）</x:v>
      </x:c>
      <x:c r="W17" s="144" t="str">
        <x:v>0x22/0x2E长度、端序、默认、权限与复位后持久化。</x:v>
      </x:c>
    </x:row>
    <x:row r="18" ht="54" customHeight="1">
      <x:c r="A18" s="144" t="n">
        <x:v>12</x:v>
      </x:c>
      <x:c r="B18" s="144" t="str">
        <x:v>CustDID_ECUSoftwareCode</x:v>
      </x:c>
      <x:c r="C18" s="144" t="str">
        <x:v>诊断DID/车辆配置数据</x:v>
      </x:c>
      <x:c r="D18" s="153" t="n">
        <x:v>9</x:v>
      </x:c>
      <x:c r="E18" s="153" t="n">
        <x:v>4101</x:v>
      </x:c>
      <x:c r="F18" s="144" t="str">
        <x:v>NATIVE</x:v>
      </x:c>
      <x:c r="G18" s="144" t="n">
        <x:v>1</x:v>
      </x:c>
      <x:c r="H18" s="144" t="n">
        <x:v>0</x:v>
      </x:c>
      <x:c r="I18" s="144" t="str">
        <x:v>NoCrc</x:v>
      </x:c>
      <x:c r="J18" s="144" t="n">
        <x:v>1</x:v>
      </x:c>
      <x:c r="K18" s="144" t="str">
        <x:v>否</x:v>
      </x:c>
      <x:c r="L18" s="144" t="str">
        <x:v>否</x:v>
      </x:c>
      <x:c r="M18" s="144" t="str">
        <x:v>否</x:v>
      </x:c>
      <x:c r="N18" s="144" t="str">
        <x:v>否</x:v>
      </x:c>
      <x:c r="O18" s="144" t="str">
        <x:v>否</x:v>
      </x:c>
      <x:c r="P18" s="144" t="str">
        <x:v>否</x:v>
      </x:c>
      <x:c r="Q18" s="144" t="str">
        <x:v>否</x:v>
      </x:c>
      <x:c r="R18" s="144" t="str">
        <x:v>永久RAM</x:v>
      </x:c>
      <x:c r="S18" s="144" t="str">
        <x:v>无ROM默认块</x:v>
      </x:c>
      <x:c r="T18" s="144" t="str">
        <x:v>0x0100</x:v>
      </x:c>
      <x:c r="U18" s="144" t="str">
        <x:v>Fee动态（Bank0/Bank1；块物理地址不固定）</x:v>
      </x:c>
      <x:c r="V18" s="144" t="str">
        <x:v>NvM_Cfg.c:1706（ID 12 descriptor）</x:v>
      </x:c>
      <x:c r="W18" s="144" t="str">
        <x:v>0x22/0x2E长度、端序、默认、权限与复位后持久化。</x:v>
      </x:c>
    </x:row>
    <x:row r="19" ht="54" customHeight="1">
      <x:c r="A19" s="144" t="n">
        <x:v>13</x:v>
      </x:c>
      <x:c r="B19" s="144" t="str">
        <x:v>CustDID_FBLVersion</x:v>
      </x:c>
      <x:c r="C19" s="144" t="str">
        <x:v>诊断DID/车辆配置数据</x:v>
      </x:c>
      <x:c r="D19" s="153" t="n">
        <x:v>9</x:v>
      </x:c>
      <x:c r="E19" s="153" t="n">
        <x:v>4098</x:v>
      </x:c>
      <x:c r="F19" s="144" t="str">
        <x:v>NATIVE</x:v>
      </x:c>
      <x:c r="G19" s="144" t="n">
        <x:v>1</x:v>
      </x:c>
      <x:c r="H19" s="144" t="n">
        <x:v>1</x:v>
      </x:c>
      <x:c r="I19" s="144" t="str">
        <x:v>NoCrc</x:v>
      </x:c>
      <x:c r="J19" s="144" t="n">
        <x:v>1</x:v>
      </x:c>
      <x:c r="K19" s="144" t="str">
        <x:v>是</x:v>
      </x:c>
      <x:c r="L19" s="144" t="str">
        <x:v>是</x:v>
      </x:c>
      <x:c r="M19" s="144" t="str">
        <x:v>否</x:v>
      </x:c>
      <x:c r="N19" s="144" t="str">
        <x:v>否</x:v>
      </x:c>
      <x:c r="O19" s="144" t="str">
        <x:v>否</x:v>
      </x:c>
      <x:c r="P19" s="144" t="str">
        <x:v>否</x:v>
      </x:c>
      <x:c r="Q19" s="144" t="str">
        <x:v>否</x:v>
      </x:c>
      <x:c r="R19" s="144" t="str">
        <x:v>永久RAM</x:v>
      </x:c>
      <x:c r="S19" s="144" t="str">
        <x:v>00 00 00 00 00 00 00 00 00</x:v>
      </x:c>
      <x:c r="T19" s="144" t="str">
        <x:v>0x0100</x:v>
      </x:c>
      <x:c r="U19" s="144" t="str">
        <x:v>Fee动态（Bank0/Bank1；块物理地址不固定）</x:v>
      </x:c>
      <x:c r="V19" s="144" t="str">
        <x:v>NvM_Cfg.c:1739（ID 13 descriptor）</x:v>
      </x:c>
      <x:c r="W19" s="144" t="str">
        <x:v>0x22/0x2E长度、端序、默认、权限与复位后持久化。</x:v>
      </x:c>
    </x:row>
    <x:row r="20" ht="54" customHeight="1">
      <x:c r="A20" s="144" t="n">
        <x:v>14</x:v>
      </x:c>
      <x:c r="B20" s="144" t="str">
        <x:v>CustDID_ProductionMode</x:v>
      </x:c>
      <x:c r="C20" s="144" t="str">
        <x:v>诊断DID/车辆配置数据</x:v>
      </x:c>
      <x:c r="D20" s="153" t="n">
        <x:v>1</x:v>
      </x:c>
      <x:c r="E20" s="153" t="n">
        <x:v>44012</x:v>
      </x:c>
      <x:c r="F20" s="144" t="str">
        <x:v>NATIVE</x:v>
      </x:c>
      <x:c r="G20" s="144" t="n">
        <x:v>1</x:v>
      </x:c>
      <x:c r="H20" s="144" t="n">
        <x:v>1</x:v>
      </x:c>
      <x:c r="I20" s="144" t="str">
        <x:v>NoCrc</x:v>
      </x:c>
      <x:c r="J20" s="144" t="n">
        <x:v>1</x:v>
      </x:c>
      <x:c r="K20" s="144" t="str">
        <x:v>是</x:v>
      </x:c>
      <x:c r="L20" s="144" t="str">
        <x:v>否</x:v>
      </x:c>
      <x:c r="M20" s="144" t="str">
        <x:v>否</x:v>
      </x:c>
      <x:c r="N20" s="144" t="str">
        <x:v>否</x:v>
      </x:c>
      <x:c r="O20" s="144" t="str">
        <x:v>否</x:v>
      </x:c>
      <x:c r="P20" s="144" t="str">
        <x:v>否</x:v>
      </x:c>
      <x:c r="Q20" s="144" t="str">
        <x:v>否</x:v>
      </x:c>
      <x:c r="R20" s="144" t="str">
        <x:v>永久RAM</x:v>
      </x:c>
      <x:c r="S20" s="144" t="str">
        <x:v>02</x:v>
      </x:c>
      <x:c r="T20" s="144" t="str">
        <x:v>0x0100</x:v>
      </x:c>
      <x:c r="U20" s="144" t="str">
        <x:v>Fee动态（Bank0/Bank1；块物理地址不固定）</x:v>
      </x:c>
      <x:c r="V20" s="144" t="str">
        <x:v>NvM_Cfg.c:1773（ID 14 descriptor）</x:v>
      </x:c>
      <x:c r="W20" s="144" t="str">
        <x:v>0x22/0x2E长度、端序、默认、权限与复位后持久化。</x:v>
      </x:c>
    </x:row>
    <x:row r="21" ht="54" customHeight="1">
      <x:c r="A21" s="144" t="n">
        <x:v>15</x:v>
      </x:c>
      <x:c r="B21" s="144" t="str">
        <x:v>NvMBlockDescriptor_ECUConfiguration</x:v>
      </x:c>
      <x:c r="C21" s="144" t="str">
        <x:v>应用/系统持久化数据</x:v>
      </x:c>
      <x:c r="D21" s="153" t="n">
        <x:v>4</x:v>
      </x:c>
      <x:c r="E21" s="153" t="n">
        <x:v>44001</x:v>
      </x:c>
      <x:c r="F21" s="144" t="str">
        <x:v>REDUNDANT</x:v>
      </x:c>
      <x:c r="G21" s="144" t="n">
        <x:v>2</x:v>
      </x:c>
      <x:c r="H21" s="144" t="n">
        <x:v>0</x:v>
      </x:c>
      <x:c r="I21" s="144" t="str">
        <x:v>NoCrc</x:v>
      </x:c>
      <x:c r="J21" s="144" t="n">
        <x:v>1</x:v>
      </x:c>
      <x:c r="K21" s="144" t="str">
        <x:v>是</x:v>
      </x:c>
      <x:c r="L21" s="144" t="str">
        <x:v>是</x:v>
      </x:c>
      <x:c r="M21" s="144" t="str">
        <x:v>是</x:v>
      </x:c>
      <x:c r="N21" s="144" t="str">
        <x:v>是</x:v>
      </x:c>
      <x:c r="O21" s="144" t="str">
        <x:v>否</x:v>
      </x:c>
      <x:c r="P21" s="144" t="str">
        <x:v>否</x:v>
      </x:c>
      <x:c r="Q21" s="144" t="str">
        <x:v>否</x:v>
      </x:c>
      <x:c r="R21" s="144" t="str">
        <x:v>永久RAM</x:v>
      </x:c>
      <x:c r="S21" s="144" t="str">
        <x:v>无ROM默认块</x:v>
      </x:c>
      <x:c r="T21" s="144" t="str">
        <x:v>0x0101（双存储）</x:v>
      </x:c>
      <x:c r="U21" s="144" t="str">
        <x:v>Fee动态（Bank0/Bank1；块物理地址不固定）</x:v>
      </x:c>
      <x:c r="V21" s="144" t="str">
        <x:v>NvM_Cfg.c:1806（ID 15 descriptor）</x:v>
      </x:c>
      <x:c r="W21" s="144" t="str">
        <x:v>读/写/状态码、掉电、默认恢复、版本迁移。</x:v>
      </x:c>
    </x:row>
    <x:row r="22" ht="54" customHeight="1">
      <x:c r="A22" s="144" t="n">
        <x:v>16</x:v>
      </x:c>
      <x:c r="B22" s="144" t="str">
        <x:v>CustDID_TargetPosition_0x1266</x:v>
      </x:c>
      <x:c r="C22" s="144" t="str">
        <x:v>诊断DID/车辆配置数据</x:v>
      </x:c>
      <x:c r="D22" s="153" t="n">
        <x:v>4</x:v>
      </x:c>
      <x:c r="E22" s="153" t="n">
        <x:v>37769</x:v>
      </x:c>
      <x:c r="F22" s="144" t="str">
        <x:v>NATIVE</x:v>
      </x:c>
      <x:c r="G22" s="144" t="n">
        <x:v>1</x:v>
      </x:c>
      <x:c r="H22" s="144" t="n">
        <x:v>1</x:v>
      </x:c>
      <x:c r="I22" s="144" t="str">
        <x:v>NoCrc</x:v>
      </x:c>
      <x:c r="J22" s="144" t="n">
        <x:v>1</x:v>
      </x:c>
      <x:c r="K22" s="144" t="str">
        <x:v>是</x:v>
      </x:c>
      <x:c r="L22" s="144" t="str">
        <x:v>否</x:v>
      </x:c>
      <x:c r="M22" s="144" t="str">
        <x:v>否</x:v>
      </x:c>
      <x:c r="N22" s="144" t="str">
        <x:v>否</x:v>
      </x:c>
      <x:c r="O22" s="144" t="str">
        <x:v>否</x:v>
      </x:c>
      <x:c r="P22" s="144" t="str">
        <x:v>否</x:v>
      </x:c>
      <x:c r="Q22" s="144" t="str">
        <x:v>否</x:v>
      </x:c>
      <x:c r="R22" s="144" t="str">
        <x:v>永久RAM</x:v>
      </x:c>
      <x:c r="S22" s="144" t="str">
        <x:v>00 00 00 00（C静态零初始化）</x:v>
      </x:c>
      <x:c r="T22" s="144" t="str">
        <x:v>0x0100</x:v>
      </x:c>
      <x:c r="U22" s="144" t="str">
        <x:v>Fee动态（Bank0/Bank1；块物理地址不固定）</x:v>
      </x:c>
      <x:c r="V22" s="144" t="str">
        <x:v>NvM_Cfg.c:1842（ID 16 descriptor）</x:v>
      </x:c>
      <x:c r="W22" s="144" t="str">
        <x:v>0x22/0x2E长度、端序、默认、权限与复位后持久化。</x:v>
      </x:c>
    </x:row>
    <x:row r="23" ht="54" customHeight="1">
      <x:c r="A23" s="144" t="n">
        <x:v>17</x:v>
      </x:c>
      <x:c r="B23" s="144" t="str">
        <x:v>CustDID_VIN</x:v>
      </x:c>
      <x:c r="C23" s="144" t="str">
        <x:v>诊断DID/车辆配置数据</x:v>
      </x:c>
      <x:c r="D23" s="153" t="n">
        <x:v>17</x:v>
      </x:c>
      <x:c r="E23" s="153" t="n">
        <x:v>40553</x:v>
      </x:c>
      <x:c r="F23" s="144" t="str">
        <x:v>NATIVE</x:v>
      </x:c>
      <x:c r="G23" s="144" t="n">
        <x:v>1</x:v>
      </x:c>
      <x:c r="H23" s="144" t="n">
        <x:v>1</x:v>
      </x:c>
      <x:c r="I23" s="144" t="str">
        <x:v>NoCrc</x:v>
      </x:c>
      <x:c r="J23" s="144" t="n">
        <x:v>1</x:v>
      </x:c>
      <x:c r="K23" s="144" t="str">
        <x:v>是</x:v>
      </x:c>
      <x:c r="L23" s="144" t="str">
        <x:v>否</x:v>
      </x:c>
      <x:c r="M23" s="144" t="str">
        <x:v>否</x:v>
      </x:c>
      <x:c r="N23" s="144" t="str">
        <x:v>否</x:v>
      </x:c>
      <x:c r="O23" s="144" t="str">
        <x:v>否</x:v>
      </x:c>
      <x:c r="P23" s="144" t="str">
        <x:v>否</x:v>
      </x:c>
      <x:c r="Q23" s="144" t="str">
        <x:v>否</x:v>
      </x:c>
      <x:c r="R23" s="144" t="str">
        <x:v>永久RAM</x:v>
      </x:c>
      <x:c r="S23" s="144" t="str">
        <x:v>FF×17</x:v>
      </x:c>
      <x:c r="T23" s="144" t="str">
        <x:v>0x0100</x:v>
      </x:c>
      <x:c r="U23" s="144" t="str">
        <x:v>Fee动态（Bank0/Bank1；块物理地址不固定）</x:v>
      </x:c>
      <x:c r="V23" s="144" t="str">
        <x:v>NvM_Cfg.c:1875（ID 17 descriptor）</x:v>
      </x:c>
      <x:c r="W23" s="144" t="str">
        <x:v>0x22/0x2E长度、端序、默认、权限与复位后持久化。</x:v>
      </x:c>
    </x:row>
    <x:row r="24" ht="54" customHeight="1">
      <x:c r="A24" s="144" t="n">
        <x:v>18</x:v>
      </x:c>
      <x:c r="B24" s="144" t="str">
        <x:v>CustDID_VariantCoding</x:v>
      </x:c>
      <x:c r="C24" s="144" t="str">
        <x:v>诊断DID/车辆配置数据</x:v>
      </x:c>
      <x:c r="D24" s="153" t="n">
        <x:v>8</x:v>
      </x:c>
      <x:c r="E24" s="153" t="n">
        <x:v>37776</x:v>
      </x:c>
      <x:c r="F24" s="144" t="str">
        <x:v>NATIVE</x:v>
      </x:c>
      <x:c r="G24" s="144" t="n">
        <x:v>1</x:v>
      </x:c>
      <x:c r="H24" s="144" t="n">
        <x:v>1</x:v>
      </x:c>
      <x:c r="I24" s="144" t="str">
        <x:v>NoCrc</x:v>
      </x:c>
      <x:c r="J24" s="144" t="n">
        <x:v>1</x:v>
      </x:c>
      <x:c r="K24" s="144" t="str">
        <x:v>是</x:v>
      </x:c>
      <x:c r="L24" s="144" t="str">
        <x:v>否</x:v>
      </x:c>
      <x:c r="M24" s="144" t="str">
        <x:v>否</x:v>
      </x:c>
      <x:c r="N24" s="144" t="str">
        <x:v>否</x:v>
      </x:c>
      <x:c r="O24" s="144" t="str">
        <x:v>否</x:v>
      </x:c>
      <x:c r="P24" s="144" t="str">
        <x:v>否</x:v>
      </x:c>
      <x:c r="Q24" s="144" t="str">
        <x:v>否</x:v>
      </x:c>
      <x:c r="R24" s="144" t="str">
        <x:v>永久RAM</x:v>
      </x:c>
      <x:c r="S24" s="144" t="str">
        <x:v>00×8</x:v>
      </x:c>
      <x:c r="T24" s="144" t="str">
        <x:v>0x0100</x:v>
      </x:c>
      <x:c r="U24" s="144" t="str">
        <x:v>Fee动态（Bank0/Bank1；块物理地址不固定）</x:v>
      </x:c>
      <x:c r="V24" s="144" t="str">
        <x:v>NvM_Cfg.c:1908（ID 18 descriptor）</x:v>
      </x:c>
      <x:c r="W24" s="144" t="str">
        <x:v>0x22/0x2E长度、端序、默认、权限与复位后持久化。</x:v>
      </x:c>
    </x:row>
    <x:row r="25" ht="54" customHeight="1">
      <x:c r="A25" s="144" t="n">
        <x:v>19</x:v>
      </x:c>
      <x:c r="B25" s="144" t="str">
        <x:v>CustDID_WheelBase</x:v>
      </x:c>
      <x:c r="C25" s="144" t="str">
        <x:v>诊断DID/车辆配置数据</x:v>
      </x:c>
      <x:c r="D25" s="153" t="n">
        <x:v>2</x:v>
      </x:c>
      <x:c r="E25" s="153" t="n">
        <x:v>37772</x:v>
      </x:c>
      <x:c r="F25" s="144" t="str">
        <x:v>NATIVE</x:v>
      </x:c>
      <x:c r="G25" s="144" t="n">
        <x:v>1</x:v>
      </x:c>
      <x:c r="H25" s="144" t="n">
        <x:v>1</x:v>
      </x:c>
      <x:c r="I25" s="144" t="str">
        <x:v>NoCrc</x:v>
      </x:c>
      <x:c r="J25" s="144" t="n">
        <x:v>1</x:v>
      </x:c>
      <x:c r="K25" s="144" t="str">
        <x:v>是</x:v>
      </x:c>
      <x:c r="L25" s="144" t="str">
        <x:v>否</x:v>
      </x:c>
      <x:c r="M25" s="144" t="str">
        <x:v>否</x:v>
      </x:c>
      <x:c r="N25" s="144" t="str">
        <x:v>否</x:v>
      </x:c>
      <x:c r="O25" s="144" t="str">
        <x:v>否</x:v>
      </x:c>
      <x:c r="P25" s="144" t="str">
        <x:v>否</x:v>
      </x:c>
      <x:c r="Q25" s="144" t="str">
        <x:v>否</x:v>
      </x:c>
      <x:c r="R25" s="144" t="str">
        <x:v>永久RAM</x:v>
      </x:c>
      <x:c r="S25" s="144" t="str">
        <x:v>00 00（C静态零初始化）</x:v>
      </x:c>
      <x:c r="T25" s="144" t="str">
        <x:v>0x0100</x:v>
      </x:c>
      <x:c r="U25" s="144" t="str">
        <x:v>Fee动态（Bank0/Bank1；块物理地址不固定）</x:v>
      </x:c>
      <x:c r="V25" s="144" t="str">
        <x:v>NvM_Cfg.c:1941（ID 19 descriptor）</x:v>
      </x:c>
      <x:c r="W25" s="144" t="str">
        <x:v>0x22/0x2E长度、端序、默认、权限与复位后持久化。</x:v>
      </x:c>
    </x:row>
    <x:row r="26" ht="54" customHeight="1">
      <x:c r="A26" s="144" t="n">
        <x:v>20</x:v>
      </x:c>
      <x:c r="B26" s="144" t="str">
        <x:v>NvM_PowerOn_Counter</x:v>
      </x:c>
      <x:c r="C26" s="144" t="str">
        <x:v>应用/系统持久化数据</x:v>
      </x:c>
      <x:c r="D26" s="153" t="n">
        <x:v>4</x:v>
      </x:c>
      <x:c r="E26" s="153" t="n">
        <x:v>44010</x:v>
      </x:c>
      <x:c r="F26" s="144" t="str">
        <x:v>NATIVE</x:v>
      </x:c>
      <x:c r="G26" s="144" t="n">
        <x:v>1</x:v>
      </x:c>
      <x:c r="H26" s="144" t="n">
        <x:v>0</x:v>
      </x:c>
      <x:c r="I26" s="144" t="str">
        <x:v>NoCrc</x:v>
      </x:c>
      <x:c r="J26" s="144" t="n">
        <x:v>1</x:v>
      </x:c>
      <x:c r="K26" s="144" t="str">
        <x:v>是</x:v>
      </x:c>
      <x:c r="L26" s="144" t="str">
        <x:v>否</x:v>
      </x:c>
      <x:c r="M26" s="144" t="str">
        <x:v>否</x:v>
      </x:c>
      <x:c r="N26" s="144" t="str">
        <x:v>是</x:v>
      </x:c>
      <x:c r="O26" s="144" t="str">
        <x:v>否</x:v>
      </x:c>
      <x:c r="P26" s="144" t="str">
        <x:v>否</x:v>
      </x:c>
      <x:c r="Q26" s="144" t="str">
        <x:v>否</x:v>
      </x:c>
      <x:c r="R26" s="144" t="str">
        <x:v>永久RAM</x:v>
      </x:c>
      <x:c r="S26" s="144" t="str">
        <x:v>无ROM默认块</x:v>
      </x:c>
      <x:c r="T26" s="144" t="str">
        <x:v>0x0100</x:v>
      </x:c>
      <x:c r="U26" s="144" t="str">
        <x:v>Fee动态（Bank0/Bank1；块物理地址不固定）</x:v>
      </x:c>
      <x:c r="V26" s="144" t="str">
        <x:v>NvM_Cfg.c:1974（ID 20 descriptor）</x:v>
      </x:c>
      <x:c r="W26" s="144" t="str">
        <x:v>读/写/状态码、掉电、默认恢复、版本迁移。</x:v>
      </x:c>
    </x:row>
    <x:row r="27" ht="54" customHeight="1">
      <x:c r="A27" s="144" t="n">
        <x:v>21</x:v>
      </x:c>
      <x:c r="B27" s="144" t="str">
        <x:v>NvM_RadarPosition_ETHOnly</x:v>
      </x:c>
      <x:c r="C27" s="144" t="str">
        <x:v>标定/雷达安装参数</x:v>
      </x:c>
      <x:c r="D27" s="153" t="n">
        <x:v>1</x:v>
      </x:c>
      <x:c r="E27" s="153" t="n">
        <x:v>44011</x:v>
      </x:c>
      <x:c r="F27" s="144" t="str">
        <x:v>NATIVE</x:v>
      </x:c>
      <x:c r="G27" s="144" t="n">
        <x:v>1</x:v>
      </x:c>
      <x:c r="H27" s="144" t="n">
        <x:v>1</x:v>
      </x:c>
      <x:c r="I27" s="144" t="str">
        <x:v>NoCrc</x:v>
      </x:c>
      <x:c r="J27" s="144" t="n">
        <x:v>1</x:v>
      </x:c>
      <x:c r="K27" s="144" t="str">
        <x:v>是</x:v>
      </x:c>
      <x:c r="L27" s="144" t="str">
        <x:v>否</x:v>
      </x:c>
      <x:c r="M27" s="144" t="str">
        <x:v>否</x:v>
      </x:c>
      <x:c r="N27" s="144" t="str">
        <x:v>是</x:v>
      </x:c>
      <x:c r="O27" s="144" t="str">
        <x:v>否</x:v>
      </x:c>
      <x:c r="P27" s="144" t="str">
        <x:v>否</x:v>
      </x:c>
      <x:c r="Q27" s="144" t="str">
        <x:v>否</x:v>
      </x:c>
      <x:c r="R27" s="144" t="str">
        <x:v>永久RAM</x:v>
      </x:c>
      <x:c r="S27" s="144" t="str">
        <x:v>02（ENM_POS_REAR_LEFT；枚举顺序已由rbMPR.h求证）</x:v>
      </x:c>
      <x:c r="T27" s="144" t="str">
        <x:v>0x0100</x:v>
      </x:c>
      <x:c r="U27" s="144" t="str">
        <x:v>Fee动态（Bank0/Bank1；块物理地址不固定）</x:v>
      </x:c>
      <x:c r="V27" s="144" t="str">
        <x:v>NvM_Cfg.c:2008（ID 21 descriptor）</x:v>
      </x:c>
      <x:c r="W27" s="144" t="str">
        <x:v>读/写/状态码、掉电、默认恢复、版本迁移。</x:v>
      </x:c>
    </x:row>
    <x:row r="28" ht="54" customHeight="1">
      <x:c r="A28" s="144" t="n">
        <x:v>22</x:v>
      </x:c>
      <x:c r="B28" s="144" t="str">
        <x:v>Cust_SecurityAccesscounter</x:v>
      </x:c>
      <x:c r="C28" s="144" t="str">
        <x:v>诊断安全访问/安全数据</x:v>
      </x:c>
      <x:c r="D28" s="153" t="n">
        <x:v>1</x:v>
      </x:c>
      <x:c r="E28" s="153" t="n">
        <x:v>4353</x:v>
      </x:c>
      <x:c r="F28" s="144" t="str">
        <x:v>NATIVE</x:v>
      </x:c>
      <x:c r="G28" s="144" t="n">
        <x:v>1</x:v>
      </x:c>
      <x:c r="H28" s="144" t="n">
        <x:v>0</x:v>
      </x:c>
      <x:c r="I28" s="144" t="str">
        <x:v>NoCrc</x:v>
      </x:c>
      <x:c r="J28" s="144" t="n">
        <x:v>1</x:v>
      </x:c>
      <x:c r="K28" s="144" t="str">
        <x:v>否</x:v>
      </x:c>
      <x:c r="L28" s="144" t="str">
        <x:v>否</x:v>
      </x:c>
      <x:c r="M28" s="144" t="str">
        <x:v>否</x:v>
      </x:c>
      <x:c r="N28" s="144" t="str">
        <x:v>否</x:v>
      </x:c>
      <x:c r="O28" s="144" t="str">
        <x:v>否</x:v>
      </x:c>
      <x:c r="P28" s="144" t="str">
        <x:v>否</x:v>
      </x:c>
      <x:c r="Q28" s="144" t="str">
        <x:v>否</x:v>
      </x:c>
      <x:c r="R28" s="144" t="str">
        <x:v>无永久RAM（NULL）</x:v>
      </x:c>
      <x:c r="S28" s="144" t="str">
        <x:v>无ROM默认块</x:v>
      </x:c>
      <x:c r="T28" s="144" t="str">
        <x:v>0x0100</x:v>
      </x:c>
      <x:c r="U28" s="144" t="str">
        <x:v>Fee动态（Bank0/Bank1；块物理地址不固定）</x:v>
      </x:c>
      <x:c r="V28" s="144" t="str">
        <x:v>NvM_Cfg.c:2042（ID 22 descriptor）</x:v>
      </x:c>
      <x:c r="W28" s="144" t="str">
        <x:v>失败计数/密钥数据权限、持久化、掉电与信息隔离。</x:v>
      </x:c>
    </x:row>
    <x:row r="29" ht="54" customHeight="1">
      <x:c r="A29" s="144" t="n">
        <x:v>23</x:v>
      </x:c>
      <x:c r="B29" s="144" t="str">
        <x:v>Dia_SecurityAccesscounter</x:v>
      </x:c>
      <x:c r="C29" s="144" t="str">
        <x:v>诊断安全访问/安全数据</x:v>
      </x:c>
      <x:c r="D29" s="153" t="n">
        <x:v>1</x:v>
      </x:c>
      <x:c r="E29" s="153" t="n">
        <x:v>37775</x:v>
      </x:c>
      <x:c r="F29" s="144" t="str">
        <x:v>NATIVE</x:v>
      </x:c>
      <x:c r="G29" s="144" t="n">
        <x:v>1</x:v>
      </x:c>
      <x:c r="H29" s="144" t="n">
        <x:v>0</x:v>
      </x:c>
      <x:c r="I29" s="144" t="str">
        <x:v>NoCrc</x:v>
      </x:c>
      <x:c r="J29" s="144" t="n">
        <x:v>1</x:v>
      </x:c>
      <x:c r="K29" s="144" t="str">
        <x:v>是</x:v>
      </x:c>
      <x:c r="L29" s="144" t="str">
        <x:v>否</x:v>
      </x:c>
      <x:c r="M29" s="144" t="str">
        <x:v>否</x:v>
      </x:c>
      <x:c r="N29" s="144" t="str">
        <x:v>否</x:v>
      </x:c>
      <x:c r="O29" s="144" t="str">
        <x:v>否</x:v>
      </x:c>
      <x:c r="P29" s="144" t="str">
        <x:v>否</x:v>
      </x:c>
      <x:c r="Q29" s="144" t="str">
        <x:v>否</x:v>
      </x:c>
      <x:c r="R29" s="144" t="str">
        <x:v>永久RAM</x:v>
      </x:c>
      <x:c r="S29" s="144" t="str">
        <x:v>无ROM默认块</x:v>
      </x:c>
      <x:c r="T29" s="144" t="str">
        <x:v>0x0100</x:v>
      </x:c>
      <x:c r="U29" s="144" t="str">
        <x:v>Fee动态（Bank0/Bank1；块物理地址不固定）</x:v>
      </x:c>
      <x:c r="V29" s="144" t="str">
        <x:v>NvM_Cfg.c:2075（ID 23 descriptor）</x:v>
      </x:c>
      <x:c r="W29" s="144" t="str">
        <x:v>失败计数/密钥数据权限、持久化、掉电与信息隔离。</x:v>
      </x:c>
    </x:row>
    <x:row r="30" ht="54" customHeight="1">
      <x:c r="A30" s="144" t="n">
        <x:v>24</x:v>
      </x:c>
      <x:c r="B30" s="144" t="str">
        <x:v>ECUM_CFG_NVM_BLOCK</x:v>
      </x:c>
      <x:c r="C30" s="144" t="str">
        <x:v>启动/刷写状态</x:v>
      </x:c>
      <x:c r="D30" s="153" t="n">
        <x:v>4</x:v>
      </x:c>
      <x:c r="E30" s="153" t="n">
        <x:v>62199</x:v>
      </x:c>
      <x:c r="F30" s="144" t="str">
        <x:v>NATIVE</x:v>
      </x:c>
      <x:c r="G30" s="144" t="n">
        <x:v>1</x:v>
      </x:c>
      <x:c r="H30" s="144" t="n">
        <x:v>0</x:v>
      </x:c>
      <x:c r="I30" s="144" t="str">
        <x:v>NoCrc</x:v>
      </x:c>
      <x:c r="J30" s="144" t="n">
        <x:v>1</x:v>
      </x:c>
      <x:c r="K30" s="144" t="str">
        <x:v>是</x:v>
      </x:c>
      <x:c r="L30" s="144" t="str">
        <x:v>是</x:v>
      </x:c>
      <x:c r="M30" s="144" t="str">
        <x:v>否</x:v>
      </x:c>
      <x:c r="N30" s="144" t="str">
        <x:v>否</x:v>
      </x:c>
      <x:c r="O30" s="144" t="str">
        <x:v>否</x:v>
      </x:c>
      <x:c r="P30" s="144" t="str">
        <x:v>否</x:v>
      </x:c>
      <x:c r="Q30" s="144" t="str">
        <x:v>否</x:v>
      </x:c>
      <x:c r="R30" s="144" t="str">
        <x:v>永久RAM</x:v>
      </x:c>
      <x:c r="S30" s="144" t="str">
        <x:v>无ROM默认块</x:v>
      </x:c>
      <x:c r="T30" s="144" t="str">
        <x:v>0x0100</x:v>
      </x:c>
      <x:c r="U30" s="144" t="str">
        <x:v>Fee动态（Bank0/Bank1；块物理地址不固定）</x:v>
      </x:c>
      <x:c r="V30" s="144" t="str">
        <x:v>NvM_Cfg.c:2108（ID 24 descriptor）</x:v>
      </x:c>
      <x:c r="W30" s="144" t="str">
        <x:v>读/写/状态码、掉电、默认恢复、版本迁移。</x:v>
      </x:c>
    </x:row>
    <x:row r="31" ht="54" customHeight="1">
      <x:c r="A31" s="144" t="n">
        <x:v>25</x:v>
      </x:c>
      <x:c r="B31" s="144" t="str">
        <x:v>NVM_ADAS_HMISwitch</x:v>
      </x:c>
      <x:c r="C31" s="144" t="str">
        <x:v>应用/系统持久化数据</x:v>
      </x:c>
      <x:c r="D31" s="153" t="n">
        <x:v>11</x:v>
      </x:c>
      <x:c r="E31" s="153" t="n">
        <x:v>37777</x:v>
      </x:c>
      <x:c r="F31" s="144" t="str">
        <x:v>NATIVE</x:v>
      </x:c>
      <x:c r="G31" s="144" t="n">
        <x:v>1</x:v>
      </x:c>
      <x:c r="H31" s="144" t="n">
        <x:v>1</x:v>
      </x:c>
      <x:c r="I31" s="144" t="str">
        <x:v>NoCrc</x:v>
      </x:c>
      <x:c r="J31" s="144" t="n">
        <x:v>1</x:v>
      </x:c>
      <x:c r="K31" s="144" t="str">
        <x:v>是</x:v>
      </x:c>
      <x:c r="L31" s="144" t="str">
        <x:v>是</x:v>
      </x:c>
      <x:c r="M31" s="144" t="str">
        <x:v>否</x:v>
      </x:c>
      <x:c r="N31" s="144" t="str">
        <x:v>否</x:v>
      </x:c>
      <x:c r="O31" s="144" t="str">
        <x:v>否</x:v>
      </x:c>
      <x:c r="P31" s="144" t="str">
        <x:v>否</x:v>
      </x:c>
      <x:c r="Q31" s="144" t="str">
        <x:v>否</x:v>
      </x:c>
      <x:c r="R31" s="144" t="str">
        <x:v>永久RAM</x:v>
      </x:c>
      <x:c r="S31" s="144" t="str">
        <x:v>FF×11</x:v>
      </x:c>
      <x:c r="T31" s="144" t="str">
        <x:v>0x0100</x:v>
      </x:c>
      <x:c r="U31" s="144" t="str">
        <x:v>Fee动态（Bank0/Bank1；块物理地址不固定）</x:v>
      </x:c>
      <x:c r="V31" s="144" t="str">
        <x:v>NvM_Cfg.c:2142（ID 25 descriptor）</x:v>
      </x:c>
      <x:c r="W31" s="144" t="str">
        <x:v>读/写/状态码、掉电、默认恢复、版本迁移。</x:v>
      </x:c>
    </x:row>
    <x:row r="32" ht="54" customHeight="1">
      <x:c r="A32" s="144" t="n">
        <x:v>26</x:v>
      </x:c>
      <x:c r="B32" s="144" t="str">
        <x:v>NVM_Calibration_EffStatus</x:v>
      </x:c>
      <x:c r="C32" s="144" t="str">
        <x:v>标定/雷达安装参数</x:v>
      </x:c>
      <x:c r="D32" s="153" t="n">
        <x:v>1</x:v>
      </x:c>
      <x:c r="E32" s="153" t="n">
        <x:v>44020</x:v>
      </x:c>
      <x:c r="F32" s="144" t="str">
        <x:v>NATIVE</x:v>
      </x:c>
      <x:c r="G32" s="144" t="n">
        <x:v>1</x:v>
      </x:c>
      <x:c r="H32" s="144" t="n">
        <x:v>0</x:v>
      </x:c>
      <x:c r="I32" s="144" t="str">
        <x:v>NoCrc</x:v>
      </x:c>
      <x:c r="J32" s="144" t="n">
        <x:v>1</x:v>
      </x:c>
      <x:c r="K32" s="144" t="str">
        <x:v>是</x:v>
      </x:c>
      <x:c r="L32" s="144" t="str">
        <x:v>否</x:v>
      </x:c>
      <x:c r="M32" s="144" t="str">
        <x:v>否</x:v>
      </x:c>
      <x:c r="N32" s="144" t="str">
        <x:v>是</x:v>
      </x:c>
      <x:c r="O32" s="144" t="str">
        <x:v>否</x:v>
      </x:c>
      <x:c r="P32" s="144" t="str">
        <x:v>否</x:v>
      </x:c>
      <x:c r="Q32" s="144" t="str">
        <x:v>否</x:v>
      </x:c>
      <x:c r="R32" s="144" t="str">
        <x:v>永久RAM</x:v>
      </x:c>
      <x:c r="S32" s="144" t="str">
        <x:v>无ROM默认块</x:v>
      </x:c>
      <x:c r="T32" s="144" t="str">
        <x:v>0x0100</x:v>
      </x:c>
      <x:c r="U32" s="144" t="str">
        <x:v>Fee动态（Bank0/Bank1；块物理地址不固定）</x:v>
      </x:c>
      <x:c r="V32" s="144" t="str">
        <x:v>NvM_Cfg.c:2176（ID 26 descriptor）</x:v>
      </x:c>
      <x:c r="W32" s="144" t="str">
        <x:v>读/写/状态码、掉电、默认恢复、版本迁移。</x:v>
      </x:c>
    </x:row>
    <x:row r="33" ht="54" customHeight="1">
      <x:c r="A33" s="144" t="n">
        <x:v>27</x:v>
      </x:c>
      <x:c r="B33" s="144" t="str">
        <x:v>NVM_Calibration_OnlineStatus</x:v>
      </x:c>
      <x:c r="C33" s="144" t="str">
        <x:v>标定/雷达安装参数</x:v>
      </x:c>
      <x:c r="D33" s="153" t="n">
        <x:v>30</x:v>
      </x:c>
      <x:c r="E33" s="153" t="n">
        <x:v>44008</x:v>
      </x:c>
      <x:c r="F33" s="144" t="str">
        <x:v>NATIVE</x:v>
      </x:c>
      <x:c r="G33" s="144" t="n">
        <x:v>1</x:v>
      </x:c>
      <x:c r="H33" s="144" t="n">
        <x:v>0</x:v>
      </x:c>
      <x:c r="I33" s="144" t="str">
        <x:v>NoCrc</x:v>
      </x:c>
      <x:c r="J33" s="144" t="n">
        <x:v>1</x:v>
      </x:c>
      <x:c r="K33" s="144" t="str">
        <x:v>是</x:v>
      </x:c>
      <x:c r="L33" s="144" t="str">
        <x:v>否</x:v>
      </x:c>
      <x:c r="M33" s="144" t="str">
        <x:v>否</x:v>
      </x:c>
      <x:c r="N33" s="144" t="str">
        <x:v>是</x:v>
      </x:c>
      <x:c r="O33" s="144" t="str">
        <x:v>否</x:v>
      </x:c>
      <x:c r="P33" s="144" t="str">
        <x:v>否</x:v>
      </x:c>
      <x:c r="Q33" s="144" t="str">
        <x:v>否</x:v>
      </x:c>
      <x:c r="R33" s="144" t="str">
        <x:v>永久RAM</x:v>
      </x:c>
      <x:c r="S33" s="144" t="str">
        <x:v>无ROM默认块</x:v>
      </x:c>
      <x:c r="T33" s="144" t="str">
        <x:v>0x0100</x:v>
      </x:c>
      <x:c r="U33" s="144" t="str">
        <x:v>Fee动态（Bank0/Bank1；块物理地址不固定）</x:v>
      </x:c>
      <x:c r="V33" s="144" t="str">
        <x:v>NvM_Cfg.c:2210（ID 27 descriptor）</x:v>
      </x:c>
      <x:c r="W33" s="144" t="str">
        <x:v>读/写/状态码、掉电、默认恢复、版本迁移。</x:v>
      </x:c>
    </x:row>
    <x:row r="34" ht="54" customHeight="1">
      <x:c r="A34" s="144" t="n">
        <x:v>28</x:v>
      </x:c>
      <x:c r="B34" s="144" t="str">
        <x:v>NVM_Calibration_TriggerStatus</x:v>
      </x:c>
      <x:c r="C34" s="144" t="str">
        <x:v>标定/雷达安装参数</x:v>
      </x:c>
      <x:c r="D34" s="153" t="n">
        <x:v>30</x:v>
      </x:c>
      <x:c r="E34" s="153" t="n">
        <x:v>44007</x:v>
      </x:c>
      <x:c r="F34" s="144" t="str">
        <x:v>NATIVE</x:v>
      </x:c>
      <x:c r="G34" s="144" t="n">
        <x:v>1</x:v>
      </x:c>
      <x:c r="H34" s="144" t="n">
        <x:v>0</x:v>
      </x:c>
      <x:c r="I34" s="144" t="str">
        <x:v>NoCrc</x:v>
      </x:c>
      <x:c r="J34" s="144" t="n">
        <x:v>1</x:v>
      </x:c>
      <x:c r="K34" s="144" t="str">
        <x:v>是</x:v>
      </x:c>
      <x:c r="L34" s="144" t="str">
        <x:v>否</x:v>
      </x:c>
      <x:c r="M34" s="144" t="str">
        <x:v>否</x:v>
      </x:c>
      <x:c r="N34" s="144" t="str">
        <x:v>是</x:v>
      </x:c>
      <x:c r="O34" s="144" t="str">
        <x:v>否</x:v>
      </x:c>
      <x:c r="P34" s="144" t="str">
        <x:v>否</x:v>
      </x:c>
      <x:c r="Q34" s="144" t="str">
        <x:v>否</x:v>
      </x:c>
      <x:c r="R34" s="144" t="str">
        <x:v>永久RAM</x:v>
      </x:c>
      <x:c r="S34" s="144" t="str">
        <x:v>无ROM默认块</x:v>
      </x:c>
      <x:c r="T34" s="144" t="str">
        <x:v>0x0100</x:v>
      </x:c>
      <x:c r="U34" s="144" t="str">
        <x:v>Fee动态（Bank0/Bank1；块物理地址不固定）</x:v>
      </x:c>
      <x:c r="V34" s="144" t="str">
        <x:v>NvM_Cfg.c:2244（ID 28 descriptor）</x:v>
      </x:c>
      <x:c r="W34" s="144" t="str">
        <x:v>读/写/状态码、掉电、默认恢复、版本迁移。</x:v>
      </x:c>
    </x:row>
    <x:row r="35" ht="54" customHeight="1">
      <x:c r="A35" s="144" t="n">
        <x:v>29</x:v>
      </x:c>
      <x:c r="B35" s="144" t="str">
        <x:v>NVM_ID_DEM_EXTRA_INFO_0</x:v>
      </x:c>
      <x:c r="C35" s="144" t="str">
        <x:v>诊断/故障事件存储</x:v>
      </x:c>
      <x:c r="D35" s="153" t="n">
        <x:v>32</x:v>
      </x:c>
      <x:c r="E35" s="153" t="n">
        <x:v>43000</x:v>
      </x:c>
      <x:c r="F35" s="144" t="str">
        <x:v>NATIVE</x:v>
      </x:c>
      <x:c r="G35" s="144" t="n">
        <x:v>1</x:v>
      </x:c>
      <x:c r="H35" s="144" t="n">
        <x:v>0</x:v>
      </x:c>
      <x:c r="I35" s="144" t="str">
        <x:v>NoCrc</x:v>
      </x:c>
      <x:c r="J35" s="144" t="n">
        <x:v>1</x:v>
      </x:c>
      <x:c r="K35" s="144" t="str">
        <x:v>是</x:v>
      </x:c>
      <x:c r="L35" s="144" t="str">
        <x:v>否</x:v>
      </x:c>
      <x:c r="M35" s="144" t="str">
        <x:v>否</x:v>
      </x:c>
      <x:c r="N35" s="144" t="str">
        <x:v>否</x:v>
      </x:c>
      <x:c r="O35" s="144" t="str">
        <x:v>是</x:v>
      </x:c>
      <x:c r="P35" s="144" t="str">
        <x:v>否</x:v>
      </x:c>
      <x:c r="Q35" s="144" t="str">
        <x:v>否</x:v>
      </x:c>
      <x:c r="R35" s="144" t="str">
        <x:v>Explicit Sync共享镜像</x:v>
      </x:c>
      <x:c r="S35" s="144" t="str">
        <x:v>无ROM默认块</x:v>
      </x:c>
      <x:c r="T35" s="144" t="str">
        <x:v>0x0100</x:v>
      </x:c>
      <x:c r="U35" s="144" t="str">
        <x:v>Fee动态（Bank0/Bank1；块物理地址不固定）</x:v>
      </x:c>
      <x:c r="V35" s="144" t="str">
        <x:v>NvM_Cfg.c:2278（ID 29 descriptor）</x:v>
      </x:c>
      <x:c r="W35" s="144" t="str">
        <x:v>Dem并发/0x19/ClearDTC、共享镜像、满载与断电一致性。</x:v>
      </x:c>
    </x:row>
    <x:row r="36" ht="54" customHeight="1">
      <x:c r="A36" s="144" t="n">
        <x:v>30</x:v>
      </x:c>
      <x:c r="B36" s="144" t="str">
        <x:v>NVM_ID_DEM_EXTRA_INFO_1</x:v>
      </x:c>
      <x:c r="C36" s="144" t="str">
        <x:v>诊断/故障事件存储</x:v>
      </x:c>
      <x:c r="D36" s="153" t="n">
        <x:v>32</x:v>
      </x:c>
      <x:c r="E36" s="153" t="n">
        <x:v>43001</x:v>
      </x:c>
      <x:c r="F36" s="144" t="str">
        <x:v>NATIVE</x:v>
      </x:c>
      <x:c r="G36" s="144" t="n">
        <x:v>1</x:v>
      </x:c>
      <x:c r="H36" s="144" t="n">
        <x:v>0</x:v>
      </x:c>
      <x:c r="I36" s="144" t="str">
        <x:v>NoCrc</x:v>
      </x:c>
      <x:c r="J36" s="144" t="n">
        <x:v>1</x:v>
      </x:c>
      <x:c r="K36" s="144" t="str">
        <x:v>是</x:v>
      </x:c>
      <x:c r="L36" s="144" t="str">
        <x:v>否</x:v>
      </x:c>
      <x:c r="M36" s="144" t="str">
        <x:v>否</x:v>
      </x:c>
      <x:c r="N36" s="144" t="str">
        <x:v>否</x:v>
      </x:c>
      <x:c r="O36" s="144" t="str">
        <x:v>是</x:v>
      </x:c>
      <x:c r="P36" s="144" t="str">
        <x:v>否</x:v>
      </x:c>
      <x:c r="Q36" s="144" t="str">
        <x:v>否</x:v>
      </x:c>
      <x:c r="R36" s="144" t="str">
        <x:v>Explicit Sync共享镜像</x:v>
      </x:c>
      <x:c r="S36" s="144" t="str">
        <x:v>无ROM默认块</x:v>
      </x:c>
      <x:c r="T36" s="144" t="str">
        <x:v>0x0100</x:v>
      </x:c>
      <x:c r="U36" s="144" t="str">
        <x:v>Fee动态（Bank0/Bank1；块物理地址不固定）</x:v>
      </x:c>
      <x:c r="V36" s="144" t="str">
        <x:v>NvM_Cfg.c:2312（ID 30 descriptor）</x:v>
      </x:c>
      <x:c r="W36" s="144" t="str">
        <x:v>Dem并发/0x19/ClearDTC、共享镜像、满载与断电一致性。</x:v>
      </x:c>
    </x:row>
    <x:row r="37" ht="54" customHeight="1">
      <x:c r="A37" s="144" t="n">
        <x:v>31</x:v>
      </x:c>
      <x:c r="B37" s="144" t="str">
        <x:v>NVM_ID_DEM_EXTRA_INFO_10</x:v>
      </x:c>
      <x:c r="C37" s="144" t="str">
        <x:v>诊断/故障事件存储</x:v>
      </x:c>
      <x:c r="D37" s="153" t="n">
        <x:v>32</x:v>
      </x:c>
      <x:c r="E37" s="153" t="n">
        <x:v>43010</x:v>
      </x:c>
      <x:c r="F37" s="144" t="str">
        <x:v>NATIVE</x:v>
      </x:c>
      <x:c r="G37" s="144" t="n">
        <x:v>1</x:v>
      </x:c>
      <x:c r="H37" s="144" t="n">
        <x:v>0</x:v>
      </x:c>
      <x:c r="I37" s="144" t="str">
        <x:v>NoCrc</x:v>
      </x:c>
      <x:c r="J37" s="144" t="n">
        <x:v>1</x:v>
      </x:c>
      <x:c r="K37" s="144" t="str">
        <x:v>是</x:v>
      </x:c>
      <x:c r="L37" s="144" t="str">
        <x:v>否</x:v>
      </x:c>
      <x:c r="M37" s="144" t="str">
        <x:v>否</x:v>
      </x:c>
      <x:c r="N37" s="144" t="str">
        <x:v>否</x:v>
      </x:c>
      <x:c r="O37" s="144" t="str">
        <x:v>是</x:v>
      </x:c>
      <x:c r="P37" s="144" t="str">
        <x:v>否</x:v>
      </x:c>
      <x:c r="Q37" s="144" t="str">
        <x:v>否</x:v>
      </x:c>
      <x:c r="R37" s="144" t="str">
        <x:v>Explicit Sync共享镜像</x:v>
      </x:c>
      <x:c r="S37" s="144" t="str">
        <x:v>无ROM默认块</x:v>
      </x:c>
      <x:c r="T37" s="144" t="str">
        <x:v>0x0100</x:v>
      </x:c>
      <x:c r="U37" s="144" t="str">
        <x:v>Fee动态（Bank0/Bank1；块物理地址不固定）</x:v>
      </x:c>
      <x:c r="V37" s="144" t="str">
        <x:v>NvM_Cfg.c:2346（ID 31 descriptor）</x:v>
      </x:c>
      <x:c r="W37" s="144" t="str">
        <x:v>Dem并发/0x19/ClearDTC、共享镜像、满载与断电一致性。</x:v>
      </x:c>
    </x:row>
    <x:row r="38" ht="54" customHeight="1">
      <x:c r="A38" s="144" t="n">
        <x:v>32</x:v>
      </x:c>
      <x:c r="B38" s="144" t="str">
        <x:v>NVM_ID_DEM_EXTRA_INFO_11</x:v>
      </x:c>
      <x:c r="C38" s="144" t="str">
        <x:v>诊断/故障事件存储</x:v>
      </x:c>
      <x:c r="D38" s="153" t="n">
        <x:v>32</x:v>
      </x:c>
      <x:c r="E38" s="153" t="n">
        <x:v>43011</x:v>
      </x:c>
      <x:c r="F38" s="144" t="str">
        <x:v>NATIVE</x:v>
      </x:c>
      <x:c r="G38" s="144" t="n">
        <x:v>1</x:v>
      </x:c>
      <x:c r="H38" s="144" t="n">
        <x:v>0</x:v>
      </x:c>
      <x:c r="I38" s="144" t="str">
        <x:v>NoCrc</x:v>
      </x:c>
      <x:c r="J38" s="144" t="n">
        <x:v>1</x:v>
      </x:c>
      <x:c r="K38" s="144" t="str">
        <x:v>是</x:v>
      </x:c>
      <x:c r="L38" s="144" t="str">
        <x:v>否</x:v>
      </x:c>
      <x:c r="M38" s="144" t="str">
        <x:v>否</x:v>
      </x:c>
      <x:c r="N38" s="144" t="str">
        <x:v>否</x:v>
      </x:c>
      <x:c r="O38" s="144" t="str">
        <x:v>是</x:v>
      </x:c>
      <x:c r="P38" s="144" t="str">
        <x:v>否</x:v>
      </x:c>
      <x:c r="Q38" s="144" t="str">
        <x:v>否</x:v>
      </x:c>
      <x:c r="R38" s="144" t="str">
        <x:v>Explicit Sync共享镜像</x:v>
      </x:c>
      <x:c r="S38" s="144" t="str">
        <x:v>无ROM默认块</x:v>
      </x:c>
      <x:c r="T38" s="144" t="str">
        <x:v>0x0100</x:v>
      </x:c>
      <x:c r="U38" s="144" t="str">
        <x:v>Fee动态（Bank0/Bank1；块物理地址不固定）</x:v>
      </x:c>
      <x:c r="V38" s="144" t="str">
        <x:v>NvM_Cfg.c:2380（ID 32 descriptor）</x:v>
      </x:c>
      <x:c r="W38" s="144" t="str">
        <x:v>Dem并发/0x19/ClearDTC、共享镜像、满载与断电一致性。</x:v>
      </x:c>
    </x:row>
    <x:row r="39" ht="54" customHeight="1">
      <x:c r="A39" s="144" t="n">
        <x:v>33</x:v>
      </x:c>
      <x:c r="B39" s="144" t="str">
        <x:v>NVM_ID_DEM_EXTRA_INFO_12</x:v>
      </x:c>
      <x:c r="C39" s="144" t="str">
        <x:v>诊断/故障事件存储</x:v>
      </x:c>
      <x:c r="D39" s="153" t="n">
        <x:v>32</x:v>
      </x:c>
      <x:c r="E39" s="153" t="n">
        <x:v>43012</x:v>
      </x:c>
      <x:c r="F39" s="144" t="str">
        <x:v>NATIVE</x:v>
      </x:c>
      <x:c r="G39" s="144" t="n">
        <x:v>1</x:v>
      </x:c>
      <x:c r="H39" s="144" t="n">
        <x:v>0</x:v>
      </x:c>
      <x:c r="I39" s="144" t="str">
        <x:v>NoCrc</x:v>
      </x:c>
      <x:c r="J39" s="144" t="n">
        <x:v>1</x:v>
      </x:c>
      <x:c r="K39" s="144" t="str">
        <x:v>是</x:v>
      </x:c>
      <x:c r="L39" s="144" t="str">
        <x:v>否</x:v>
      </x:c>
      <x:c r="M39" s="144" t="str">
        <x:v>否</x:v>
      </x:c>
      <x:c r="N39" s="144" t="str">
        <x:v>否</x:v>
      </x:c>
      <x:c r="O39" s="144" t="str">
        <x:v>是</x:v>
      </x:c>
      <x:c r="P39" s="144" t="str">
        <x:v>否</x:v>
      </x:c>
      <x:c r="Q39" s="144" t="str">
        <x:v>否</x:v>
      </x:c>
      <x:c r="R39" s="144" t="str">
        <x:v>Explicit Sync共享镜像</x:v>
      </x:c>
      <x:c r="S39" s="144" t="str">
        <x:v>无ROM默认块</x:v>
      </x:c>
      <x:c r="T39" s="144" t="str">
        <x:v>0x0100</x:v>
      </x:c>
      <x:c r="U39" s="144" t="str">
        <x:v>Fee动态（Bank0/Bank1；块物理地址不固定）</x:v>
      </x:c>
      <x:c r="V39" s="144" t="str">
        <x:v>NvM_Cfg.c:2414（ID 33 descriptor）</x:v>
      </x:c>
      <x:c r="W39" s="144" t="str">
        <x:v>Dem并发/0x19/ClearDTC、共享镜像、满载与断电一致性。</x:v>
      </x:c>
    </x:row>
    <x:row r="40" ht="54" customHeight="1">
      <x:c r="A40" s="144" t="n">
        <x:v>34</x:v>
      </x:c>
      <x:c r="B40" s="144" t="str">
        <x:v>NVM_ID_DEM_EXTRA_INFO_13</x:v>
      </x:c>
      <x:c r="C40" s="144" t="str">
        <x:v>诊断/故障事件存储</x:v>
      </x:c>
      <x:c r="D40" s="153" t="n">
        <x:v>32</x:v>
      </x:c>
      <x:c r="E40" s="153" t="n">
        <x:v>43013</x:v>
      </x:c>
      <x:c r="F40" s="144" t="str">
        <x:v>NATIVE</x:v>
      </x:c>
      <x:c r="G40" s="144" t="n">
        <x:v>1</x:v>
      </x:c>
      <x:c r="H40" s="144" t="n">
        <x:v>0</x:v>
      </x:c>
      <x:c r="I40" s="144" t="str">
        <x:v>NoCrc</x:v>
      </x:c>
      <x:c r="J40" s="144" t="n">
        <x:v>1</x:v>
      </x:c>
      <x:c r="K40" s="144" t="str">
        <x:v>是</x:v>
      </x:c>
      <x:c r="L40" s="144" t="str">
        <x:v>否</x:v>
      </x:c>
      <x:c r="M40" s="144" t="str">
        <x:v>否</x:v>
      </x:c>
      <x:c r="N40" s="144" t="str">
        <x:v>否</x:v>
      </x:c>
      <x:c r="O40" s="144" t="str">
        <x:v>是</x:v>
      </x:c>
      <x:c r="P40" s="144" t="str">
        <x:v>否</x:v>
      </x:c>
      <x:c r="Q40" s="144" t="str">
        <x:v>否</x:v>
      </x:c>
      <x:c r="R40" s="144" t="str">
        <x:v>Explicit Sync共享镜像</x:v>
      </x:c>
      <x:c r="S40" s="144" t="str">
        <x:v>无ROM默认块</x:v>
      </x:c>
      <x:c r="T40" s="144" t="str">
        <x:v>0x0100</x:v>
      </x:c>
      <x:c r="U40" s="144" t="str">
        <x:v>Fee动态（Bank0/Bank1；块物理地址不固定）</x:v>
      </x:c>
      <x:c r="V40" s="144" t="str">
        <x:v>NvM_Cfg.c:2448（ID 34 descriptor）</x:v>
      </x:c>
      <x:c r="W40" s="144" t="str">
        <x:v>Dem并发/0x19/ClearDTC、共享镜像、满载与断电一致性。</x:v>
      </x:c>
    </x:row>
    <x:row r="41" ht="54" customHeight="1">
      <x:c r="A41" s="144" t="n">
        <x:v>35</x:v>
      </x:c>
      <x:c r="B41" s="144" t="str">
        <x:v>NVM_ID_DEM_EXTRA_INFO_14</x:v>
      </x:c>
      <x:c r="C41" s="144" t="str">
        <x:v>诊断/故障事件存储</x:v>
      </x:c>
      <x:c r="D41" s="153" t="n">
        <x:v>32</x:v>
      </x:c>
      <x:c r="E41" s="153" t="n">
        <x:v>43014</x:v>
      </x:c>
      <x:c r="F41" s="144" t="str">
        <x:v>NATIVE</x:v>
      </x:c>
      <x:c r="G41" s="144" t="n">
        <x:v>1</x:v>
      </x:c>
      <x:c r="H41" s="144" t="n">
        <x:v>0</x:v>
      </x:c>
      <x:c r="I41" s="144" t="str">
        <x:v>NoCrc</x:v>
      </x:c>
      <x:c r="J41" s="144" t="n">
        <x:v>1</x:v>
      </x:c>
      <x:c r="K41" s="144" t="str">
        <x:v>是</x:v>
      </x:c>
      <x:c r="L41" s="144" t="str">
        <x:v>否</x:v>
      </x:c>
      <x:c r="M41" s="144" t="str">
        <x:v>否</x:v>
      </x:c>
      <x:c r="N41" s="144" t="str">
        <x:v>否</x:v>
      </x:c>
      <x:c r="O41" s="144" t="str">
        <x:v>是</x:v>
      </x:c>
      <x:c r="P41" s="144" t="str">
        <x:v>否</x:v>
      </x:c>
      <x:c r="Q41" s="144" t="str">
        <x:v>否</x:v>
      </x:c>
      <x:c r="R41" s="144" t="str">
        <x:v>Explicit Sync共享镜像</x:v>
      </x:c>
      <x:c r="S41" s="144" t="str">
        <x:v>无ROM默认块</x:v>
      </x:c>
      <x:c r="T41" s="144" t="str">
        <x:v>0x0100</x:v>
      </x:c>
      <x:c r="U41" s="144" t="str">
        <x:v>Fee动态（Bank0/Bank1；块物理地址不固定）</x:v>
      </x:c>
      <x:c r="V41" s="144" t="str">
        <x:v>NvM_Cfg.c:2482（ID 35 descriptor）</x:v>
      </x:c>
      <x:c r="W41" s="144" t="str">
        <x:v>Dem并发/0x19/ClearDTC、共享镜像、满载与断电一致性。</x:v>
      </x:c>
    </x:row>
    <x:row r="42" ht="54" customHeight="1">
      <x:c r="A42" s="144" t="n">
        <x:v>36</x:v>
      </x:c>
      <x:c r="B42" s="144" t="str">
        <x:v>NVM_ID_DEM_EXTRA_INFO_15</x:v>
      </x:c>
      <x:c r="C42" s="144" t="str">
        <x:v>诊断/故障事件存储</x:v>
      </x:c>
      <x:c r="D42" s="153" t="n">
        <x:v>32</x:v>
      </x:c>
      <x:c r="E42" s="153" t="n">
        <x:v>43015</x:v>
      </x:c>
      <x:c r="F42" s="144" t="str">
        <x:v>NATIVE</x:v>
      </x:c>
      <x:c r="G42" s="144" t="n">
        <x:v>1</x:v>
      </x:c>
      <x:c r="H42" s="144" t="n">
        <x:v>0</x:v>
      </x:c>
      <x:c r="I42" s="144" t="str">
        <x:v>NoCrc</x:v>
      </x:c>
      <x:c r="J42" s="144" t="n">
        <x:v>1</x:v>
      </x:c>
      <x:c r="K42" s="144" t="str">
        <x:v>是</x:v>
      </x:c>
      <x:c r="L42" s="144" t="str">
        <x:v>否</x:v>
      </x:c>
      <x:c r="M42" s="144" t="str">
        <x:v>否</x:v>
      </x:c>
      <x:c r="N42" s="144" t="str">
        <x:v>否</x:v>
      </x:c>
      <x:c r="O42" s="144" t="str">
        <x:v>是</x:v>
      </x:c>
      <x:c r="P42" s="144" t="str">
        <x:v>否</x:v>
      </x:c>
      <x:c r="Q42" s="144" t="str">
        <x:v>否</x:v>
      </x:c>
      <x:c r="R42" s="144" t="str">
        <x:v>Explicit Sync共享镜像</x:v>
      </x:c>
      <x:c r="S42" s="144" t="str">
        <x:v>无ROM默认块</x:v>
      </x:c>
      <x:c r="T42" s="144" t="str">
        <x:v>0x0100</x:v>
      </x:c>
      <x:c r="U42" s="144" t="str">
        <x:v>Fee动态（Bank0/Bank1；块物理地址不固定）</x:v>
      </x:c>
      <x:c r="V42" s="144" t="str">
        <x:v>NvM_Cfg.c:2516（ID 36 descriptor）</x:v>
      </x:c>
      <x:c r="W42" s="144" t="str">
        <x:v>Dem并发/0x19/ClearDTC、共享镜像、满载与断电一致性。</x:v>
      </x:c>
    </x:row>
    <x:row r="43" ht="54" customHeight="1">
      <x:c r="A43" s="144" t="n">
        <x:v>37</x:v>
      </x:c>
      <x:c r="B43" s="144" t="str">
        <x:v>NVM_ID_DEM_EXTRA_INFO_16</x:v>
      </x:c>
      <x:c r="C43" s="144" t="str">
        <x:v>诊断/故障事件存储</x:v>
      </x:c>
      <x:c r="D43" s="153" t="n">
        <x:v>32</x:v>
      </x:c>
      <x:c r="E43" s="153" t="n">
        <x:v>43016</x:v>
      </x:c>
      <x:c r="F43" s="144" t="str">
        <x:v>NATIVE</x:v>
      </x:c>
      <x:c r="G43" s="144" t="n">
        <x:v>1</x:v>
      </x:c>
      <x:c r="H43" s="144" t="n">
        <x:v>0</x:v>
      </x:c>
      <x:c r="I43" s="144" t="str">
        <x:v>NoCrc</x:v>
      </x:c>
      <x:c r="J43" s="144" t="n">
        <x:v>1</x:v>
      </x:c>
      <x:c r="K43" s="144" t="str">
        <x:v>是</x:v>
      </x:c>
      <x:c r="L43" s="144" t="str">
        <x:v>否</x:v>
      </x:c>
      <x:c r="M43" s="144" t="str">
        <x:v>否</x:v>
      </x:c>
      <x:c r="N43" s="144" t="str">
        <x:v>否</x:v>
      </x:c>
      <x:c r="O43" s="144" t="str">
        <x:v>是</x:v>
      </x:c>
      <x:c r="P43" s="144" t="str">
        <x:v>否</x:v>
      </x:c>
      <x:c r="Q43" s="144" t="str">
        <x:v>否</x:v>
      </x:c>
      <x:c r="R43" s="144" t="str">
        <x:v>Explicit Sync共享镜像</x:v>
      </x:c>
      <x:c r="S43" s="144" t="str">
        <x:v>无ROM默认块</x:v>
      </x:c>
      <x:c r="T43" s="144" t="str">
        <x:v>0x0100</x:v>
      </x:c>
      <x:c r="U43" s="144" t="str">
        <x:v>Fee动态（Bank0/Bank1；块物理地址不固定）</x:v>
      </x:c>
      <x:c r="V43" s="144" t="str">
        <x:v>NvM_Cfg.c:2550（ID 37 descriptor）</x:v>
      </x:c>
      <x:c r="W43" s="144" t="str">
        <x:v>Dem并发/0x19/ClearDTC、共享镜像、满载与断电一致性。</x:v>
      </x:c>
    </x:row>
    <x:row r="44" ht="54" customHeight="1">
      <x:c r="A44" s="144" t="n">
        <x:v>38</x:v>
      </x:c>
      <x:c r="B44" s="144" t="str">
        <x:v>NVM_ID_DEM_EXTRA_INFO_17</x:v>
      </x:c>
      <x:c r="C44" s="144" t="str">
        <x:v>诊断/故障事件存储</x:v>
      </x:c>
      <x:c r="D44" s="153" t="n">
        <x:v>32</x:v>
      </x:c>
      <x:c r="E44" s="153" t="n">
        <x:v>43017</x:v>
      </x:c>
      <x:c r="F44" s="144" t="str">
        <x:v>NATIVE</x:v>
      </x:c>
      <x:c r="G44" s="144" t="n">
        <x:v>1</x:v>
      </x:c>
      <x:c r="H44" s="144" t="n">
        <x:v>0</x:v>
      </x:c>
      <x:c r="I44" s="144" t="str">
        <x:v>NoCrc</x:v>
      </x:c>
      <x:c r="J44" s="144" t="n">
        <x:v>1</x:v>
      </x:c>
      <x:c r="K44" s="144" t="str">
        <x:v>是</x:v>
      </x:c>
      <x:c r="L44" s="144" t="str">
        <x:v>否</x:v>
      </x:c>
      <x:c r="M44" s="144" t="str">
        <x:v>否</x:v>
      </x:c>
      <x:c r="N44" s="144" t="str">
        <x:v>否</x:v>
      </x:c>
      <x:c r="O44" s="144" t="str">
        <x:v>是</x:v>
      </x:c>
      <x:c r="P44" s="144" t="str">
        <x:v>否</x:v>
      </x:c>
      <x:c r="Q44" s="144" t="str">
        <x:v>否</x:v>
      </x:c>
      <x:c r="R44" s="144" t="str">
        <x:v>Explicit Sync共享镜像</x:v>
      </x:c>
      <x:c r="S44" s="144" t="str">
        <x:v>无ROM默认块</x:v>
      </x:c>
      <x:c r="T44" s="144" t="str">
        <x:v>0x0100</x:v>
      </x:c>
      <x:c r="U44" s="144" t="str">
        <x:v>Fee动态（Bank0/Bank1；块物理地址不固定）</x:v>
      </x:c>
      <x:c r="V44" s="144" t="str">
        <x:v>NvM_Cfg.c:2584（ID 38 descriptor）</x:v>
      </x:c>
      <x:c r="W44" s="144" t="str">
        <x:v>Dem并发/0x19/ClearDTC、共享镜像、满载与断电一致性。</x:v>
      </x:c>
    </x:row>
    <x:row r="45" ht="54" customHeight="1">
      <x:c r="A45" s="144" t="n">
        <x:v>39</x:v>
      </x:c>
      <x:c r="B45" s="144" t="str">
        <x:v>NVM_ID_DEM_EXTRA_INFO_18</x:v>
      </x:c>
      <x:c r="C45" s="144" t="str">
        <x:v>诊断/故障事件存储</x:v>
      </x:c>
      <x:c r="D45" s="153" t="n">
        <x:v>32</x:v>
      </x:c>
      <x:c r="E45" s="153" t="n">
        <x:v>43018</x:v>
      </x:c>
      <x:c r="F45" s="144" t="str">
        <x:v>NATIVE</x:v>
      </x:c>
      <x:c r="G45" s="144" t="n">
        <x:v>1</x:v>
      </x:c>
      <x:c r="H45" s="144" t="n">
        <x:v>0</x:v>
      </x:c>
      <x:c r="I45" s="144" t="str">
        <x:v>NoCrc</x:v>
      </x:c>
      <x:c r="J45" s="144" t="n">
        <x:v>1</x:v>
      </x:c>
      <x:c r="K45" s="144" t="str">
        <x:v>是</x:v>
      </x:c>
      <x:c r="L45" s="144" t="str">
        <x:v>否</x:v>
      </x:c>
      <x:c r="M45" s="144" t="str">
        <x:v>否</x:v>
      </x:c>
      <x:c r="N45" s="144" t="str">
        <x:v>否</x:v>
      </x:c>
      <x:c r="O45" s="144" t="str">
        <x:v>是</x:v>
      </x:c>
      <x:c r="P45" s="144" t="str">
        <x:v>否</x:v>
      </x:c>
      <x:c r="Q45" s="144" t="str">
        <x:v>否</x:v>
      </x:c>
      <x:c r="R45" s="144" t="str">
        <x:v>Explicit Sync共享镜像</x:v>
      </x:c>
      <x:c r="S45" s="144" t="str">
        <x:v>无ROM默认块</x:v>
      </x:c>
      <x:c r="T45" s="144" t="str">
        <x:v>0x0100</x:v>
      </x:c>
      <x:c r="U45" s="144" t="str">
        <x:v>Fee动态（Bank0/Bank1；块物理地址不固定）</x:v>
      </x:c>
      <x:c r="V45" s="144" t="str">
        <x:v>NvM_Cfg.c:2618（ID 39 descriptor）</x:v>
      </x:c>
      <x:c r="W45" s="144" t="str">
        <x:v>Dem并发/0x19/ClearDTC、共享镜像、满载与断电一致性。</x:v>
      </x:c>
    </x:row>
    <x:row r="46" ht="54" customHeight="1">
      <x:c r="A46" s="144" t="n">
        <x:v>40</x:v>
      </x:c>
      <x:c r="B46" s="144" t="str">
        <x:v>NVM_ID_DEM_EXTRA_INFO_19</x:v>
      </x:c>
      <x:c r="C46" s="144" t="str">
        <x:v>诊断/故障事件存储</x:v>
      </x:c>
      <x:c r="D46" s="153" t="n">
        <x:v>32</x:v>
      </x:c>
      <x:c r="E46" s="153" t="n">
        <x:v>43019</x:v>
      </x:c>
      <x:c r="F46" s="144" t="str">
        <x:v>NATIVE</x:v>
      </x:c>
      <x:c r="G46" s="144" t="n">
        <x:v>1</x:v>
      </x:c>
      <x:c r="H46" s="144" t="n">
        <x:v>0</x:v>
      </x:c>
      <x:c r="I46" s="144" t="str">
        <x:v>NoCrc</x:v>
      </x:c>
      <x:c r="J46" s="144" t="n">
        <x:v>1</x:v>
      </x:c>
      <x:c r="K46" s="144" t="str">
        <x:v>是</x:v>
      </x:c>
      <x:c r="L46" s="144" t="str">
        <x:v>否</x:v>
      </x:c>
      <x:c r="M46" s="144" t="str">
        <x:v>否</x:v>
      </x:c>
      <x:c r="N46" s="144" t="str">
        <x:v>否</x:v>
      </x:c>
      <x:c r="O46" s="144" t="str">
        <x:v>是</x:v>
      </x:c>
      <x:c r="P46" s="144" t="str">
        <x:v>否</x:v>
      </x:c>
      <x:c r="Q46" s="144" t="str">
        <x:v>否</x:v>
      </x:c>
      <x:c r="R46" s="144" t="str">
        <x:v>Explicit Sync共享镜像</x:v>
      </x:c>
      <x:c r="S46" s="144" t="str">
        <x:v>无ROM默认块</x:v>
      </x:c>
      <x:c r="T46" s="144" t="str">
        <x:v>0x0100</x:v>
      </x:c>
      <x:c r="U46" s="144" t="str">
        <x:v>Fee动态（Bank0/Bank1；块物理地址不固定）</x:v>
      </x:c>
      <x:c r="V46" s="144" t="str">
        <x:v>NvM_Cfg.c:2652（ID 40 descriptor）</x:v>
      </x:c>
      <x:c r="W46" s="144" t="str">
        <x:v>Dem并发/0x19/ClearDTC、共享镜像、满载与断电一致性。</x:v>
      </x:c>
    </x:row>
    <x:row r="47" ht="54" customHeight="1">
      <x:c r="A47" s="144" t="n">
        <x:v>41</x:v>
      </x:c>
      <x:c r="B47" s="144" t="str">
        <x:v>NVM_ID_DEM_EXTRA_INFO_2</x:v>
      </x:c>
      <x:c r="C47" s="144" t="str">
        <x:v>诊断/故障事件存储</x:v>
      </x:c>
      <x:c r="D47" s="153" t="n">
        <x:v>32</x:v>
      </x:c>
      <x:c r="E47" s="153" t="n">
        <x:v>43002</x:v>
      </x:c>
      <x:c r="F47" s="144" t="str">
        <x:v>NATIVE</x:v>
      </x:c>
      <x:c r="G47" s="144" t="n">
        <x:v>1</x:v>
      </x:c>
      <x:c r="H47" s="144" t="n">
        <x:v>0</x:v>
      </x:c>
      <x:c r="I47" s="144" t="str">
        <x:v>NoCrc</x:v>
      </x:c>
      <x:c r="J47" s="144" t="n">
        <x:v>1</x:v>
      </x:c>
      <x:c r="K47" s="144" t="str">
        <x:v>是</x:v>
      </x:c>
      <x:c r="L47" s="144" t="str">
        <x:v>否</x:v>
      </x:c>
      <x:c r="M47" s="144" t="str">
        <x:v>否</x:v>
      </x:c>
      <x:c r="N47" s="144" t="str">
        <x:v>否</x:v>
      </x:c>
      <x:c r="O47" s="144" t="str">
        <x:v>是</x:v>
      </x:c>
      <x:c r="P47" s="144" t="str">
        <x:v>否</x:v>
      </x:c>
      <x:c r="Q47" s="144" t="str">
        <x:v>否</x:v>
      </x:c>
      <x:c r="R47" s="144" t="str">
        <x:v>Explicit Sync共享镜像</x:v>
      </x:c>
      <x:c r="S47" s="144" t="str">
        <x:v>无ROM默认块</x:v>
      </x:c>
      <x:c r="T47" s="144" t="str">
        <x:v>0x0100</x:v>
      </x:c>
      <x:c r="U47" s="144" t="str">
        <x:v>Fee动态（Bank0/Bank1；块物理地址不固定）</x:v>
      </x:c>
      <x:c r="V47" s="144" t="str">
        <x:v>NvM_Cfg.c:2686（ID 41 descriptor）</x:v>
      </x:c>
      <x:c r="W47" s="144" t="str">
        <x:v>Dem并发/0x19/ClearDTC、共享镜像、满载与断电一致性。</x:v>
      </x:c>
    </x:row>
    <x:row r="48" ht="54" customHeight="1">
      <x:c r="A48" s="144" t="n">
        <x:v>42</x:v>
      </x:c>
      <x:c r="B48" s="144" t="str">
        <x:v>NVM_ID_DEM_EXTRA_INFO_3</x:v>
      </x:c>
      <x:c r="C48" s="144" t="str">
        <x:v>诊断/故障事件存储</x:v>
      </x:c>
      <x:c r="D48" s="153" t="n">
        <x:v>32</x:v>
      </x:c>
      <x:c r="E48" s="153" t="n">
        <x:v>43003</x:v>
      </x:c>
      <x:c r="F48" s="144" t="str">
        <x:v>NATIVE</x:v>
      </x:c>
      <x:c r="G48" s="144" t="n">
        <x:v>1</x:v>
      </x:c>
      <x:c r="H48" s="144" t="n">
        <x:v>0</x:v>
      </x:c>
      <x:c r="I48" s="144" t="str">
        <x:v>NoCrc</x:v>
      </x:c>
      <x:c r="J48" s="144" t="n">
        <x:v>1</x:v>
      </x:c>
      <x:c r="K48" s="144" t="str">
        <x:v>是</x:v>
      </x:c>
      <x:c r="L48" s="144" t="str">
        <x:v>否</x:v>
      </x:c>
      <x:c r="M48" s="144" t="str">
        <x:v>否</x:v>
      </x:c>
      <x:c r="N48" s="144" t="str">
        <x:v>否</x:v>
      </x:c>
      <x:c r="O48" s="144" t="str">
        <x:v>是</x:v>
      </x:c>
      <x:c r="P48" s="144" t="str">
        <x:v>否</x:v>
      </x:c>
      <x:c r="Q48" s="144" t="str">
        <x:v>否</x:v>
      </x:c>
      <x:c r="R48" s="144" t="str">
        <x:v>Explicit Sync共享镜像</x:v>
      </x:c>
      <x:c r="S48" s="144" t="str">
        <x:v>无ROM默认块</x:v>
      </x:c>
      <x:c r="T48" s="144" t="str">
        <x:v>0x0100</x:v>
      </x:c>
      <x:c r="U48" s="144" t="str">
        <x:v>Fee动态（Bank0/Bank1；块物理地址不固定）</x:v>
      </x:c>
      <x:c r="V48" s="144" t="str">
        <x:v>NvM_Cfg.c:2720（ID 42 descriptor）</x:v>
      </x:c>
      <x:c r="W48" s="144" t="str">
        <x:v>Dem并发/0x19/ClearDTC、共享镜像、满载与断电一致性。</x:v>
      </x:c>
    </x:row>
    <x:row r="49" ht="54" customHeight="1">
      <x:c r="A49" s="144" t="n">
        <x:v>43</x:v>
      </x:c>
      <x:c r="B49" s="144" t="str">
        <x:v>NVM_ID_DEM_EXTRA_INFO_4</x:v>
      </x:c>
      <x:c r="C49" s="144" t="str">
        <x:v>诊断/故障事件存储</x:v>
      </x:c>
      <x:c r="D49" s="153" t="n">
        <x:v>32</x:v>
      </x:c>
      <x:c r="E49" s="153" t="n">
        <x:v>43004</x:v>
      </x:c>
      <x:c r="F49" s="144" t="str">
        <x:v>NATIVE</x:v>
      </x:c>
      <x:c r="G49" s="144" t="n">
        <x:v>1</x:v>
      </x:c>
      <x:c r="H49" s="144" t="n">
        <x:v>0</x:v>
      </x:c>
      <x:c r="I49" s="144" t="str">
        <x:v>NoCrc</x:v>
      </x:c>
      <x:c r="J49" s="144" t="n">
        <x:v>1</x:v>
      </x:c>
      <x:c r="K49" s="144" t="str">
        <x:v>是</x:v>
      </x:c>
      <x:c r="L49" s="144" t="str">
        <x:v>否</x:v>
      </x:c>
      <x:c r="M49" s="144" t="str">
        <x:v>否</x:v>
      </x:c>
      <x:c r="N49" s="144" t="str">
        <x:v>否</x:v>
      </x:c>
      <x:c r="O49" s="144" t="str">
        <x:v>是</x:v>
      </x:c>
      <x:c r="P49" s="144" t="str">
        <x:v>否</x:v>
      </x:c>
      <x:c r="Q49" s="144" t="str">
        <x:v>否</x:v>
      </x:c>
      <x:c r="R49" s="144" t="str">
        <x:v>Explicit Sync共享镜像</x:v>
      </x:c>
      <x:c r="S49" s="144" t="str">
        <x:v>无ROM默认块</x:v>
      </x:c>
      <x:c r="T49" s="144" t="str">
        <x:v>0x0100</x:v>
      </x:c>
      <x:c r="U49" s="144" t="str">
        <x:v>Fee动态（Bank0/Bank1；块物理地址不固定）</x:v>
      </x:c>
      <x:c r="V49" s="144" t="str">
        <x:v>NvM_Cfg.c:2754（ID 43 descriptor）</x:v>
      </x:c>
      <x:c r="W49" s="144" t="str">
        <x:v>Dem并发/0x19/ClearDTC、共享镜像、满载与断电一致性。</x:v>
      </x:c>
    </x:row>
    <x:row r="50" ht="54" customHeight="1">
      <x:c r="A50" s="144" t="n">
        <x:v>44</x:v>
      </x:c>
      <x:c r="B50" s="144" t="str">
        <x:v>NVM_ID_DEM_EXTRA_INFO_5</x:v>
      </x:c>
      <x:c r="C50" s="144" t="str">
        <x:v>诊断/故障事件存储</x:v>
      </x:c>
      <x:c r="D50" s="153" t="n">
        <x:v>32</x:v>
      </x:c>
      <x:c r="E50" s="153" t="n">
        <x:v>43005</x:v>
      </x:c>
      <x:c r="F50" s="144" t="str">
        <x:v>NATIVE</x:v>
      </x:c>
      <x:c r="G50" s="144" t="n">
        <x:v>1</x:v>
      </x:c>
      <x:c r="H50" s="144" t="n">
        <x:v>0</x:v>
      </x:c>
      <x:c r="I50" s="144" t="str">
        <x:v>NoCrc</x:v>
      </x:c>
      <x:c r="J50" s="144" t="n">
        <x:v>1</x:v>
      </x:c>
      <x:c r="K50" s="144" t="str">
        <x:v>是</x:v>
      </x:c>
      <x:c r="L50" s="144" t="str">
        <x:v>否</x:v>
      </x:c>
      <x:c r="M50" s="144" t="str">
        <x:v>否</x:v>
      </x:c>
      <x:c r="N50" s="144" t="str">
        <x:v>否</x:v>
      </x:c>
      <x:c r="O50" s="144" t="str">
        <x:v>是</x:v>
      </x:c>
      <x:c r="P50" s="144" t="str">
        <x:v>否</x:v>
      </x:c>
      <x:c r="Q50" s="144" t="str">
        <x:v>否</x:v>
      </x:c>
      <x:c r="R50" s="144" t="str">
        <x:v>Explicit Sync共享镜像</x:v>
      </x:c>
      <x:c r="S50" s="144" t="str">
        <x:v>无ROM默认块</x:v>
      </x:c>
      <x:c r="T50" s="144" t="str">
        <x:v>0x0100</x:v>
      </x:c>
      <x:c r="U50" s="144" t="str">
        <x:v>Fee动态（Bank0/Bank1；块物理地址不固定）</x:v>
      </x:c>
      <x:c r="V50" s="144" t="str">
        <x:v>NvM_Cfg.c:2788（ID 44 descriptor）</x:v>
      </x:c>
      <x:c r="W50" s="144" t="str">
        <x:v>Dem并发/0x19/ClearDTC、共享镜像、满载与断电一致性。</x:v>
      </x:c>
    </x:row>
    <x:row r="51" ht="54" customHeight="1">
      <x:c r="A51" s="144" t="n">
        <x:v>45</x:v>
      </x:c>
      <x:c r="B51" s="144" t="str">
        <x:v>NVM_ID_DEM_EXTRA_INFO_6</x:v>
      </x:c>
      <x:c r="C51" s="144" t="str">
        <x:v>诊断/故障事件存储</x:v>
      </x:c>
      <x:c r="D51" s="153" t="n">
        <x:v>32</x:v>
      </x:c>
      <x:c r="E51" s="153" t="n">
        <x:v>43006</x:v>
      </x:c>
      <x:c r="F51" s="144" t="str">
        <x:v>NATIVE</x:v>
      </x:c>
      <x:c r="G51" s="144" t="n">
        <x:v>1</x:v>
      </x:c>
      <x:c r="H51" s="144" t="n">
        <x:v>0</x:v>
      </x:c>
      <x:c r="I51" s="144" t="str">
        <x:v>NoCrc</x:v>
      </x:c>
      <x:c r="J51" s="144" t="n">
        <x:v>1</x:v>
      </x:c>
      <x:c r="K51" s="144" t="str">
        <x:v>是</x:v>
      </x:c>
      <x:c r="L51" s="144" t="str">
        <x:v>否</x:v>
      </x:c>
      <x:c r="M51" s="144" t="str">
        <x:v>否</x:v>
      </x:c>
      <x:c r="N51" s="144" t="str">
        <x:v>否</x:v>
      </x:c>
      <x:c r="O51" s="144" t="str">
        <x:v>是</x:v>
      </x:c>
      <x:c r="P51" s="144" t="str">
        <x:v>否</x:v>
      </x:c>
      <x:c r="Q51" s="144" t="str">
        <x:v>否</x:v>
      </x:c>
      <x:c r="R51" s="144" t="str">
        <x:v>Explicit Sync共享镜像</x:v>
      </x:c>
      <x:c r="S51" s="144" t="str">
        <x:v>无ROM默认块</x:v>
      </x:c>
      <x:c r="T51" s="144" t="str">
        <x:v>0x0100</x:v>
      </x:c>
      <x:c r="U51" s="144" t="str">
        <x:v>Fee动态（Bank0/Bank1；块物理地址不固定）</x:v>
      </x:c>
      <x:c r="V51" s="144" t="str">
        <x:v>NvM_Cfg.c:2822（ID 45 descriptor）</x:v>
      </x:c>
      <x:c r="W51" s="144" t="str">
        <x:v>Dem并发/0x19/ClearDTC、共享镜像、满载与断电一致性。</x:v>
      </x:c>
    </x:row>
    <x:row r="52" ht="54" customHeight="1">
      <x:c r="A52" s="144" t="n">
        <x:v>46</x:v>
      </x:c>
      <x:c r="B52" s="144" t="str">
        <x:v>NVM_ID_DEM_EXTRA_INFO_7</x:v>
      </x:c>
      <x:c r="C52" s="144" t="str">
        <x:v>诊断/故障事件存储</x:v>
      </x:c>
      <x:c r="D52" s="153" t="n">
        <x:v>32</x:v>
      </x:c>
      <x:c r="E52" s="153" t="n">
        <x:v>43007</x:v>
      </x:c>
      <x:c r="F52" s="144" t="str">
        <x:v>NATIVE</x:v>
      </x:c>
      <x:c r="G52" s="144" t="n">
        <x:v>1</x:v>
      </x:c>
      <x:c r="H52" s="144" t="n">
        <x:v>0</x:v>
      </x:c>
      <x:c r="I52" s="144" t="str">
        <x:v>NoCrc</x:v>
      </x:c>
      <x:c r="J52" s="144" t="n">
        <x:v>1</x:v>
      </x:c>
      <x:c r="K52" s="144" t="str">
        <x:v>是</x:v>
      </x:c>
      <x:c r="L52" s="144" t="str">
        <x:v>否</x:v>
      </x:c>
      <x:c r="M52" s="144" t="str">
        <x:v>否</x:v>
      </x:c>
      <x:c r="N52" s="144" t="str">
        <x:v>否</x:v>
      </x:c>
      <x:c r="O52" s="144" t="str">
        <x:v>是</x:v>
      </x:c>
      <x:c r="P52" s="144" t="str">
        <x:v>否</x:v>
      </x:c>
      <x:c r="Q52" s="144" t="str">
        <x:v>否</x:v>
      </x:c>
      <x:c r="R52" s="144" t="str">
        <x:v>Explicit Sync共享镜像</x:v>
      </x:c>
      <x:c r="S52" s="144" t="str">
        <x:v>无ROM默认块</x:v>
      </x:c>
      <x:c r="T52" s="144" t="str">
        <x:v>0x0100</x:v>
      </x:c>
      <x:c r="U52" s="144" t="str">
        <x:v>Fee动态（Bank0/Bank1；块物理地址不固定）</x:v>
      </x:c>
      <x:c r="V52" s="144" t="str">
        <x:v>NvM_Cfg.c:2856（ID 46 descriptor）</x:v>
      </x:c>
      <x:c r="W52" s="144" t="str">
        <x:v>Dem并发/0x19/ClearDTC、共享镜像、满载与断电一致性。</x:v>
      </x:c>
    </x:row>
    <x:row r="53" ht="54" customHeight="1">
      <x:c r="A53" s="144" t="n">
        <x:v>47</x:v>
      </x:c>
      <x:c r="B53" s="144" t="str">
        <x:v>NVM_ID_DEM_EXTRA_INFO_8</x:v>
      </x:c>
      <x:c r="C53" s="144" t="str">
        <x:v>诊断/故障事件存储</x:v>
      </x:c>
      <x:c r="D53" s="153" t="n">
        <x:v>32</x:v>
      </x:c>
      <x:c r="E53" s="153" t="n">
        <x:v>43008</x:v>
      </x:c>
      <x:c r="F53" s="144" t="str">
        <x:v>NATIVE</x:v>
      </x:c>
      <x:c r="G53" s="144" t="n">
        <x:v>1</x:v>
      </x:c>
      <x:c r="H53" s="144" t="n">
        <x:v>0</x:v>
      </x:c>
      <x:c r="I53" s="144" t="str">
        <x:v>NoCrc</x:v>
      </x:c>
      <x:c r="J53" s="144" t="n">
        <x:v>1</x:v>
      </x:c>
      <x:c r="K53" s="144" t="str">
        <x:v>是</x:v>
      </x:c>
      <x:c r="L53" s="144" t="str">
        <x:v>否</x:v>
      </x:c>
      <x:c r="M53" s="144" t="str">
        <x:v>否</x:v>
      </x:c>
      <x:c r="N53" s="144" t="str">
        <x:v>否</x:v>
      </x:c>
      <x:c r="O53" s="144" t="str">
        <x:v>是</x:v>
      </x:c>
      <x:c r="P53" s="144" t="str">
        <x:v>否</x:v>
      </x:c>
      <x:c r="Q53" s="144" t="str">
        <x:v>否</x:v>
      </x:c>
      <x:c r="R53" s="144" t="str">
        <x:v>Explicit Sync共享镜像</x:v>
      </x:c>
      <x:c r="S53" s="144" t="str">
        <x:v>无ROM默认块</x:v>
      </x:c>
      <x:c r="T53" s="144" t="str">
        <x:v>0x0100</x:v>
      </x:c>
      <x:c r="U53" s="144" t="str">
        <x:v>Fee动态（Bank0/Bank1；块物理地址不固定）</x:v>
      </x:c>
      <x:c r="V53" s="144" t="str">
        <x:v>NvM_Cfg.c:2890（ID 47 descriptor）</x:v>
      </x:c>
      <x:c r="W53" s="144" t="str">
        <x:v>Dem并发/0x19/ClearDTC、共享镜像、满载与断电一致性。</x:v>
      </x:c>
    </x:row>
    <x:row r="54" ht="54" customHeight="1">
      <x:c r="A54" s="144" t="n">
        <x:v>48</x:v>
      </x:c>
      <x:c r="B54" s="144" t="str">
        <x:v>NVM_ID_DEM_EXTRA_INFO_9</x:v>
      </x:c>
      <x:c r="C54" s="144" t="str">
        <x:v>诊断/故障事件存储</x:v>
      </x:c>
      <x:c r="D54" s="153" t="n">
        <x:v>32</x:v>
      </x:c>
      <x:c r="E54" s="153" t="n">
        <x:v>43009</x:v>
      </x:c>
      <x:c r="F54" s="144" t="str">
        <x:v>NATIVE</x:v>
      </x:c>
      <x:c r="G54" s="144" t="n">
        <x:v>1</x:v>
      </x:c>
      <x:c r="H54" s="144" t="n">
        <x:v>0</x:v>
      </x:c>
      <x:c r="I54" s="144" t="str">
        <x:v>NoCrc</x:v>
      </x:c>
      <x:c r="J54" s="144" t="n">
        <x:v>1</x:v>
      </x:c>
      <x:c r="K54" s="144" t="str">
        <x:v>是</x:v>
      </x:c>
      <x:c r="L54" s="144" t="str">
        <x:v>否</x:v>
      </x:c>
      <x:c r="M54" s="144" t="str">
        <x:v>否</x:v>
      </x:c>
      <x:c r="N54" s="144" t="str">
        <x:v>否</x:v>
      </x:c>
      <x:c r="O54" s="144" t="str">
        <x:v>是</x:v>
      </x:c>
      <x:c r="P54" s="144" t="str">
        <x:v>否</x:v>
      </x:c>
      <x:c r="Q54" s="144" t="str">
        <x:v>否</x:v>
      </x:c>
      <x:c r="R54" s="144" t="str">
        <x:v>Explicit Sync共享镜像</x:v>
      </x:c>
      <x:c r="S54" s="144" t="str">
        <x:v>无ROM默认块</x:v>
      </x:c>
      <x:c r="T54" s="144" t="str">
        <x:v>0x0100</x:v>
      </x:c>
      <x:c r="U54" s="144" t="str">
        <x:v>Fee动态（Bank0/Bank1；块物理地址不固定）</x:v>
      </x:c>
      <x:c r="V54" s="144" t="str">
        <x:v>NvM_Cfg.c:2924（ID 48 descriptor）</x:v>
      </x:c>
      <x:c r="W54" s="144" t="str">
        <x:v>Dem并发/0x19/ClearDTC、共享镜像、满载与断电一致性。</x:v>
      </x:c>
    </x:row>
    <x:row r="55" ht="54" customHeight="1">
      <x:c r="A55" s="144" t="n">
        <x:v>49</x:v>
      </x:c>
      <x:c r="B55" s="144" t="str">
        <x:v>NVM_ID_DEM_GENERIC_NV_DATA</x:v>
      </x:c>
      <x:c r="C55" s="144" t="str">
        <x:v>诊断/故障事件存储</x:v>
      </x:c>
      <x:c r="D55" s="153" t="n">
        <x:v>16</x:v>
      </x:c>
      <x:c r="E55" s="153" t="n">
        <x:v>42790</x:v>
      </x:c>
      <x:c r="F55" s="144" t="str">
        <x:v>NATIVE</x:v>
      </x:c>
      <x:c r="G55" s="144" t="n">
        <x:v>1</x:v>
      </x:c>
      <x:c r="H55" s="144" t="n">
        <x:v>0</x:v>
      </x:c>
      <x:c r="I55" s="144" t="str">
        <x:v>NoCrc</x:v>
      </x:c>
      <x:c r="J55" s="144" t="n">
        <x:v>1</x:v>
      </x:c>
      <x:c r="K55" s="144" t="str">
        <x:v>是</x:v>
      </x:c>
      <x:c r="L55" s="144" t="str">
        <x:v>否</x:v>
      </x:c>
      <x:c r="M55" s="144" t="str">
        <x:v>否</x:v>
      </x:c>
      <x:c r="N55" s="144" t="str">
        <x:v>否</x:v>
      </x:c>
      <x:c r="O55" s="144" t="str">
        <x:v>是</x:v>
      </x:c>
      <x:c r="P55" s="144" t="str">
        <x:v>否</x:v>
      </x:c>
      <x:c r="Q55" s="144" t="str">
        <x:v>否</x:v>
      </x:c>
      <x:c r="R55" s="144" t="str">
        <x:v>Explicit Sync共享镜像</x:v>
      </x:c>
      <x:c r="S55" s="144" t="str">
        <x:v>无ROM默认块</x:v>
      </x:c>
      <x:c r="T55" s="144" t="str">
        <x:v>0x0100</x:v>
      </x:c>
      <x:c r="U55" s="144" t="str">
        <x:v>Fee动态（Bank0/Bank1；块物理地址不固定）</x:v>
      </x:c>
      <x:c r="V55" s="144" t="str">
        <x:v>NvM_Cfg.c:2958（ID 49 descriptor）</x:v>
      </x:c>
      <x:c r="W55" s="144" t="str">
        <x:v>Dem并发/0x19/ClearDTC、共享镜像、满载与断电一致性。</x:v>
      </x:c>
    </x:row>
    <x:row r="56" ht="54" customHeight="1">
      <x:c r="A56" s="144" t="n">
        <x:v>50</x:v>
      </x:c>
      <x:c r="B56" s="144" t="str">
        <x:v>NVM_ID_EVMEM_LOC_0</x:v>
      </x:c>
      <x:c r="C56" s="144" t="str">
        <x:v>诊断/故障事件存储</x:v>
      </x:c>
      <x:c r="D56" s="153" t="n">
        <x:v>48</x:v>
      </x:c>
      <x:c r="E56" s="153" t="n">
        <x:v>42770</x:v>
      </x:c>
      <x:c r="F56" s="144" t="str">
        <x:v>NATIVE</x:v>
      </x:c>
      <x:c r="G56" s="144" t="n">
        <x:v>1</x:v>
      </x:c>
      <x:c r="H56" s="144" t="n">
        <x:v>0</x:v>
      </x:c>
      <x:c r="I56" s="144" t="str">
        <x:v>NoCrc</x:v>
      </x:c>
      <x:c r="J56" s="144" t="n">
        <x:v>1</x:v>
      </x:c>
      <x:c r="K56" s="144" t="str">
        <x:v>是</x:v>
      </x:c>
      <x:c r="L56" s="144" t="str">
        <x:v>否</x:v>
      </x:c>
      <x:c r="M56" s="144" t="str">
        <x:v>否</x:v>
      </x:c>
      <x:c r="N56" s="144" t="str">
        <x:v>否</x:v>
      </x:c>
      <x:c r="O56" s="144" t="str">
        <x:v>是</x:v>
      </x:c>
      <x:c r="P56" s="144" t="str">
        <x:v>否</x:v>
      </x:c>
      <x:c r="Q56" s="144" t="str">
        <x:v>否</x:v>
      </x:c>
      <x:c r="R56" s="144" t="str">
        <x:v>Explicit Sync共享镜像</x:v>
      </x:c>
      <x:c r="S56" s="144" t="str">
        <x:v>无ROM默认块</x:v>
      </x:c>
      <x:c r="T56" s="144" t="str">
        <x:v>0x0100</x:v>
      </x:c>
      <x:c r="U56" s="144" t="str">
        <x:v>Fee动态（Bank0/Bank1；块物理地址不固定）</x:v>
      </x:c>
      <x:c r="V56" s="144" t="str">
        <x:v>NvM_Cfg.c:2992（ID 50 descriptor）</x:v>
      </x:c>
      <x:c r="W56" s="144" t="str">
        <x:v>Dem并发/0x19/ClearDTC、共享镜像、满载与断电一致性。</x:v>
      </x:c>
    </x:row>
    <x:row r="57" ht="54" customHeight="1">
      <x:c r="A57" s="144" t="n">
        <x:v>51</x:v>
      </x:c>
      <x:c r="B57" s="144" t="str">
        <x:v>NVM_ID_EVMEM_LOC_1</x:v>
      </x:c>
      <x:c r="C57" s="144" t="str">
        <x:v>诊断/故障事件存储</x:v>
      </x:c>
      <x:c r="D57" s="153" t="n">
        <x:v>48</x:v>
      </x:c>
      <x:c r="E57" s="153" t="n">
        <x:v>42771</x:v>
      </x:c>
      <x:c r="F57" s="144" t="str">
        <x:v>NATIVE</x:v>
      </x:c>
      <x:c r="G57" s="144" t="n">
        <x:v>1</x:v>
      </x:c>
      <x:c r="H57" s="144" t="n">
        <x:v>0</x:v>
      </x:c>
      <x:c r="I57" s="144" t="str">
        <x:v>NoCrc</x:v>
      </x:c>
      <x:c r="J57" s="144" t="n">
        <x:v>1</x:v>
      </x:c>
      <x:c r="K57" s="144" t="str">
        <x:v>是</x:v>
      </x:c>
      <x:c r="L57" s="144" t="str">
        <x:v>否</x:v>
      </x:c>
      <x:c r="M57" s="144" t="str">
        <x:v>否</x:v>
      </x:c>
      <x:c r="N57" s="144" t="str">
        <x:v>否</x:v>
      </x:c>
      <x:c r="O57" s="144" t="str">
        <x:v>是</x:v>
      </x:c>
      <x:c r="P57" s="144" t="str">
        <x:v>否</x:v>
      </x:c>
      <x:c r="Q57" s="144" t="str">
        <x:v>否</x:v>
      </x:c>
      <x:c r="R57" s="144" t="str">
        <x:v>Explicit Sync共享镜像</x:v>
      </x:c>
      <x:c r="S57" s="144" t="str">
        <x:v>无ROM默认块</x:v>
      </x:c>
      <x:c r="T57" s="144" t="str">
        <x:v>0x0100</x:v>
      </x:c>
      <x:c r="U57" s="144" t="str">
        <x:v>Fee动态（Bank0/Bank1；块物理地址不固定）</x:v>
      </x:c>
      <x:c r="V57" s="144" t="str">
        <x:v>NvM_Cfg.c:3026（ID 51 descriptor）</x:v>
      </x:c>
      <x:c r="W57" s="144" t="str">
        <x:v>Dem并发/0x19/ClearDTC、共享镜像、满载与断电一致性。</x:v>
      </x:c>
    </x:row>
    <x:row r="58" ht="54" customHeight="1">
      <x:c r="A58" s="144" t="n">
        <x:v>52</x:v>
      </x:c>
      <x:c r="B58" s="144" t="str">
        <x:v>NVM_ID_EVMEM_LOC_10</x:v>
      </x:c>
      <x:c r="C58" s="144" t="str">
        <x:v>诊断/故障事件存储</x:v>
      </x:c>
      <x:c r="D58" s="153" t="n">
        <x:v>48</x:v>
      </x:c>
      <x:c r="E58" s="153" t="n">
        <x:v>42780</x:v>
      </x:c>
      <x:c r="F58" s="144" t="str">
        <x:v>NATIVE</x:v>
      </x:c>
      <x:c r="G58" s="144" t="n">
        <x:v>1</x:v>
      </x:c>
      <x:c r="H58" s="144" t="n">
        <x:v>0</x:v>
      </x:c>
      <x:c r="I58" s="144" t="str">
        <x:v>NoCrc</x:v>
      </x:c>
      <x:c r="J58" s="144" t="n">
        <x:v>1</x:v>
      </x:c>
      <x:c r="K58" s="144" t="str">
        <x:v>是</x:v>
      </x:c>
      <x:c r="L58" s="144" t="str">
        <x:v>否</x:v>
      </x:c>
      <x:c r="M58" s="144" t="str">
        <x:v>否</x:v>
      </x:c>
      <x:c r="N58" s="144" t="str">
        <x:v>否</x:v>
      </x:c>
      <x:c r="O58" s="144" t="str">
        <x:v>是</x:v>
      </x:c>
      <x:c r="P58" s="144" t="str">
        <x:v>否</x:v>
      </x:c>
      <x:c r="Q58" s="144" t="str">
        <x:v>否</x:v>
      </x:c>
      <x:c r="R58" s="144" t="str">
        <x:v>Explicit Sync共享镜像</x:v>
      </x:c>
      <x:c r="S58" s="144" t="str">
        <x:v>无ROM默认块</x:v>
      </x:c>
      <x:c r="T58" s="144" t="str">
        <x:v>0x0100</x:v>
      </x:c>
      <x:c r="U58" s="144" t="str">
        <x:v>Fee动态（Bank0/Bank1；块物理地址不固定）</x:v>
      </x:c>
      <x:c r="V58" s="144" t="str">
        <x:v>NvM_Cfg.c:3060（ID 52 descriptor）</x:v>
      </x:c>
      <x:c r="W58" s="144" t="str">
        <x:v>Dem并发/0x19/ClearDTC、共享镜像、满载与断电一致性。</x:v>
      </x:c>
    </x:row>
    <x:row r="59" ht="54" customHeight="1">
      <x:c r="A59" s="144" t="n">
        <x:v>53</x:v>
      </x:c>
      <x:c r="B59" s="144" t="str">
        <x:v>NVM_ID_EVMEM_LOC_11</x:v>
      </x:c>
      <x:c r="C59" s="144" t="str">
        <x:v>诊断/故障事件存储</x:v>
      </x:c>
      <x:c r="D59" s="153" t="n">
        <x:v>48</x:v>
      </x:c>
      <x:c r="E59" s="153" t="n">
        <x:v>42781</x:v>
      </x:c>
      <x:c r="F59" s="144" t="str">
        <x:v>NATIVE</x:v>
      </x:c>
      <x:c r="G59" s="144" t="n">
        <x:v>1</x:v>
      </x:c>
      <x:c r="H59" s="144" t="n">
        <x:v>0</x:v>
      </x:c>
      <x:c r="I59" s="144" t="str">
        <x:v>NoCrc</x:v>
      </x:c>
      <x:c r="J59" s="144" t="n">
        <x:v>1</x:v>
      </x:c>
      <x:c r="K59" s="144" t="str">
        <x:v>是</x:v>
      </x:c>
      <x:c r="L59" s="144" t="str">
        <x:v>否</x:v>
      </x:c>
      <x:c r="M59" s="144" t="str">
        <x:v>否</x:v>
      </x:c>
      <x:c r="N59" s="144" t="str">
        <x:v>否</x:v>
      </x:c>
      <x:c r="O59" s="144" t="str">
        <x:v>是</x:v>
      </x:c>
      <x:c r="P59" s="144" t="str">
        <x:v>否</x:v>
      </x:c>
      <x:c r="Q59" s="144" t="str">
        <x:v>否</x:v>
      </x:c>
      <x:c r="R59" s="144" t="str">
        <x:v>Explicit Sync共享镜像</x:v>
      </x:c>
      <x:c r="S59" s="144" t="str">
        <x:v>无ROM默认块</x:v>
      </x:c>
      <x:c r="T59" s="144" t="str">
        <x:v>0x0100</x:v>
      </x:c>
      <x:c r="U59" s="144" t="str">
        <x:v>Fee动态（Bank0/Bank1；块物理地址不固定）</x:v>
      </x:c>
      <x:c r="V59" s="144" t="str">
        <x:v>NvM_Cfg.c:3094（ID 53 descriptor）</x:v>
      </x:c>
      <x:c r="W59" s="144" t="str">
        <x:v>Dem并发/0x19/ClearDTC、共享镜像、满载与断电一致性。</x:v>
      </x:c>
    </x:row>
    <x:row r="60" ht="54" customHeight="1">
      <x:c r="A60" s="144" t="n">
        <x:v>54</x:v>
      </x:c>
      <x:c r="B60" s="144" t="str">
        <x:v>NVM_ID_EVMEM_LOC_12</x:v>
      </x:c>
      <x:c r="C60" s="144" t="str">
        <x:v>诊断/故障事件存储</x:v>
      </x:c>
      <x:c r="D60" s="153" t="n">
        <x:v>48</x:v>
      </x:c>
      <x:c r="E60" s="153" t="n">
        <x:v>42782</x:v>
      </x:c>
      <x:c r="F60" s="144" t="str">
        <x:v>NATIVE</x:v>
      </x:c>
      <x:c r="G60" s="144" t="n">
        <x:v>1</x:v>
      </x:c>
      <x:c r="H60" s="144" t="n">
        <x:v>0</x:v>
      </x:c>
      <x:c r="I60" s="144" t="str">
        <x:v>NoCrc</x:v>
      </x:c>
      <x:c r="J60" s="144" t="n">
        <x:v>1</x:v>
      </x:c>
      <x:c r="K60" s="144" t="str">
        <x:v>是</x:v>
      </x:c>
      <x:c r="L60" s="144" t="str">
        <x:v>否</x:v>
      </x:c>
      <x:c r="M60" s="144" t="str">
        <x:v>否</x:v>
      </x:c>
      <x:c r="N60" s="144" t="str">
        <x:v>否</x:v>
      </x:c>
      <x:c r="O60" s="144" t="str">
        <x:v>是</x:v>
      </x:c>
      <x:c r="P60" s="144" t="str">
        <x:v>否</x:v>
      </x:c>
      <x:c r="Q60" s="144" t="str">
        <x:v>否</x:v>
      </x:c>
      <x:c r="R60" s="144" t="str">
        <x:v>Explicit Sync共享镜像</x:v>
      </x:c>
      <x:c r="S60" s="144" t="str">
        <x:v>无ROM默认块</x:v>
      </x:c>
      <x:c r="T60" s="144" t="str">
        <x:v>0x0100</x:v>
      </x:c>
      <x:c r="U60" s="144" t="str">
        <x:v>Fee动态（Bank0/Bank1；块物理地址不固定）</x:v>
      </x:c>
      <x:c r="V60" s="144" t="str">
        <x:v>NvM_Cfg.c:3128（ID 54 descriptor）</x:v>
      </x:c>
      <x:c r="W60" s="144" t="str">
        <x:v>Dem并发/0x19/ClearDTC、共享镜像、满载与断电一致性。</x:v>
      </x:c>
    </x:row>
    <x:row r="61" ht="54" customHeight="1">
      <x:c r="A61" s="144" t="n">
        <x:v>55</x:v>
      </x:c>
      <x:c r="B61" s="144" t="str">
        <x:v>NVM_ID_EVMEM_LOC_13</x:v>
      </x:c>
      <x:c r="C61" s="144" t="str">
        <x:v>诊断/故障事件存储</x:v>
      </x:c>
      <x:c r="D61" s="153" t="n">
        <x:v>48</x:v>
      </x:c>
      <x:c r="E61" s="153" t="n">
        <x:v>42783</x:v>
      </x:c>
      <x:c r="F61" s="144" t="str">
        <x:v>NATIVE</x:v>
      </x:c>
      <x:c r="G61" s="144" t="n">
        <x:v>1</x:v>
      </x:c>
      <x:c r="H61" s="144" t="n">
        <x:v>0</x:v>
      </x:c>
      <x:c r="I61" s="144" t="str">
        <x:v>NoCrc</x:v>
      </x:c>
      <x:c r="J61" s="144" t="n">
        <x:v>1</x:v>
      </x:c>
      <x:c r="K61" s="144" t="str">
        <x:v>是</x:v>
      </x:c>
      <x:c r="L61" s="144" t="str">
        <x:v>否</x:v>
      </x:c>
      <x:c r="M61" s="144" t="str">
        <x:v>否</x:v>
      </x:c>
      <x:c r="N61" s="144" t="str">
        <x:v>否</x:v>
      </x:c>
      <x:c r="O61" s="144" t="str">
        <x:v>是</x:v>
      </x:c>
      <x:c r="P61" s="144" t="str">
        <x:v>否</x:v>
      </x:c>
      <x:c r="Q61" s="144" t="str">
        <x:v>否</x:v>
      </x:c>
      <x:c r="R61" s="144" t="str">
        <x:v>Explicit Sync共享镜像</x:v>
      </x:c>
      <x:c r="S61" s="144" t="str">
        <x:v>无ROM默认块</x:v>
      </x:c>
      <x:c r="T61" s="144" t="str">
        <x:v>0x0100</x:v>
      </x:c>
      <x:c r="U61" s="144" t="str">
        <x:v>Fee动态（Bank0/Bank1；块物理地址不固定）</x:v>
      </x:c>
      <x:c r="V61" s="144" t="str">
        <x:v>NvM_Cfg.c:3162（ID 55 descriptor）</x:v>
      </x:c>
      <x:c r="W61" s="144" t="str">
        <x:v>Dem并发/0x19/ClearDTC、共享镜像、满载与断电一致性。</x:v>
      </x:c>
    </x:row>
    <x:row r="62" ht="54" customHeight="1">
      <x:c r="A62" s="144" t="n">
        <x:v>56</x:v>
      </x:c>
      <x:c r="B62" s="144" t="str">
        <x:v>NVM_ID_EVMEM_LOC_14</x:v>
      </x:c>
      <x:c r="C62" s="144" t="str">
        <x:v>诊断/故障事件存储</x:v>
      </x:c>
      <x:c r="D62" s="153" t="n">
        <x:v>48</x:v>
      </x:c>
      <x:c r="E62" s="153" t="n">
        <x:v>42784</x:v>
      </x:c>
      <x:c r="F62" s="144" t="str">
        <x:v>NATIVE</x:v>
      </x:c>
      <x:c r="G62" s="144" t="n">
        <x:v>1</x:v>
      </x:c>
      <x:c r="H62" s="144" t="n">
        <x:v>0</x:v>
      </x:c>
      <x:c r="I62" s="144" t="str">
        <x:v>NoCrc</x:v>
      </x:c>
      <x:c r="J62" s="144" t="n">
        <x:v>1</x:v>
      </x:c>
      <x:c r="K62" s="144" t="str">
        <x:v>是</x:v>
      </x:c>
      <x:c r="L62" s="144" t="str">
        <x:v>否</x:v>
      </x:c>
      <x:c r="M62" s="144" t="str">
        <x:v>否</x:v>
      </x:c>
      <x:c r="N62" s="144" t="str">
        <x:v>否</x:v>
      </x:c>
      <x:c r="O62" s="144" t="str">
        <x:v>是</x:v>
      </x:c>
      <x:c r="P62" s="144" t="str">
        <x:v>否</x:v>
      </x:c>
      <x:c r="Q62" s="144" t="str">
        <x:v>否</x:v>
      </x:c>
      <x:c r="R62" s="144" t="str">
        <x:v>Explicit Sync共享镜像</x:v>
      </x:c>
      <x:c r="S62" s="144" t="str">
        <x:v>无ROM默认块</x:v>
      </x:c>
      <x:c r="T62" s="144" t="str">
        <x:v>0x0100</x:v>
      </x:c>
      <x:c r="U62" s="144" t="str">
        <x:v>Fee动态（Bank0/Bank1；块物理地址不固定）</x:v>
      </x:c>
      <x:c r="V62" s="144" t="str">
        <x:v>NvM_Cfg.c:3196（ID 56 descriptor）</x:v>
      </x:c>
      <x:c r="W62" s="144" t="str">
        <x:v>Dem并发/0x19/ClearDTC、共享镜像、满载与断电一致性。</x:v>
      </x:c>
    </x:row>
    <x:row r="63" ht="54" customHeight="1">
      <x:c r="A63" s="144" t="n">
        <x:v>57</x:v>
      </x:c>
      <x:c r="B63" s="144" t="str">
        <x:v>NVM_ID_EVMEM_LOC_15</x:v>
      </x:c>
      <x:c r="C63" s="144" t="str">
        <x:v>诊断/故障事件存储</x:v>
      </x:c>
      <x:c r="D63" s="153" t="n">
        <x:v>48</x:v>
      </x:c>
      <x:c r="E63" s="153" t="n">
        <x:v>42785</x:v>
      </x:c>
      <x:c r="F63" s="144" t="str">
        <x:v>NATIVE</x:v>
      </x:c>
      <x:c r="G63" s="144" t="n">
        <x:v>1</x:v>
      </x:c>
      <x:c r="H63" s="144" t="n">
        <x:v>0</x:v>
      </x:c>
      <x:c r="I63" s="144" t="str">
        <x:v>NoCrc</x:v>
      </x:c>
      <x:c r="J63" s="144" t="n">
        <x:v>1</x:v>
      </x:c>
      <x:c r="K63" s="144" t="str">
        <x:v>是</x:v>
      </x:c>
      <x:c r="L63" s="144" t="str">
        <x:v>否</x:v>
      </x:c>
      <x:c r="M63" s="144" t="str">
        <x:v>否</x:v>
      </x:c>
      <x:c r="N63" s="144" t="str">
        <x:v>否</x:v>
      </x:c>
      <x:c r="O63" s="144" t="str">
        <x:v>是</x:v>
      </x:c>
      <x:c r="P63" s="144" t="str">
        <x:v>否</x:v>
      </x:c>
      <x:c r="Q63" s="144" t="str">
        <x:v>否</x:v>
      </x:c>
      <x:c r="R63" s="144" t="str">
        <x:v>Explicit Sync共享镜像</x:v>
      </x:c>
      <x:c r="S63" s="144" t="str">
        <x:v>无ROM默认块</x:v>
      </x:c>
      <x:c r="T63" s="144" t="str">
        <x:v>0x0100</x:v>
      </x:c>
      <x:c r="U63" s="144" t="str">
        <x:v>Fee动态（Bank0/Bank1；块物理地址不固定）</x:v>
      </x:c>
      <x:c r="V63" s="144" t="str">
        <x:v>NvM_Cfg.c:3230（ID 57 descriptor）</x:v>
      </x:c>
      <x:c r="W63" s="144" t="str">
        <x:v>Dem并发/0x19/ClearDTC、共享镜像、满载与断电一致性。</x:v>
      </x:c>
    </x:row>
    <x:row r="64" ht="54" customHeight="1">
      <x:c r="A64" s="144" t="n">
        <x:v>58</x:v>
      </x:c>
      <x:c r="B64" s="144" t="str">
        <x:v>NVM_ID_EVMEM_LOC_16</x:v>
      </x:c>
      <x:c r="C64" s="144" t="str">
        <x:v>诊断/故障事件存储</x:v>
      </x:c>
      <x:c r="D64" s="153" t="n">
        <x:v>48</x:v>
      </x:c>
      <x:c r="E64" s="153" t="n">
        <x:v>42786</x:v>
      </x:c>
      <x:c r="F64" s="144" t="str">
        <x:v>NATIVE</x:v>
      </x:c>
      <x:c r="G64" s="144" t="n">
        <x:v>1</x:v>
      </x:c>
      <x:c r="H64" s="144" t="n">
        <x:v>0</x:v>
      </x:c>
      <x:c r="I64" s="144" t="str">
        <x:v>NoCrc</x:v>
      </x:c>
      <x:c r="J64" s="144" t="n">
        <x:v>1</x:v>
      </x:c>
      <x:c r="K64" s="144" t="str">
        <x:v>是</x:v>
      </x:c>
      <x:c r="L64" s="144" t="str">
        <x:v>否</x:v>
      </x:c>
      <x:c r="M64" s="144" t="str">
        <x:v>否</x:v>
      </x:c>
      <x:c r="N64" s="144" t="str">
        <x:v>否</x:v>
      </x:c>
      <x:c r="O64" s="144" t="str">
        <x:v>是</x:v>
      </x:c>
      <x:c r="P64" s="144" t="str">
        <x:v>否</x:v>
      </x:c>
      <x:c r="Q64" s="144" t="str">
        <x:v>否</x:v>
      </x:c>
      <x:c r="R64" s="144" t="str">
        <x:v>Explicit Sync共享镜像</x:v>
      </x:c>
      <x:c r="S64" s="144" t="str">
        <x:v>无ROM默认块</x:v>
      </x:c>
      <x:c r="T64" s="144" t="str">
        <x:v>0x0100</x:v>
      </x:c>
      <x:c r="U64" s="144" t="str">
        <x:v>Fee动态（Bank0/Bank1；块物理地址不固定）</x:v>
      </x:c>
      <x:c r="V64" s="144" t="str">
        <x:v>NvM_Cfg.c:3264（ID 58 descriptor）</x:v>
      </x:c>
      <x:c r="W64" s="144" t="str">
        <x:v>Dem并发/0x19/ClearDTC、共享镜像、满载与断电一致性。</x:v>
      </x:c>
    </x:row>
    <x:row r="65" ht="54" customHeight="1">
      <x:c r="A65" s="144" t="n">
        <x:v>59</x:v>
      </x:c>
      <x:c r="B65" s="144" t="str">
        <x:v>NVM_ID_EVMEM_LOC_17</x:v>
      </x:c>
      <x:c r="C65" s="144" t="str">
        <x:v>诊断/故障事件存储</x:v>
      </x:c>
      <x:c r="D65" s="153" t="n">
        <x:v>48</x:v>
      </x:c>
      <x:c r="E65" s="153" t="n">
        <x:v>42787</x:v>
      </x:c>
      <x:c r="F65" s="144" t="str">
        <x:v>NATIVE</x:v>
      </x:c>
      <x:c r="G65" s="144" t="n">
        <x:v>1</x:v>
      </x:c>
      <x:c r="H65" s="144" t="n">
        <x:v>0</x:v>
      </x:c>
      <x:c r="I65" s="144" t="str">
        <x:v>NoCrc</x:v>
      </x:c>
      <x:c r="J65" s="144" t="n">
        <x:v>1</x:v>
      </x:c>
      <x:c r="K65" s="144" t="str">
        <x:v>是</x:v>
      </x:c>
      <x:c r="L65" s="144" t="str">
        <x:v>否</x:v>
      </x:c>
      <x:c r="M65" s="144" t="str">
        <x:v>否</x:v>
      </x:c>
      <x:c r="N65" s="144" t="str">
        <x:v>否</x:v>
      </x:c>
      <x:c r="O65" s="144" t="str">
        <x:v>是</x:v>
      </x:c>
      <x:c r="P65" s="144" t="str">
        <x:v>否</x:v>
      </x:c>
      <x:c r="Q65" s="144" t="str">
        <x:v>否</x:v>
      </x:c>
      <x:c r="R65" s="144" t="str">
        <x:v>Explicit Sync共享镜像</x:v>
      </x:c>
      <x:c r="S65" s="144" t="str">
        <x:v>无ROM默认块</x:v>
      </x:c>
      <x:c r="T65" s="144" t="str">
        <x:v>0x0100</x:v>
      </x:c>
      <x:c r="U65" s="144" t="str">
        <x:v>Fee动态（Bank0/Bank1；块物理地址不固定）</x:v>
      </x:c>
      <x:c r="V65" s="144" t="str">
        <x:v>NvM_Cfg.c:3298（ID 59 descriptor）</x:v>
      </x:c>
      <x:c r="W65" s="144" t="str">
        <x:v>Dem并发/0x19/ClearDTC、共享镜像、满载与断电一致性。</x:v>
      </x:c>
    </x:row>
    <x:row r="66" ht="54" customHeight="1">
      <x:c r="A66" s="144" t="n">
        <x:v>60</x:v>
      </x:c>
      <x:c r="B66" s="144" t="str">
        <x:v>NVM_ID_EVMEM_LOC_18</x:v>
      </x:c>
      <x:c r="C66" s="144" t="str">
        <x:v>诊断/故障事件存储</x:v>
      </x:c>
      <x:c r="D66" s="153" t="n">
        <x:v>48</x:v>
      </x:c>
      <x:c r="E66" s="153" t="n">
        <x:v>42788</x:v>
      </x:c>
      <x:c r="F66" s="144" t="str">
        <x:v>NATIVE</x:v>
      </x:c>
      <x:c r="G66" s="144" t="n">
        <x:v>1</x:v>
      </x:c>
      <x:c r="H66" s="144" t="n">
        <x:v>0</x:v>
      </x:c>
      <x:c r="I66" s="144" t="str">
        <x:v>NoCrc</x:v>
      </x:c>
      <x:c r="J66" s="144" t="n">
        <x:v>1</x:v>
      </x:c>
      <x:c r="K66" s="144" t="str">
        <x:v>是</x:v>
      </x:c>
      <x:c r="L66" s="144" t="str">
        <x:v>否</x:v>
      </x:c>
      <x:c r="M66" s="144" t="str">
        <x:v>否</x:v>
      </x:c>
      <x:c r="N66" s="144" t="str">
        <x:v>否</x:v>
      </x:c>
      <x:c r="O66" s="144" t="str">
        <x:v>是</x:v>
      </x:c>
      <x:c r="P66" s="144" t="str">
        <x:v>否</x:v>
      </x:c>
      <x:c r="Q66" s="144" t="str">
        <x:v>否</x:v>
      </x:c>
      <x:c r="R66" s="144" t="str">
        <x:v>Explicit Sync共享镜像</x:v>
      </x:c>
      <x:c r="S66" s="144" t="str">
        <x:v>无ROM默认块</x:v>
      </x:c>
      <x:c r="T66" s="144" t="str">
        <x:v>0x0100</x:v>
      </x:c>
      <x:c r="U66" s="144" t="str">
        <x:v>Fee动态（Bank0/Bank1；块物理地址不固定）</x:v>
      </x:c>
      <x:c r="V66" s="144" t="str">
        <x:v>NvM_Cfg.c:3332（ID 60 descriptor）</x:v>
      </x:c>
      <x:c r="W66" s="144" t="str">
        <x:v>Dem并发/0x19/ClearDTC、共享镜像、满载与断电一致性。</x:v>
      </x:c>
    </x:row>
    <x:row r="67" ht="54" customHeight="1">
      <x:c r="A67" s="144" t="n">
        <x:v>61</x:v>
      </x:c>
      <x:c r="B67" s="144" t="str">
        <x:v>NVM_ID_EVMEM_LOC_19</x:v>
      </x:c>
      <x:c r="C67" s="144" t="str">
        <x:v>诊断/故障事件存储</x:v>
      </x:c>
      <x:c r="D67" s="153" t="n">
        <x:v>48</x:v>
      </x:c>
      <x:c r="E67" s="153" t="n">
        <x:v>42789</x:v>
      </x:c>
      <x:c r="F67" s="144" t="str">
        <x:v>NATIVE</x:v>
      </x:c>
      <x:c r="G67" s="144" t="n">
        <x:v>1</x:v>
      </x:c>
      <x:c r="H67" s="144" t="n">
        <x:v>0</x:v>
      </x:c>
      <x:c r="I67" s="144" t="str">
        <x:v>NoCrc</x:v>
      </x:c>
      <x:c r="J67" s="144" t="n">
        <x:v>1</x:v>
      </x:c>
      <x:c r="K67" s="144" t="str">
        <x:v>是</x:v>
      </x:c>
      <x:c r="L67" s="144" t="str">
        <x:v>否</x:v>
      </x:c>
      <x:c r="M67" s="144" t="str">
        <x:v>否</x:v>
      </x:c>
      <x:c r="N67" s="144" t="str">
        <x:v>否</x:v>
      </x:c>
      <x:c r="O67" s="144" t="str">
        <x:v>是</x:v>
      </x:c>
      <x:c r="P67" s="144" t="str">
        <x:v>否</x:v>
      </x:c>
      <x:c r="Q67" s="144" t="str">
        <x:v>否</x:v>
      </x:c>
      <x:c r="R67" s="144" t="str">
        <x:v>Explicit Sync共享镜像</x:v>
      </x:c>
      <x:c r="S67" s="144" t="str">
        <x:v>无ROM默认块</x:v>
      </x:c>
      <x:c r="T67" s="144" t="str">
        <x:v>0x0100</x:v>
      </x:c>
      <x:c r="U67" s="144" t="str">
        <x:v>Fee动态（Bank0/Bank1；块物理地址不固定）</x:v>
      </x:c>
      <x:c r="V67" s="144" t="str">
        <x:v>NvM_Cfg.c:3366（ID 61 descriptor）</x:v>
      </x:c>
      <x:c r="W67" s="144" t="str">
        <x:v>Dem并发/0x19/ClearDTC、共享镜像、满载与断电一致性。</x:v>
      </x:c>
    </x:row>
    <x:row r="68" ht="54" customHeight="1">
      <x:c r="A68" s="144" t="n">
        <x:v>62</x:v>
      </x:c>
      <x:c r="B68" s="144" t="str">
        <x:v>NVM_ID_EVMEM_LOC_2</x:v>
      </x:c>
      <x:c r="C68" s="144" t="str">
        <x:v>诊断/故障事件存储</x:v>
      </x:c>
      <x:c r="D68" s="153" t="n">
        <x:v>48</x:v>
      </x:c>
      <x:c r="E68" s="153" t="n">
        <x:v>42772</x:v>
      </x:c>
      <x:c r="F68" s="144" t="str">
        <x:v>NATIVE</x:v>
      </x:c>
      <x:c r="G68" s="144" t="n">
        <x:v>1</x:v>
      </x:c>
      <x:c r="H68" s="144" t="n">
        <x:v>0</x:v>
      </x:c>
      <x:c r="I68" s="144" t="str">
        <x:v>NoCrc</x:v>
      </x:c>
      <x:c r="J68" s="144" t="n">
        <x:v>1</x:v>
      </x:c>
      <x:c r="K68" s="144" t="str">
        <x:v>是</x:v>
      </x:c>
      <x:c r="L68" s="144" t="str">
        <x:v>否</x:v>
      </x:c>
      <x:c r="M68" s="144" t="str">
        <x:v>否</x:v>
      </x:c>
      <x:c r="N68" s="144" t="str">
        <x:v>否</x:v>
      </x:c>
      <x:c r="O68" s="144" t="str">
        <x:v>是</x:v>
      </x:c>
      <x:c r="P68" s="144" t="str">
        <x:v>否</x:v>
      </x:c>
      <x:c r="Q68" s="144" t="str">
        <x:v>否</x:v>
      </x:c>
      <x:c r="R68" s="144" t="str">
        <x:v>Explicit Sync共享镜像</x:v>
      </x:c>
      <x:c r="S68" s="144" t="str">
        <x:v>无ROM默认块</x:v>
      </x:c>
      <x:c r="T68" s="144" t="str">
        <x:v>0x0100</x:v>
      </x:c>
      <x:c r="U68" s="144" t="str">
        <x:v>Fee动态（Bank0/Bank1；块物理地址不固定）</x:v>
      </x:c>
      <x:c r="V68" s="144" t="str">
        <x:v>NvM_Cfg.c:3400（ID 62 descriptor）</x:v>
      </x:c>
      <x:c r="W68" s="144" t="str">
        <x:v>Dem并发/0x19/ClearDTC、共享镜像、满载与断电一致性。</x:v>
      </x:c>
    </x:row>
    <x:row r="69" ht="54" customHeight="1">
      <x:c r="A69" s="144" t="n">
        <x:v>63</x:v>
      </x:c>
      <x:c r="B69" s="144" t="str">
        <x:v>NVM_ID_EVMEM_LOC_20</x:v>
      </x:c>
      <x:c r="C69" s="144" t="str">
        <x:v>诊断/故障事件存储</x:v>
      </x:c>
      <x:c r="D69" s="153" t="n">
        <x:v>48</x:v>
      </x:c>
      <x:c r="E69" s="153" t="n">
        <x:v>42810</x:v>
      </x:c>
      <x:c r="F69" s="144" t="str">
        <x:v>NATIVE</x:v>
      </x:c>
      <x:c r="G69" s="144" t="n">
        <x:v>1</x:v>
      </x:c>
      <x:c r="H69" s="144" t="n">
        <x:v>0</x:v>
      </x:c>
      <x:c r="I69" s="144" t="str">
        <x:v>NoCrc</x:v>
      </x:c>
      <x:c r="J69" s="144" t="n">
        <x:v>1</x:v>
      </x:c>
      <x:c r="K69" s="144" t="str">
        <x:v>是</x:v>
      </x:c>
      <x:c r="L69" s="144" t="str">
        <x:v>否</x:v>
      </x:c>
      <x:c r="M69" s="144" t="str">
        <x:v>否</x:v>
      </x:c>
      <x:c r="N69" s="144" t="str">
        <x:v>否</x:v>
      </x:c>
      <x:c r="O69" s="144" t="str">
        <x:v>是</x:v>
      </x:c>
      <x:c r="P69" s="144" t="str">
        <x:v>否</x:v>
      </x:c>
      <x:c r="Q69" s="144" t="str">
        <x:v>否</x:v>
      </x:c>
      <x:c r="R69" s="144" t="str">
        <x:v>Explicit Sync共享镜像</x:v>
      </x:c>
      <x:c r="S69" s="144" t="str">
        <x:v>无ROM默认块</x:v>
      </x:c>
      <x:c r="T69" s="144" t="str">
        <x:v>0x0100</x:v>
      </x:c>
      <x:c r="U69" s="144" t="str">
        <x:v>Fee动态（Bank0/Bank1；块物理地址不固定）</x:v>
      </x:c>
      <x:c r="V69" s="144" t="str">
        <x:v>NvM_Cfg.c:3434（ID 63 descriptor）</x:v>
      </x:c>
      <x:c r="W69" s="144" t="str">
        <x:v>Dem并发/0x19/ClearDTC、共享镜像、满载与断电一致性。</x:v>
      </x:c>
    </x:row>
    <x:row r="70" ht="54" customHeight="1">
      <x:c r="A70" s="144" t="n">
        <x:v>64</x:v>
      </x:c>
      <x:c r="B70" s="144" t="str">
        <x:v>NVM_ID_EVMEM_LOC_21</x:v>
      </x:c>
      <x:c r="C70" s="144" t="str">
        <x:v>诊断/故障事件存储</x:v>
      </x:c>
      <x:c r="D70" s="153" t="n">
        <x:v>48</x:v>
      </x:c>
      <x:c r="E70" s="153" t="n">
        <x:v>42791</x:v>
      </x:c>
      <x:c r="F70" s="144" t="str">
        <x:v>NATIVE</x:v>
      </x:c>
      <x:c r="G70" s="144" t="n">
        <x:v>1</x:v>
      </x:c>
      <x:c r="H70" s="144" t="n">
        <x:v>0</x:v>
      </x:c>
      <x:c r="I70" s="144" t="str">
        <x:v>NoCrc</x:v>
      </x:c>
      <x:c r="J70" s="144" t="n">
        <x:v>1</x:v>
      </x:c>
      <x:c r="K70" s="144" t="str">
        <x:v>是</x:v>
      </x:c>
      <x:c r="L70" s="144" t="str">
        <x:v>否</x:v>
      </x:c>
      <x:c r="M70" s="144" t="str">
        <x:v>否</x:v>
      </x:c>
      <x:c r="N70" s="144" t="str">
        <x:v>否</x:v>
      </x:c>
      <x:c r="O70" s="144" t="str">
        <x:v>是</x:v>
      </x:c>
      <x:c r="P70" s="144" t="str">
        <x:v>否</x:v>
      </x:c>
      <x:c r="Q70" s="144" t="str">
        <x:v>否</x:v>
      </x:c>
      <x:c r="R70" s="144" t="str">
        <x:v>Explicit Sync共享镜像</x:v>
      </x:c>
      <x:c r="S70" s="144" t="str">
        <x:v>无ROM默认块</x:v>
      </x:c>
      <x:c r="T70" s="144" t="str">
        <x:v>0x0100</x:v>
      </x:c>
      <x:c r="U70" s="144" t="str">
        <x:v>Fee动态（Bank0/Bank1；块物理地址不固定）</x:v>
      </x:c>
      <x:c r="V70" s="144" t="str">
        <x:v>NvM_Cfg.c:3468（ID 64 descriptor）</x:v>
      </x:c>
      <x:c r="W70" s="144" t="str">
        <x:v>Dem并发/0x19/ClearDTC、共享镜像、满载与断电一致性。</x:v>
      </x:c>
    </x:row>
    <x:row r="71" ht="54" customHeight="1">
      <x:c r="A71" s="144" t="n">
        <x:v>65</x:v>
      </x:c>
      <x:c r="B71" s="144" t="str">
        <x:v>NVM_ID_EVMEM_LOC_22</x:v>
      </x:c>
      <x:c r="C71" s="144" t="str">
        <x:v>诊断/故障事件存储</x:v>
      </x:c>
      <x:c r="D71" s="153" t="n">
        <x:v>48</x:v>
      </x:c>
      <x:c r="E71" s="153" t="n">
        <x:v>42792</x:v>
      </x:c>
      <x:c r="F71" s="144" t="str">
        <x:v>NATIVE</x:v>
      </x:c>
      <x:c r="G71" s="144" t="n">
        <x:v>1</x:v>
      </x:c>
      <x:c r="H71" s="144" t="n">
        <x:v>0</x:v>
      </x:c>
      <x:c r="I71" s="144" t="str">
        <x:v>NoCrc</x:v>
      </x:c>
      <x:c r="J71" s="144" t="n">
        <x:v>1</x:v>
      </x:c>
      <x:c r="K71" s="144" t="str">
        <x:v>是</x:v>
      </x:c>
      <x:c r="L71" s="144" t="str">
        <x:v>否</x:v>
      </x:c>
      <x:c r="M71" s="144" t="str">
        <x:v>否</x:v>
      </x:c>
      <x:c r="N71" s="144" t="str">
        <x:v>否</x:v>
      </x:c>
      <x:c r="O71" s="144" t="str">
        <x:v>是</x:v>
      </x:c>
      <x:c r="P71" s="144" t="str">
        <x:v>否</x:v>
      </x:c>
      <x:c r="Q71" s="144" t="str">
        <x:v>否</x:v>
      </x:c>
      <x:c r="R71" s="144" t="str">
        <x:v>Explicit Sync共享镜像</x:v>
      </x:c>
      <x:c r="S71" s="144" t="str">
        <x:v>无ROM默认块</x:v>
      </x:c>
      <x:c r="T71" s="144" t="str">
        <x:v>0x0100</x:v>
      </x:c>
      <x:c r="U71" s="144" t="str">
        <x:v>Fee动态（Bank0/Bank1；块物理地址不固定）</x:v>
      </x:c>
      <x:c r="V71" s="144" t="str">
        <x:v>NvM_Cfg.c:3502（ID 65 descriptor）</x:v>
      </x:c>
      <x:c r="W71" s="144" t="str">
        <x:v>Dem并发/0x19/ClearDTC、共享镜像、满载与断电一致性。</x:v>
      </x:c>
    </x:row>
    <x:row r="72" ht="54" customHeight="1">
      <x:c r="A72" s="144" t="n">
        <x:v>66</x:v>
      </x:c>
      <x:c r="B72" s="144" t="str">
        <x:v>NVM_ID_EVMEM_LOC_23</x:v>
      </x:c>
      <x:c r="C72" s="144" t="str">
        <x:v>诊断/故障事件存储</x:v>
      </x:c>
      <x:c r="D72" s="153" t="n">
        <x:v>48</x:v>
      </x:c>
      <x:c r="E72" s="153" t="n">
        <x:v>42793</x:v>
      </x:c>
      <x:c r="F72" s="144" t="str">
        <x:v>NATIVE</x:v>
      </x:c>
      <x:c r="G72" s="144" t="n">
        <x:v>1</x:v>
      </x:c>
      <x:c r="H72" s="144" t="n">
        <x:v>0</x:v>
      </x:c>
      <x:c r="I72" s="144" t="str">
        <x:v>NoCrc</x:v>
      </x:c>
      <x:c r="J72" s="144" t="n">
        <x:v>1</x:v>
      </x:c>
      <x:c r="K72" s="144" t="str">
        <x:v>是</x:v>
      </x:c>
      <x:c r="L72" s="144" t="str">
        <x:v>否</x:v>
      </x:c>
      <x:c r="M72" s="144" t="str">
        <x:v>否</x:v>
      </x:c>
      <x:c r="N72" s="144" t="str">
        <x:v>否</x:v>
      </x:c>
      <x:c r="O72" s="144" t="str">
        <x:v>是</x:v>
      </x:c>
      <x:c r="P72" s="144" t="str">
        <x:v>否</x:v>
      </x:c>
      <x:c r="Q72" s="144" t="str">
        <x:v>否</x:v>
      </x:c>
      <x:c r="R72" s="144" t="str">
        <x:v>Explicit Sync共享镜像</x:v>
      </x:c>
      <x:c r="S72" s="144" t="str">
        <x:v>无ROM默认块</x:v>
      </x:c>
      <x:c r="T72" s="144" t="str">
        <x:v>0x0100</x:v>
      </x:c>
      <x:c r="U72" s="144" t="str">
        <x:v>Fee动态（Bank0/Bank1；块物理地址不固定）</x:v>
      </x:c>
      <x:c r="V72" s="144" t="str">
        <x:v>NvM_Cfg.c:3536（ID 66 descriptor）</x:v>
      </x:c>
      <x:c r="W72" s="144" t="str">
        <x:v>Dem并发/0x19/ClearDTC、共享镜像、满载与断电一致性。</x:v>
      </x:c>
    </x:row>
    <x:row r="73" ht="54" customHeight="1">
      <x:c r="A73" s="144" t="n">
        <x:v>67</x:v>
      </x:c>
      <x:c r="B73" s="144" t="str">
        <x:v>NVM_ID_EVMEM_LOC_24</x:v>
      </x:c>
      <x:c r="C73" s="144" t="str">
        <x:v>诊断/故障事件存储</x:v>
      </x:c>
      <x:c r="D73" s="153" t="n">
        <x:v>48</x:v>
      </x:c>
      <x:c r="E73" s="153" t="n">
        <x:v>42794</x:v>
      </x:c>
      <x:c r="F73" s="144" t="str">
        <x:v>NATIVE</x:v>
      </x:c>
      <x:c r="G73" s="144" t="n">
        <x:v>1</x:v>
      </x:c>
      <x:c r="H73" s="144" t="n">
        <x:v>0</x:v>
      </x:c>
      <x:c r="I73" s="144" t="str">
        <x:v>NoCrc</x:v>
      </x:c>
      <x:c r="J73" s="144" t="n">
        <x:v>1</x:v>
      </x:c>
      <x:c r="K73" s="144" t="str">
        <x:v>是</x:v>
      </x:c>
      <x:c r="L73" s="144" t="str">
        <x:v>否</x:v>
      </x:c>
      <x:c r="M73" s="144" t="str">
        <x:v>否</x:v>
      </x:c>
      <x:c r="N73" s="144" t="str">
        <x:v>否</x:v>
      </x:c>
      <x:c r="O73" s="144" t="str">
        <x:v>是</x:v>
      </x:c>
      <x:c r="P73" s="144" t="str">
        <x:v>否</x:v>
      </x:c>
      <x:c r="Q73" s="144" t="str">
        <x:v>否</x:v>
      </x:c>
      <x:c r="R73" s="144" t="str">
        <x:v>Explicit Sync共享镜像</x:v>
      </x:c>
      <x:c r="S73" s="144" t="str">
        <x:v>无ROM默认块</x:v>
      </x:c>
      <x:c r="T73" s="144" t="str">
        <x:v>0x0100</x:v>
      </x:c>
      <x:c r="U73" s="144" t="str">
        <x:v>Fee动态（Bank0/Bank1；块物理地址不固定）</x:v>
      </x:c>
      <x:c r="V73" s="144" t="str">
        <x:v>NvM_Cfg.c:3570（ID 67 descriptor）</x:v>
      </x:c>
      <x:c r="W73" s="144" t="str">
        <x:v>Dem并发/0x19/ClearDTC、共享镜像、满载与断电一致性。</x:v>
      </x:c>
    </x:row>
    <x:row r="74" ht="54" customHeight="1">
      <x:c r="A74" s="144" t="n">
        <x:v>68</x:v>
      </x:c>
      <x:c r="B74" s="144" t="str">
        <x:v>NVM_ID_EVMEM_LOC_25</x:v>
      </x:c>
      <x:c r="C74" s="144" t="str">
        <x:v>诊断/故障事件存储</x:v>
      </x:c>
      <x:c r="D74" s="153" t="n">
        <x:v>48</x:v>
      </x:c>
      <x:c r="E74" s="153" t="n">
        <x:v>42795</x:v>
      </x:c>
      <x:c r="F74" s="144" t="str">
        <x:v>NATIVE</x:v>
      </x:c>
      <x:c r="G74" s="144" t="n">
        <x:v>1</x:v>
      </x:c>
      <x:c r="H74" s="144" t="n">
        <x:v>0</x:v>
      </x:c>
      <x:c r="I74" s="144" t="str">
        <x:v>NoCrc</x:v>
      </x:c>
      <x:c r="J74" s="144" t="n">
        <x:v>1</x:v>
      </x:c>
      <x:c r="K74" s="144" t="str">
        <x:v>是</x:v>
      </x:c>
      <x:c r="L74" s="144" t="str">
        <x:v>否</x:v>
      </x:c>
      <x:c r="M74" s="144" t="str">
        <x:v>否</x:v>
      </x:c>
      <x:c r="N74" s="144" t="str">
        <x:v>否</x:v>
      </x:c>
      <x:c r="O74" s="144" t="str">
        <x:v>是</x:v>
      </x:c>
      <x:c r="P74" s="144" t="str">
        <x:v>否</x:v>
      </x:c>
      <x:c r="Q74" s="144" t="str">
        <x:v>否</x:v>
      </x:c>
      <x:c r="R74" s="144" t="str">
        <x:v>Explicit Sync共享镜像</x:v>
      </x:c>
      <x:c r="S74" s="144" t="str">
        <x:v>无ROM默认块</x:v>
      </x:c>
      <x:c r="T74" s="144" t="str">
        <x:v>0x0100</x:v>
      </x:c>
      <x:c r="U74" s="144" t="str">
        <x:v>Fee动态（Bank0/Bank1；块物理地址不固定）</x:v>
      </x:c>
      <x:c r="V74" s="144" t="str">
        <x:v>NvM_Cfg.c:3604（ID 68 descriptor）</x:v>
      </x:c>
      <x:c r="W74" s="144" t="str">
        <x:v>Dem并发/0x19/ClearDTC、共享镜像、满载与断电一致性。</x:v>
      </x:c>
    </x:row>
    <x:row r="75" ht="54" customHeight="1">
      <x:c r="A75" s="144" t="n">
        <x:v>69</x:v>
      </x:c>
      <x:c r="B75" s="144" t="str">
        <x:v>NVM_ID_EVMEM_LOC_26</x:v>
      </x:c>
      <x:c r="C75" s="144" t="str">
        <x:v>诊断/故障事件存储</x:v>
      </x:c>
      <x:c r="D75" s="153" t="n">
        <x:v>48</x:v>
      </x:c>
      <x:c r="E75" s="153" t="n">
        <x:v>42796</x:v>
      </x:c>
      <x:c r="F75" s="144" t="str">
        <x:v>NATIVE</x:v>
      </x:c>
      <x:c r="G75" s="144" t="n">
        <x:v>1</x:v>
      </x:c>
      <x:c r="H75" s="144" t="n">
        <x:v>0</x:v>
      </x:c>
      <x:c r="I75" s="144" t="str">
        <x:v>NoCrc</x:v>
      </x:c>
      <x:c r="J75" s="144" t="n">
        <x:v>1</x:v>
      </x:c>
      <x:c r="K75" s="144" t="str">
        <x:v>是</x:v>
      </x:c>
      <x:c r="L75" s="144" t="str">
        <x:v>否</x:v>
      </x:c>
      <x:c r="M75" s="144" t="str">
        <x:v>否</x:v>
      </x:c>
      <x:c r="N75" s="144" t="str">
        <x:v>否</x:v>
      </x:c>
      <x:c r="O75" s="144" t="str">
        <x:v>是</x:v>
      </x:c>
      <x:c r="P75" s="144" t="str">
        <x:v>否</x:v>
      </x:c>
      <x:c r="Q75" s="144" t="str">
        <x:v>否</x:v>
      </x:c>
      <x:c r="R75" s="144" t="str">
        <x:v>Explicit Sync共享镜像</x:v>
      </x:c>
      <x:c r="S75" s="144" t="str">
        <x:v>无ROM默认块</x:v>
      </x:c>
      <x:c r="T75" s="144" t="str">
        <x:v>0x0100</x:v>
      </x:c>
      <x:c r="U75" s="144" t="str">
        <x:v>Fee动态（Bank0/Bank1；块物理地址不固定）</x:v>
      </x:c>
      <x:c r="V75" s="144" t="str">
        <x:v>NvM_Cfg.c:3638（ID 69 descriptor）</x:v>
      </x:c>
      <x:c r="W75" s="144" t="str">
        <x:v>Dem并发/0x19/ClearDTC、共享镜像、满载与断电一致性。</x:v>
      </x:c>
    </x:row>
    <x:row r="76" ht="54" customHeight="1">
      <x:c r="A76" s="144" t="n">
        <x:v>70</x:v>
      </x:c>
      <x:c r="B76" s="144" t="str">
        <x:v>NVM_ID_EVMEM_LOC_27</x:v>
      </x:c>
      <x:c r="C76" s="144" t="str">
        <x:v>诊断/故障事件存储</x:v>
      </x:c>
      <x:c r="D76" s="153" t="n">
        <x:v>48</x:v>
      </x:c>
      <x:c r="E76" s="153" t="n">
        <x:v>42797</x:v>
      </x:c>
      <x:c r="F76" s="144" t="str">
        <x:v>NATIVE</x:v>
      </x:c>
      <x:c r="G76" s="144" t="n">
        <x:v>1</x:v>
      </x:c>
      <x:c r="H76" s="144" t="n">
        <x:v>0</x:v>
      </x:c>
      <x:c r="I76" s="144" t="str">
        <x:v>NoCrc</x:v>
      </x:c>
      <x:c r="J76" s="144" t="n">
        <x:v>1</x:v>
      </x:c>
      <x:c r="K76" s="144" t="str">
        <x:v>是</x:v>
      </x:c>
      <x:c r="L76" s="144" t="str">
        <x:v>否</x:v>
      </x:c>
      <x:c r="M76" s="144" t="str">
        <x:v>否</x:v>
      </x:c>
      <x:c r="N76" s="144" t="str">
        <x:v>否</x:v>
      </x:c>
      <x:c r="O76" s="144" t="str">
        <x:v>是</x:v>
      </x:c>
      <x:c r="P76" s="144" t="str">
        <x:v>否</x:v>
      </x:c>
      <x:c r="Q76" s="144" t="str">
        <x:v>否</x:v>
      </x:c>
      <x:c r="R76" s="144" t="str">
        <x:v>Explicit Sync共享镜像</x:v>
      </x:c>
      <x:c r="S76" s="144" t="str">
        <x:v>无ROM默认块</x:v>
      </x:c>
      <x:c r="T76" s="144" t="str">
        <x:v>0x0100</x:v>
      </x:c>
      <x:c r="U76" s="144" t="str">
        <x:v>Fee动态（Bank0/Bank1；块物理地址不固定）</x:v>
      </x:c>
      <x:c r="V76" s="144" t="str">
        <x:v>NvM_Cfg.c:3672（ID 70 descriptor）</x:v>
      </x:c>
      <x:c r="W76" s="144" t="str">
        <x:v>Dem并发/0x19/ClearDTC、共享镜像、满载与断电一致性。</x:v>
      </x:c>
    </x:row>
    <x:row r="77" ht="54" customHeight="1">
      <x:c r="A77" s="144" t="n">
        <x:v>71</x:v>
      </x:c>
      <x:c r="B77" s="144" t="str">
        <x:v>NVM_ID_EVMEM_LOC_28</x:v>
      </x:c>
      <x:c r="C77" s="144" t="str">
        <x:v>诊断/故障事件存储</x:v>
      </x:c>
      <x:c r="D77" s="153" t="n">
        <x:v>48</x:v>
      </x:c>
      <x:c r="E77" s="153" t="n">
        <x:v>42798</x:v>
      </x:c>
      <x:c r="F77" s="144" t="str">
        <x:v>NATIVE</x:v>
      </x:c>
      <x:c r="G77" s="144" t="n">
        <x:v>1</x:v>
      </x:c>
      <x:c r="H77" s="144" t="n">
        <x:v>0</x:v>
      </x:c>
      <x:c r="I77" s="144" t="str">
        <x:v>NoCrc</x:v>
      </x:c>
      <x:c r="J77" s="144" t="n">
        <x:v>1</x:v>
      </x:c>
      <x:c r="K77" s="144" t="str">
        <x:v>是</x:v>
      </x:c>
      <x:c r="L77" s="144" t="str">
        <x:v>否</x:v>
      </x:c>
      <x:c r="M77" s="144" t="str">
        <x:v>否</x:v>
      </x:c>
      <x:c r="N77" s="144" t="str">
        <x:v>否</x:v>
      </x:c>
      <x:c r="O77" s="144" t="str">
        <x:v>是</x:v>
      </x:c>
      <x:c r="P77" s="144" t="str">
        <x:v>否</x:v>
      </x:c>
      <x:c r="Q77" s="144" t="str">
        <x:v>否</x:v>
      </x:c>
      <x:c r="R77" s="144" t="str">
        <x:v>Explicit Sync共享镜像</x:v>
      </x:c>
      <x:c r="S77" s="144" t="str">
        <x:v>无ROM默认块</x:v>
      </x:c>
      <x:c r="T77" s="144" t="str">
        <x:v>0x0100</x:v>
      </x:c>
      <x:c r="U77" s="144" t="str">
        <x:v>Fee动态（Bank0/Bank1；块物理地址不固定）</x:v>
      </x:c>
      <x:c r="V77" s="144" t="str">
        <x:v>NvM_Cfg.c:3706（ID 71 descriptor）</x:v>
      </x:c>
      <x:c r="W77" s="144" t="str">
        <x:v>Dem并发/0x19/ClearDTC、共享镜像、满载与断电一致性。</x:v>
      </x:c>
    </x:row>
    <x:row r="78" ht="54" customHeight="1">
      <x:c r="A78" s="144" t="n">
        <x:v>72</x:v>
      </x:c>
      <x:c r="B78" s="144" t="str">
        <x:v>NVM_ID_EVMEM_LOC_29</x:v>
      </x:c>
      <x:c r="C78" s="144" t="str">
        <x:v>诊断/故障事件存储</x:v>
      </x:c>
      <x:c r="D78" s="153" t="n">
        <x:v>48</x:v>
      </x:c>
      <x:c r="E78" s="153" t="n">
        <x:v>42799</x:v>
      </x:c>
      <x:c r="F78" s="144" t="str">
        <x:v>NATIVE</x:v>
      </x:c>
      <x:c r="G78" s="144" t="n">
        <x:v>1</x:v>
      </x:c>
      <x:c r="H78" s="144" t="n">
        <x:v>0</x:v>
      </x:c>
      <x:c r="I78" s="144" t="str">
        <x:v>NoCrc</x:v>
      </x:c>
      <x:c r="J78" s="144" t="n">
        <x:v>1</x:v>
      </x:c>
      <x:c r="K78" s="144" t="str">
        <x:v>是</x:v>
      </x:c>
      <x:c r="L78" s="144" t="str">
        <x:v>否</x:v>
      </x:c>
      <x:c r="M78" s="144" t="str">
        <x:v>否</x:v>
      </x:c>
      <x:c r="N78" s="144" t="str">
        <x:v>否</x:v>
      </x:c>
      <x:c r="O78" s="144" t="str">
        <x:v>是</x:v>
      </x:c>
      <x:c r="P78" s="144" t="str">
        <x:v>否</x:v>
      </x:c>
      <x:c r="Q78" s="144" t="str">
        <x:v>否</x:v>
      </x:c>
      <x:c r="R78" s="144" t="str">
        <x:v>Explicit Sync共享镜像</x:v>
      </x:c>
      <x:c r="S78" s="144" t="str">
        <x:v>无ROM默认块</x:v>
      </x:c>
      <x:c r="T78" s="144" t="str">
        <x:v>0x0100</x:v>
      </x:c>
      <x:c r="U78" s="144" t="str">
        <x:v>Fee动态（Bank0/Bank1；块物理地址不固定）</x:v>
      </x:c>
      <x:c r="V78" s="144" t="str">
        <x:v>NvM_Cfg.c:3740（ID 72 descriptor）</x:v>
      </x:c>
      <x:c r="W78" s="144" t="str">
        <x:v>Dem并发/0x19/ClearDTC、共享镜像、满载与断电一致性。</x:v>
      </x:c>
    </x:row>
    <x:row r="79" ht="54" customHeight="1">
      <x:c r="A79" s="144" t="n">
        <x:v>73</x:v>
      </x:c>
      <x:c r="B79" s="144" t="str">
        <x:v>NVM_ID_EVMEM_LOC_3</x:v>
      </x:c>
      <x:c r="C79" s="144" t="str">
        <x:v>诊断/故障事件存储</x:v>
      </x:c>
      <x:c r="D79" s="153" t="n">
        <x:v>48</x:v>
      </x:c>
      <x:c r="E79" s="153" t="n">
        <x:v>42773</x:v>
      </x:c>
      <x:c r="F79" s="144" t="str">
        <x:v>NATIVE</x:v>
      </x:c>
      <x:c r="G79" s="144" t="n">
        <x:v>1</x:v>
      </x:c>
      <x:c r="H79" s="144" t="n">
        <x:v>0</x:v>
      </x:c>
      <x:c r="I79" s="144" t="str">
        <x:v>NoCrc</x:v>
      </x:c>
      <x:c r="J79" s="144" t="n">
        <x:v>1</x:v>
      </x:c>
      <x:c r="K79" s="144" t="str">
        <x:v>是</x:v>
      </x:c>
      <x:c r="L79" s="144" t="str">
        <x:v>否</x:v>
      </x:c>
      <x:c r="M79" s="144" t="str">
        <x:v>否</x:v>
      </x:c>
      <x:c r="N79" s="144" t="str">
        <x:v>否</x:v>
      </x:c>
      <x:c r="O79" s="144" t="str">
        <x:v>是</x:v>
      </x:c>
      <x:c r="P79" s="144" t="str">
        <x:v>否</x:v>
      </x:c>
      <x:c r="Q79" s="144" t="str">
        <x:v>否</x:v>
      </x:c>
      <x:c r="R79" s="144" t="str">
        <x:v>Explicit Sync共享镜像</x:v>
      </x:c>
      <x:c r="S79" s="144" t="str">
        <x:v>无ROM默认块</x:v>
      </x:c>
      <x:c r="T79" s="144" t="str">
        <x:v>0x0100</x:v>
      </x:c>
      <x:c r="U79" s="144" t="str">
        <x:v>Fee动态（Bank0/Bank1；块物理地址不固定）</x:v>
      </x:c>
      <x:c r="V79" s="144" t="str">
        <x:v>NvM_Cfg.c:3774（ID 73 descriptor）</x:v>
      </x:c>
      <x:c r="W79" s="144" t="str">
        <x:v>Dem并发/0x19/ClearDTC、共享镜像、满载与断电一致性。</x:v>
      </x:c>
    </x:row>
    <x:row r="80" ht="54" customHeight="1">
      <x:c r="A80" s="144" t="n">
        <x:v>74</x:v>
      </x:c>
      <x:c r="B80" s="144" t="str">
        <x:v>NVM_ID_EVMEM_LOC_30</x:v>
      </x:c>
      <x:c r="C80" s="144" t="str">
        <x:v>诊断/故障事件存储</x:v>
      </x:c>
      <x:c r="D80" s="153" t="n">
        <x:v>48</x:v>
      </x:c>
      <x:c r="E80" s="153" t="n">
        <x:v>42800</x:v>
      </x:c>
      <x:c r="F80" s="144" t="str">
        <x:v>NATIVE</x:v>
      </x:c>
      <x:c r="G80" s="144" t="n">
        <x:v>1</x:v>
      </x:c>
      <x:c r="H80" s="144" t="n">
        <x:v>0</x:v>
      </x:c>
      <x:c r="I80" s="144" t="str">
        <x:v>NoCrc</x:v>
      </x:c>
      <x:c r="J80" s="144" t="n">
        <x:v>1</x:v>
      </x:c>
      <x:c r="K80" s="144" t="str">
        <x:v>是</x:v>
      </x:c>
      <x:c r="L80" s="144" t="str">
        <x:v>否</x:v>
      </x:c>
      <x:c r="M80" s="144" t="str">
        <x:v>否</x:v>
      </x:c>
      <x:c r="N80" s="144" t="str">
        <x:v>否</x:v>
      </x:c>
      <x:c r="O80" s="144" t="str">
        <x:v>是</x:v>
      </x:c>
      <x:c r="P80" s="144" t="str">
        <x:v>否</x:v>
      </x:c>
      <x:c r="Q80" s="144" t="str">
        <x:v>否</x:v>
      </x:c>
      <x:c r="R80" s="144" t="str">
        <x:v>Explicit Sync共享镜像</x:v>
      </x:c>
      <x:c r="S80" s="144" t="str">
        <x:v>无ROM默认块</x:v>
      </x:c>
      <x:c r="T80" s="144" t="str">
        <x:v>0x0100</x:v>
      </x:c>
      <x:c r="U80" s="144" t="str">
        <x:v>Fee动态（Bank0/Bank1；块物理地址不固定）</x:v>
      </x:c>
      <x:c r="V80" s="144" t="str">
        <x:v>NvM_Cfg.c:3808（ID 74 descriptor）</x:v>
      </x:c>
      <x:c r="W80" s="144" t="str">
        <x:v>Dem并发/0x19/ClearDTC、共享镜像、满载与断电一致性。</x:v>
      </x:c>
    </x:row>
    <x:row r="81" ht="54" customHeight="1">
      <x:c r="A81" s="144" t="n">
        <x:v>75</x:v>
      </x:c>
      <x:c r="B81" s="144" t="str">
        <x:v>NVM_ID_EVMEM_LOC_31</x:v>
      </x:c>
      <x:c r="C81" s="144" t="str">
        <x:v>诊断/故障事件存储</x:v>
      </x:c>
      <x:c r="D81" s="153" t="n">
        <x:v>48</x:v>
      </x:c>
      <x:c r="E81" s="153" t="n">
        <x:v>42801</x:v>
      </x:c>
      <x:c r="F81" s="144" t="str">
        <x:v>NATIVE</x:v>
      </x:c>
      <x:c r="G81" s="144" t="n">
        <x:v>1</x:v>
      </x:c>
      <x:c r="H81" s="144" t="n">
        <x:v>0</x:v>
      </x:c>
      <x:c r="I81" s="144" t="str">
        <x:v>NoCrc</x:v>
      </x:c>
      <x:c r="J81" s="144" t="n">
        <x:v>1</x:v>
      </x:c>
      <x:c r="K81" s="144" t="str">
        <x:v>是</x:v>
      </x:c>
      <x:c r="L81" s="144" t="str">
        <x:v>否</x:v>
      </x:c>
      <x:c r="M81" s="144" t="str">
        <x:v>否</x:v>
      </x:c>
      <x:c r="N81" s="144" t="str">
        <x:v>否</x:v>
      </x:c>
      <x:c r="O81" s="144" t="str">
        <x:v>是</x:v>
      </x:c>
      <x:c r="P81" s="144" t="str">
        <x:v>否</x:v>
      </x:c>
      <x:c r="Q81" s="144" t="str">
        <x:v>否</x:v>
      </x:c>
      <x:c r="R81" s="144" t="str">
        <x:v>Explicit Sync共享镜像</x:v>
      </x:c>
      <x:c r="S81" s="144" t="str">
        <x:v>无ROM默认块</x:v>
      </x:c>
      <x:c r="T81" s="144" t="str">
        <x:v>0x0100</x:v>
      </x:c>
      <x:c r="U81" s="144" t="str">
        <x:v>Fee动态（Bank0/Bank1；块物理地址不固定）</x:v>
      </x:c>
      <x:c r="V81" s="144" t="str">
        <x:v>NvM_Cfg.c:3842（ID 75 descriptor）</x:v>
      </x:c>
      <x:c r="W81" s="144" t="str">
        <x:v>Dem并发/0x19/ClearDTC、共享镜像、满载与断电一致性。</x:v>
      </x:c>
    </x:row>
    <x:row r="82" ht="54" customHeight="1">
      <x:c r="A82" s="144" t="n">
        <x:v>76</x:v>
      </x:c>
      <x:c r="B82" s="144" t="str">
        <x:v>NVM_ID_EVMEM_LOC_32</x:v>
      </x:c>
      <x:c r="C82" s="144" t="str">
        <x:v>诊断/故障事件存储</x:v>
      </x:c>
      <x:c r="D82" s="153" t="n">
        <x:v>48</x:v>
      </x:c>
      <x:c r="E82" s="153" t="n">
        <x:v>42802</x:v>
      </x:c>
      <x:c r="F82" s="144" t="str">
        <x:v>NATIVE</x:v>
      </x:c>
      <x:c r="G82" s="144" t="n">
        <x:v>1</x:v>
      </x:c>
      <x:c r="H82" s="144" t="n">
        <x:v>0</x:v>
      </x:c>
      <x:c r="I82" s="144" t="str">
        <x:v>NoCrc</x:v>
      </x:c>
      <x:c r="J82" s="144" t="n">
        <x:v>1</x:v>
      </x:c>
      <x:c r="K82" s="144" t="str">
        <x:v>是</x:v>
      </x:c>
      <x:c r="L82" s="144" t="str">
        <x:v>否</x:v>
      </x:c>
      <x:c r="M82" s="144" t="str">
        <x:v>否</x:v>
      </x:c>
      <x:c r="N82" s="144" t="str">
        <x:v>否</x:v>
      </x:c>
      <x:c r="O82" s="144" t="str">
        <x:v>是</x:v>
      </x:c>
      <x:c r="P82" s="144" t="str">
        <x:v>否</x:v>
      </x:c>
      <x:c r="Q82" s="144" t="str">
        <x:v>否</x:v>
      </x:c>
      <x:c r="R82" s="144" t="str">
        <x:v>Explicit Sync共享镜像</x:v>
      </x:c>
      <x:c r="S82" s="144" t="str">
        <x:v>无ROM默认块</x:v>
      </x:c>
      <x:c r="T82" s="144" t="str">
        <x:v>0x0100</x:v>
      </x:c>
      <x:c r="U82" s="144" t="str">
        <x:v>Fee动态（Bank0/Bank1；块物理地址不固定）</x:v>
      </x:c>
      <x:c r="V82" s="144" t="str">
        <x:v>NvM_Cfg.c:3876（ID 76 descriptor）</x:v>
      </x:c>
      <x:c r="W82" s="144" t="str">
        <x:v>Dem并发/0x19/ClearDTC、共享镜像、满载与断电一致性。</x:v>
      </x:c>
    </x:row>
    <x:row r="83" ht="54" customHeight="1">
      <x:c r="A83" s="144" t="n">
        <x:v>77</x:v>
      </x:c>
      <x:c r="B83" s="144" t="str">
        <x:v>NVM_ID_EVMEM_LOC_33</x:v>
      </x:c>
      <x:c r="C83" s="144" t="str">
        <x:v>诊断/故障事件存储</x:v>
      </x:c>
      <x:c r="D83" s="153" t="n">
        <x:v>48</x:v>
      </x:c>
      <x:c r="E83" s="153" t="n">
        <x:v>42803</x:v>
      </x:c>
      <x:c r="F83" s="144" t="str">
        <x:v>NATIVE</x:v>
      </x:c>
      <x:c r="G83" s="144" t="n">
        <x:v>1</x:v>
      </x:c>
      <x:c r="H83" s="144" t="n">
        <x:v>0</x:v>
      </x:c>
      <x:c r="I83" s="144" t="str">
        <x:v>NoCrc</x:v>
      </x:c>
      <x:c r="J83" s="144" t="n">
        <x:v>1</x:v>
      </x:c>
      <x:c r="K83" s="144" t="str">
        <x:v>是</x:v>
      </x:c>
      <x:c r="L83" s="144" t="str">
        <x:v>否</x:v>
      </x:c>
      <x:c r="M83" s="144" t="str">
        <x:v>否</x:v>
      </x:c>
      <x:c r="N83" s="144" t="str">
        <x:v>否</x:v>
      </x:c>
      <x:c r="O83" s="144" t="str">
        <x:v>是</x:v>
      </x:c>
      <x:c r="P83" s="144" t="str">
        <x:v>否</x:v>
      </x:c>
      <x:c r="Q83" s="144" t="str">
        <x:v>否</x:v>
      </x:c>
      <x:c r="R83" s="144" t="str">
        <x:v>Explicit Sync共享镜像</x:v>
      </x:c>
      <x:c r="S83" s="144" t="str">
        <x:v>无ROM默认块</x:v>
      </x:c>
      <x:c r="T83" s="144" t="str">
        <x:v>0x0100</x:v>
      </x:c>
      <x:c r="U83" s="144" t="str">
        <x:v>Fee动态（Bank0/Bank1；块物理地址不固定）</x:v>
      </x:c>
      <x:c r="V83" s="144" t="str">
        <x:v>NvM_Cfg.c:3910（ID 77 descriptor）</x:v>
      </x:c>
      <x:c r="W83" s="144" t="str">
        <x:v>Dem并发/0x19/ClearDTC、共享镜像、满载与断电一致性。</x:v>
      </x:c>
    </x:row>
    <x:row r="84" ht="54" customHeight="1">
      <x:c r="A84" s="144" t="n">
        <x:v>78</x:v>
      </x:c>
      <x:c r="B84" s="144" t="str">
        <x:v>NVM_ID_EVMEM_LOC_34</x:v>
      </x:c>
      <x:c r="C84" s="144" t="str">
        <x:v>诊断/故障事件存储</x:v>
      </x:c>
      <x:c r="D84" s="153" t="n">
        <x:v>48</x:v>
      </x:c>
      <x:c r="E84" s="153" t="n">
        <x:v>42804</x:v>
      </x:c>
      <x:c r="F84" s="144" t="str">
        <x:v>NATIVE</x:v>
      </x:c>
      <x:c r="G84" s="144" t="n">
        <x:v>1</x:v>
      </x:c>
      <x:c r="H84" s="144" t="n">
        <x:v>0</x:v>
      </x:c>
      <x:c r="I84" s="144" t="str">
        <x:v>NoCrc</x:v>
      </x:c>
      <x:c r="J84" s="144" t="n">
        <x:v>1</x:v>
      </x:c>
      <x:c r="K84" s="144" t="str">
        <x:v>是</x:v>
      </x:c>
      <x:c r="L84" s="144" t="str">
        <x:v>否</x:v>
      </x:c>
      <x:c r="M84" s="144" t="str">
        <x:v>否</x:v>
      </x:c>
      <x:c r="N84" s="144" t="str">
        <x:v>否</x:v>
      </x:c>
      <x:c r="O84" s="144" t="str">
        <x:v>是</x:v>
      </x:c>
      <x:c r="P84" s="144" t="str">
        <x:v>否</x:v>
      </x:c>
      <x:c r="Q84" s="144" t="str">
        <x:v>否</x:v>
      </x:c>
      <x:c r="R84" s="144" t="str">
        <x:v>Explicit Sync共享镜像</x:v>
      </x:c>
      <x:c r="S84" s="144" t="str">
        <x:v>无ROM默认块</x:v>
      </x:c>
      <x:c r="T84" s="144" t="str">
        <x:v>0x0100</x:v>
      </x:c>
      <x:c r="U84" s="144" t="str">
        <x:v>Fee动态（Bank0/Bank1；块物理地址不固定）</x:v>
      </x:c>
      <x:c r="V84" s="144" t="str">
        <x:v>NvM_Cfg.c:3944（ID 78 descriptor）</x:v>
      </x:c>
      <x:c r="W84" s="144" t="str">
        <x:v>Dem并发/0x19/ClearDTC、共享镜像、满载与断电一致性。</x:v>
      </x:c>
    </x:row>
    <x:row r="85" ht="54" customHeight="1">
      <x:c r="A85" s="144" t="n">
        <x:v>79</x:v>
      </x:c>
      <x:c r="B85" s="144" t="str">
        <x:v>NVM_ID_EVMEM_LOC_35</x:v>
      </x:c>
      <x:c r="C85" s="144" t="str">
        <x:v>诊断/故障事件存储</x:v>
      </x:c>
      <x:c r="D85" s="153" t="n">
        <x:v>48</x:v>
      </x:c>
      <x:c r="E85" s="153" t="n">
        <x:v>42805</x:v>
      </x:c>
      <x:c r="F85" s="144" t="str">
        <x:v>NATIVE</x:v>
      </x:c>
      <x:c r="G85" s="144" t="n">
        <x:v>1</x:v>
      </x:c>
      <x:c r="H85" s="144" t="n">
        <x:v>0</x:v>
      </x:c>
      <x:c r="I85" s="144" t="str">
        <x:v>NoCrc</x:v>
      </x:c>
      <x:c r="J85" s="144" t="n">
        <x:v>1</x:v>
      </x:c>
      <x:c r="K85" s="144" t="str">
        <x:v>是</x:v>
      </x:c>
      <x:c r="L85" s="144" t="str">
        <x:v>否</x:v>
      </x:c>
      <x:c r="M85" s="144" t="str">
        <x:v>否</x:v>
      </x:c>
      <x:c r="N85" s="144" t="str">
        <x:v>否</x:v>
      </x:c>
      <x:c r="O85" s="144" t="str">
        <x:v>是</x:v>
      </x:c>
      <x:c r="P85" s="144" t="str">
        <x:v>否</x:v>
      </x:c>
      <x:c r="Q85" s="144" t="str">
        <x:v>否</x:v>
      </x:c>
      <x:c r="R85" s="144" t="str">
        <x:v>Explicit Sync共享镜像</x:v>
      </x:c>
      <x:c r="S85" s="144" t="str">
        <x:v>无ROM默认块</x:v>
      </x:c>
      <x:c r="T85" s="144" t="str">
        <x:v>0x0100</x:v>
      </x:c>
      <x:c r="U85" s="144" t="str">
        <x:v>Fee动态（Bank0/Bank1；块物理地址不固定）</x:v>
      </x:c>
      <x:c r="V85" s="144" t="str">
        <x:v>NvM_Cfg.c:3978（ID 79 descriptor）</x:v>
      </x:c>
      <x:c r="W85" s="144" t="str">
        <x:v>Dem并发/0x19/ClearDTC、共享镜像、满载与断电一致性。</x:v>
      </x:c>
    </x:row>
    <x:row r="86" ht="54" customHeight="1">
      <x:c r="A86" s="144" t="n">
        <x:v>80</x:v>
      </x:c>
      <x:c r="B86" s="144" t="str">
        <x:v>NVM_ID_EVMEM_LOC_36</x:v>
      </x:c>
      <x:c r="C86" s="144" t="str">
        <x:v>诊断/故障事件存储</x:v>
      </x:c>
      <x:c r="D86" s="153" t="n">
        <x:v>48</x:v>
      </x:c>
      <x:c r="E86" s="153" t="n">
        <x:v>42806</x:v>
      </x:c>
      <x:c r="F86" s="144" t="str">
        <x:v>NATIVE</x:v>
      </x:c>
      <x:c r="G86" s="144" t="n">
        <x:v>1</x:v>
      </x:c>
      <x:c r="H86" s="144" t="n">
        <x:v>0</x:v>
      </x:c>
      <x:c r="I86" s="144" t="str">
        <x:v>NoCrc</x:v>
      </x:c>
      <x:c r="J86" s="144" t="n">
        <x:v>1</x:v>
      </x:c>
      <x:c r="K86" s="144" t="str">
        <x:v>是</x:v>
      </x:c>
      <x:c r="L86" s="144" t="str">
        <x:v>否</x:v>
      </x:c>
      <x:c r="M86" s="144" t="str">
        <x:v>否</x:v>
      </x:c>
      <x:c r="N86" s="144" t="str">
        <x:v>否</x:v>
      </x:c>
      <x:c r="O86" s="144" t="str">
        <x:v>是</x:v>
      </x:c>
      <x:c r="P86" s="144" t="str">
        <x:v>否</x:v>
      </x:c>
      <x:c r="Q86" s="144" t="str">
        <x:v>否</x:v>
      </x:c>
      <x:c r="R86" s="144" t="str">
        <x:v>Explicit Sync共享镜像</x:v>
      </x:c>
      <x:c r="S86" s="144" t="str">
        <x:v>无ROM默认块</x:v>
      </x:c>
      <x:c r="T86" s="144" t="str">
        <x:v>0x0100</x:v>
      </x:c>
      <x:c r="U86" s="144" t="str">
        <x:v>Fee动态（Bank0/Bank1；块物理地址不固定）</x:v>
      </x:c>
      <x:c r="V86" s="144" t="str">
        <x:v>NvM_Cfg.c:4012（ID 80 descriptor）</x:v>
      </x:c>
      <x:c r="W86" s="144" t="str">
        <x:v>Dem并发/0x19/ClearDTC、共享镜像、满载与断电一致性。</x:v>
      </x:c>
    </x:row>
    <x:row r="87" ht="54" customHeight="1">
      <x:c r="A87" s="144" t="n">
        <x:v>81</x:v>
      </x:c>
      <x:c r="B87" s="144" t="str">
        <x:v>NVM_ID_EVMEM_LOC_37</x:v>
      </x:c>
      <x:c r="C87" s="144" t="str">
        <x:v>诊断/故障事件存储</x:v>
      </x:c>
      <x:c r="D87" s="153" t="n">
        <x:v>48</x:v>
      </x:c>
      <x:c r="E87" s="153" t="n">
        <x:v>42807</x:v>
      </x:c>
      <x:c r="F87" s="144" t="str">
        <x:v>NATIVE</x:v>
      </x:c>
      <x:c r="G87" s="144" t="n">
        <x:v>1</x:v>
      </x:c>
      <x:c r="H87" s="144" t="n">
        <x:v>0</x:v>
      </x:c>
      <x:c r="I87" s="144" t="str">
        <x:v>NoCrc</x:v>
      </x:c>
      <x:c r="J87" s="144" t="n">
        <x:v>1</x:v>
      </x:c>
      <x:c r="K87" s="144" t="str">
        <x:v>是</x:v>
      </x:c>
      <x:c r="L87" s="144" t="str">
        <x:v>否</x:v>
      </x:c>
      <x:c r="M87" s="144" t="str">
        <x:v>否</x:v>
      </x:c>
      <x:c r="N87" s="144" t="str">
        <x:v>否</x:v>
      </x:c>
      <x:c r="O87" s="144" t="str">
        <x:v>是</x:v>
      </x:c>
      <x:c r="P87" s="144" t="str">
        <x:v>否</x:v>
      </x:c>
      <x:c r="Q87" s="144" t="str">
        <x:v>否</x:v>
      </x:c>
      <x:c r="R87" s="144" t="str">
        <x:v>Explicit Sync共享镜像</x:v>
      </x:c>
      <x:c r="S87" s="144" t="str">
        <x:v>无ROM默认块</x:v>
      </x:c>
      <x:c r="T87" s="144" t="str">
        <x:v>0x0100</x:v>
      </x:c>
      <x:c r="U87" s="144" t="str">
        <x:v>Fee动态（Bank0/Bank1；块物理地址不固定）</x:v>
      </x:c>
      <x:c r="V87" s="144" t="str">
        <x:v>NvM_Cfg.c:4046（ID 81 descriptor）</x:v>
      </x:c>
      <x:c r="W87" s="144" t="str">
        <x:v>Dem并发/0x19/ClearDTC、共享镜像、满载与断电一致性。</x:v>
      </x:c>
    </x:row>
    <x:row r="88" ht="54" customHeight="1">
      <x:c r="A88" s="144" t="n">
        <x:v>82</x:v>
      </x:c>
      <x:c r="B88" s="144" t="str">
        <x:v>NVM_ID_EVMEM_LOC_38</x:v>
      </x:c>
      <x:c r="C88" s="144" t="str">
        <x:v>诊断/故障事件存储</x:v>
      </x:c>
      <x:c r="D88" s="153" t="n">
        <x:v>48</x:v>
      </x:c>
      <x:c r="E88" s="153" t="n">
        <x:v>42808</x:v>
      </x:c>
      <x:c r="F88" s="144" t="str">
        <x:v>NATIVE</x:v>
      </x:c>
      <x:c r="G88" s="144" t="n">
        <x:v>1</x:v>
      </x:c>
      <x:c r="H88" s="144" t="n">
        <x:v>0</x:v>
      </x:c>
      <x:c r="I88" s="144" t="str">
        <x:v>NoCrc</x:v>
      </x:c>
      <x:c r="J88" s="144" t="n">
        <x:v>1</x:v>
      </x:c>
      <x:c r="K88" s="144" t="str">
        <x:v>是</x:v>
      </x:c>
      <x:c r="L88" s="144" t="str">
        <x:v>否</x:v>
      </x:c>
      <x:c r="M88" s="144" t="str">
        <x:v>否</x:v>
      </x:c>
      <x:c r="N88" s="144" t="str">
        <x:v>否</x:v>
      </x:c>
      <x:c r="O88" s="144" t="str">
        <x:v>是</x:v>
      </x:c>
      <x:c r="P88" s="144" t="str">
        <x:v>否</x:v>
      </x:c>
      <x:c r="Q88" s="144" t="str">
        <x:v>否</x:v>
      </x:c>
      <x:c r="R88" s="144" t="str">
        <x:v>Explicit Sync共享镜像</x:v>
      </x:c>
      <x:c r="S88" s="144" t="str">
        <x:v>无ROM默认块</x:v>
      </x:c>
      <x:c r="T88" s="144" t="str">
        <x:v>0x0100</x:v>
      </x:c>
      <x:c r="U88" s="144" t="str">
        <x:v>Fee动态（Bank0/Bank1；块物理地址不固定）</x:v>
      </x:c>
      <x:c r="V88" s="144" t="str">
        <x:v>NvM_Cfg.c:4080（ID 82 descriptor）</x:v>
      </x:c>
      <x:c r="W88" s="144" t="str">
        <x:v>Dem并发/0x19/ClearDTC、共享镜像、满载与断电一致性。</x:v>
      </x:c>
    </x:row>
    <x:row r="89" ht="54" customHeight="1">
      <x:c r="A89" s="144" t="n">
        <x:v>83</x:v>
      </x:c>
      <x:c r="B89" s="144" t="str">
        <x:v>NVM_ID_EVMEM_LOC_39</x:v>
      </x:c>
      <x:c r="C89" s="144" t="str">
        <x:v>诊断/故障事件存储</x:v>
      </x:c>
      <x:c r="D89" s="153" t="n">
        <x:v>48</x:v>
      </x:c>
      <x:c r="E89" s="153" t="n">
        <x:v>42809</x:v>
      </x:c>
      <x:c r="F89" s="144" t="str">
        <x:v>NATIVE</x:v>
      </x:c>
      <x:c r="G89" s="144" t="n">
        <x:v>1</x:v>
      </x:c>
      <x:c r="H89" s="144" t="n">
        <x:v>0</x:v>
      </x:c>
      <x:c r="I89" s="144" t="str">
        <x:v>NoCrc</x:v>
      </x:c>
      <x:c r="J89" s="144" t="n">
        <x:v>1</x:v>
      </x:c>
      <x:c r="K89" s="144" t="str">
        <x:v>是</x:v>
      </x:c>
      <x:c r="L89" s="144" t="str">
        <x:v>否</x:v>
      </x:c>
      <x:c r="M89" s="144" t="str">
        <x:v>否</x:v>
      </x:c>
      <x:c r="N89" s="144" t="str">
        <x:v>否</x:v>
      </x:c>
      <x:c r="O89" s="144" t="str">
        <x:v>是</x:v>
      </x:c>
      <x:c r="P89" s="144" t="str">
        <x:v>否</x:v>
      </x:c>
      <x:c r="Q89" s="144" t="str">
        <x:v>否</x:v>
      </x:c>
      <x:c r="R89" s="144" t="str">
        <x:v>Explicit Sync共享镜像</x:v>
      </x:c>
      <x:c r="S89" s="144" t="str">
        <x:v>无ROM默认块</x:v>
      </x:c>
      <x:c r="T89" s="144" t="str">
        <x:v>0x0100</x:v>
      </x:c>
      <x:c r="U89" s="144" t="str">
        <x:v>Fee动态（Bank0/Bank1；块物理地址不固定）</x:v>
      </x:c>
      <x:c r="V89" s="144" t="str">
        <x:v>NvM_Cfg.c:4114（ID 83 descriptor）</x:v>
      </x:c>
      <x:c r="W89" s="144" t="str">
        <x:v>Dem并发/0x19/ClearDTC、共享镜像、满载与断电一致性。</x:v>
      </x:c>
    </x:row>
    <x:row r="90" ht="54" customHeight="1">
      <x:c r="A90" s="144" t="n">
        <x:v>84</x:v>
      </x:c>
      <x:c r="B90" s="144" t="str">
        <x:v>NVM_ID_EVMEM_LOC_4</x:v>
      </x:c>
      <x:c r="C90" s="144" t="str">
        <x:v>诊断/故障事件存储</x:v>
      </x:c>
      <x:c r="D90" s="153" t="n">
        <x:v>48</x:v>
      </x:c>
      <x:c r="E90" s="153" t="n">
        <x:v>42774</x:v>
      </x:c>
      <x:c r="F90" s="144" t="str">
        <x:v>NATIVE</x:v>
      </x:c>
      <x:c r="G90" s="144" t="n">
        <x:v>1</x:v>
      </x:c>
      <x:c r="H90" s="144" t="n">
        <x:v>0</x:v>
      </x:c>
      <x:c r="I90" s="144" t="str">
        <x:v>NoCrc</x:v>
      </x:c>
      <x:c r="J90" s="144" t="n">
        <x:v>1</x:v>
      </x:c>
      <x:c r="K90" s="144" t="str">
        <x:v>是</x:v>
      </x:c>
      <x:c r="L90" s="144" t="str">
        <x:v>否</x:v>
      </x:c>
      <x:c r="M90" s="144" t="str">
        <x:v>否</x:v>
      </x:c>
      <x:c r="N90" s="144" t="str">
        <x:v>否</x:v>
      </x:c>
      <x:c r="O90" s="144" t="str">
        <x:v>是</x:v>
      </x:c>
      <x:c r="P90" s="144" t="str">
        <x:v>否</x:v>
      </x:c>
      <x:c r="Q90" s="144" t="str">
        <x:v>否</x:v>
      </x:c>
      <x:c r="R90" s="144" t="str">
        <x:v>Explicit Sync共享镜像</x:v>
      </x:c>
      <x:c r="S90" s="144" t="str">
        <x:v>无ROM默认块</x:v>
      </x:c>
      <x:c r="T90" s="144" t="str">
        <x:v>0x0100</x:v>
      </x:c>
      <x:c r="U90" s="144" t="str">
        <x:v>Fee动态（Bank0/Bank1；块物理地址不固定）</x:v>
      </x:c>
      <x:c r="V90" s="144" t="str">
        <x:v>NvM_Cfg.c:4148（ID 84 descriptor）</x:v>
      </x:c>
      <x:c r="W90" s="144" t="str">
        <x:v>Dem并发/0x19/ClearDTC、共享镜像、满载与断电一致性。</x:v>
      </x:c>
    </x:row>
    <x:row r="91" ht="54" customHeight="1">
      <x:c r="A91" s="144" t="n">
        <x:v>85</x:v>
      </x:c>
      <x:c r="B91" s="144" t="str">
        <x:v>NVM_ID_EVMEM_LOC_5</x:v>
      </x:c>
      <x:c r="C91" s="144" t="str">
        <x:v>诊断/故障事件存储</x:v>
      </x:c>
      <x:c r="D91" s="153" t="n">
        <x:v>48</x:v>
      </x:c>
      <x:c r="E91" s="153" t="n">
        <x:v>42775</x:v>
      </x:c>
      <x:c r="F91" s="144" t="str">
        <x:v>NATIVE</x:v>
      </x:c>
      <x:c r="G91" s="144" t="n">
        <x:v>1</x:v>
      </x:c>
      <x:c r="H91" s="144" t="n">
        <x:v>0</x:v>
      </x:c>
      <x:c r="I91" s="144" t="str">
        <x:v>NoCrc</x:v>
      </x:c>
      <x:c r="J91" s="144" t="n">
        <x:v>1</x:v>
      </x:c>
      <x:c r="K91" s="144" t="str">
        <x:v>是</x:v>
      </x:c>
      <x:c r="L91" s="144" t="str">
        <x:v>否</x:v>
      </x:c>
      <x:c r="M91" s="144" t="str">
        <x:v>否</x:v>
      </x:c>
      <x:c r="N91" s="144" t="str">
        <x:v>否</x:v>
      </x:c>
      <x:c r="O91" s="144" t="str">
        <x:v>是</x:v>
      </x:c>
      <x:c r="P91" s="144" t="str">
        <x:v>否</x:v>
      </x:c>
      <x:c r="Q91" s="144" t="str">
        <x:v>否</x:v>
      </x:c>
      <x:c r="R91" s="144" t="str">
        <x:v>Explicit Sync共享镜像</x:v>
      </x:c>
      <x:c r="S91" s="144" t="str">
        <x:v>无ROM默认块</x:v>
      </x:c>
      <x:c r="T91" s="144" t="str">
        <x:v>0x0100</x:v>
      </x:c>
      <x:c r="U91" s="144" t="str">
        <x:v>Fee动态（Bank0/Bank1；块物理地址不固定）</x:v>
      </x:c>
      <x:c r="V91" s="144" t="str">
        <x:v>NvM_Cfg.c:4182（ID 85 descriptor）</x:v>
      </x:c>
      <x:c r="W91" s="144" t="str">
        <x:v>Dem并发/0x19/ClearDTC、共享镜像、满载与断电一致性。</x:v>
      </x:c>
    </x:row>
    <x:row r="92" ht="54" customHeight="1">
      <x:c r="A92" s="144" t="n">
        <x:v>86</x:v>
      </x:c>
      <x:c r="B92" s="144" t="str">
        <x:v>NVM_ID_EVMEM_LOC_6</x:v>
      </x:c>
      <x:c r="C92" s="144" t="str">
        <x:v>诊断/故障事件存储</x:v>
      </x:c>
      <x:c r="D92" s="153" t="n">
        <x:v>48</x:v>
      </x:c>
      <x:c r="E92" s="153" t="n">
        <x:v>42776</x:v>
      </x:c>
      <x:c r="F92" s="144" t="str">
        <x:v>NATIVE</x:v>
      </x:c>
      <x:c r="G92" s="144" t="n">
        <x:v>1</x:v>
      </x:c>
      <x:c r="H92" s="144" t="n">
        <x:v>0</x:v>
      </x:c>
      <x:c r="I92" s="144" t="str">
        <x:v>NoCrc</x:v>
      </x:c>
      <x:c r="J92" s="144" t="n">
        <x:v>1</x:v>
      </x:c>
      <x:c r="K92" s="144" t="str">
        <x:v>是</x:v>
      </x:c>
      <x:c r="L92" s="144" t="str">
        <x:v>否</x:v>
      </x:c>
      <x:c r="M92" s="144" t="str">
        <x:v>否</x:v>
      </x:c>
      <x:c r="N92" s="144" t="str">
        <x:v>否</x:v>
      </x:c>
      <x:c r="O92" s="144" t="str">
        <x:v>是</x:v>
      </x:c>
      <x:c r="P92" s="144" t="str">
        <x:v>否</x:v>
      </x:c>
      <x:c r="Q92" s="144" t="str">
        <x:v>否</x:v>
      </x:c>
      <x:c r="R92" s="144" t="str">
        <x:v>Explicit Sync共享镜像</x:v>
      </x:c>
      <x:c r="S92" s="144" t="str">
        <x:v>无ROM默认块</x:v>
      </x:c>
      <x:c r="T92" s="144" t="str">
        <x:v>0x0100</x:v>
      </x:c>
      <x:c r="U92" s="144" t="str">
        <x:v>Fee动态（Bank0/Bank1；块物理地址不固定）</x:v>
      </x:c>
      <x:c r="V92" s="144" t="str">
        <x:v>NvM_Cfg.c:4216（ID 86 descriptor）</x:v>
      </x:c>
      <x:c r="W92" s="144" t="str">
        <x:v>Dem并发/0x19/ClearDTC、共享镜像、满载与断电一致性。</x:v>
      </x:c>
    </x:row>
    <x:row r="93" ht="54" customHeight="1">
      <x:c r="A93" s="144" t="n">
        <x:v>87</x:v>
      </x:c>
      <x:c r="B93" s="144" t="str">
        <x:v>NVM_ID_EVMEM_LOC_7</x:v>
      </x:c>
      <x:c r="C93" s="144" t="str">
        <x:v>诊断/故障事件存储</x:v>
      </x:c>
      <x:c r="D93" s="153" t="n">
        <x:v>48</x:v>
      </x:c>
      <x:c r="E93" s="153" t="n">
        <x:v>42777</x:v>
      </x:c>
      <x:c r="F93" s="144" t="str">
        <x:v>NATIVE</x:v>
      </x:c>
      <x:c r="G93" s="144" t="n">
        <x:v>1</x:v>
      </x:c>
      <x:c r="H93" s="144" t="n">
        <x:v>0</x:v>
      </x:c>
      <x:c r="I93" s="144" t="str">
        <x:v>NoCrc</x:v>
      </x:c>
      <x:c r="J93" s="144" t="n">
        <x:v>1</x:v>
      </x:c>
      <x:c r="K93" s="144" t="str">
        <x:v>是</x:v>
      </x:c>
      <x:c r="L93" s="144" t="str">
        <x:v>否</x:v>
      </x:c>
      <x:c r="M93" s="144" t="str">
        <x:v>否</x:v>
      </x:c>
      <x:c r="N93" s="144" t="str">
        <x:v>否</x:v>
      </x:c>
      <x:c r="O93" s="144" t="str">
        <x:v>是</x:v>
      </x:c>
      <x:c r="P93" s="144" t="str">
        <x:v>否</x:v>
      </x:c>
      <x:c r="Q93" s="144" t="str">
        <x:v>否</x:v>
      </x:c>
      <x:c r="R93" s="144" t="str">
        <x:v>Explicit Sync共享镜像</x:v>
      </x:c>
      <x:c r="S93" s="144" t="str">
        <x:v>无ROM默认块</x:v>
      </x:c>
      <x:c r="T93" s="144" t="str">
        <x:v>0x0100</x:v>
      </x:c>
      <x:c r="U93" s="144" t="str">
        <x:v>Fee动态（Bank0/Bank1；块物理地址不固定）</x:v>
      </x:c>
      <x:c r="V93" s="144" t="str">
        <x:v>NvM_Cfg.c:4250（ID 87 descriptor）</x:v>
      </x:c>
      <x:c r="W93" s="144" t="str">
        <x:v>Dem并发/0x19/ClearDTC、共享镜像、满载与断电一致性。</x:v>
      </x:c>
    </x:row>
    <x:row r="94" ht="54" customHeight="1">
      <x:c r="A94" s="144" t="n">
        <x:v>88</x:v>
      </x:c>
      <x:c r="B94" s="144" t="str">
        <x:v>NVM_ID_EVMEM_LOC_8</x:v>
      </x:c>
      <x:c r="C94" s="144" t="str">
        <x:v>诊断/故障事件存储</x:v>
      </x:c>
      <x:c r="D94" s="153" t="n">
        <x:v>48</x:v>
      </x:c>
      <x:c r="E94" s="153" t="n">
        <x:v>42778</x:v>
      </x:c>
      <x:c r="F94" s="144" t="str">
        <x:v>NATIVE</x:v>
      </x:c>
      <x:c r="G94" s="144" t="n">
        <x:v>1</x:v>
      </x:c>
      <x:c r="H94" s="144" t="n">
        <x:v>0</x:v>
      </x:c>
      <x:c r="I94" s="144" t="str">
        <x:v>NoCrc</x:v>
      </x:c>
      <x:c r="J94" s="144" t="n">
        <x:v>1</x:v>
      </x:c>
      <x:c r="K94" s="144" t="str">
        <x:v>是</x:v>
      </x:c>
      <x:c r="L94" s="144" t="str">
        <x:v>否</x:v>
      </x:c>
      <x:c r="M94" s="144" t="str">
        <x:v>否</x:v>
      </x:c>
      <x:c r="N94" s="144" t="str">
        <x:v>否</x:v>
      </x:c>
      <x:c r="O94" s="144" t="str">
        <x:v>是</x:v>
      </x:c>
      <x:c r="P94" s="144" t="str">
        <x:v>否</x:v>
      </x:c>
      <x:c r="Q94" s="144" t="str">
        <x:v>否</x:v>
      </x:c>
      <x:c r="R94" s="144" t="str">
        <x:v>Explicit Sync共享镜像</x:v>
      </x:c>
      <x:c r="S94" s="144" t="str">
        <x:v>无ROM默认块</x:v>
      </x:c>
      <x:c r="T94" s="144" t="str">
        <x:v>0x0100</x:v>
      </x:c>
      <x:c r="U94" s="144" t="str">
        <x:v>Fee动态（Bank0/Bank1；块物理地址不固定）</x:v>
      </x:c>
      <x:c r="V94" s="144" t="str">
        <x:v>NvM_Cfg.c:4284（ID 88 descriptor）</x:v>
      </x:c>
      <x:c r="W94" s="144" t="str">
        <x:v>Dem并发/0x19/ClearDTC、共享镜像、满载与断电一致性。</x:v>
      </x:c>
    </x:row>
    <x:row r="95" ht="54" customHeight="1">
      <x:c r="A95" s="144" t="n">
        <x:v>89</x:v>
      </x:c>
      <x:c r="B95" s="144" t="str">
        <x:v>NVM_ID_EVMEM_LOC_9</x:v>
      </x:c>
      <x:c r="C95" s="144" t="str">
        <x:v>诊断/故障事件存储</x:v>
      </x:c>
      <x:c r="D95" s="153" t="n">
        <x:v>48</x:v>
      </x:c>
      <x:c r="E95" s="153" t="n">
        <x:v>42779</x:v>
      </x:c>
      <x:c r="F95" s="144" t="str">
        <x:v>NATIVE</x:v>
      </x:c>
      <x:c r="G95" s="144" t="n">
        <x:v>1</x:v>
      </x:c>
      <x:c r="H95" s="144" t="n">
        <x:v>0</x:v>
      </x:c>
      <x:c r="I95" s="144" t="str">
        <x:v>NoCrc</x:v>
      </x:c>
      <x:c r="J95" s="144" t="n">
        <x:v>1</x:v>
      </x:c>
      <x:c r="K95" s="144" t="str">
        <x:v>是</x:v>
      </x:c>
      <x:c r="L95" s="144" t="str">
        <x:v>否</x:v>
      </x:c>
      <x:c r="M95" s="144" t="str">
        <x:v>否</x:v>
      </x:c>
      <x:c r="N95" s="144" t="str">
        <x:v>否</x:v>
      </x:c>
      <x:c r="O95" s="144" t="str">
        <x:v>是</x:v>
      </x:c>
      <x:c r="P95" s="144" t="str">
        <x:v>否</x:v>
      </x:c>
      <x:c r="Q95" s="144" t="str">
        <x:v>否</x:v>
      </x:c>
      <x:c r="R95" s="144" t="str">
        <x:v>Explicit Sync共享镜像</x:v>
      </x:c>
      <x:c r="S95" s="144" t="str">
        <x:v>无ROM默认块</x:v>
      </x:c>
      <x:c r="T95" s="144" t="str">
        <x:v>0x0100</x:v>
      </x:c>
      <x:c r="U95" s="144" t="str">
        <x:v>Fee动态（Bank0/Bank1；块物理地址不固定）</x:v>
      </x:c>
      <x:c r="V95" s="144" t="str">
        <x:v>NvM_Cfg.c:4318（ID 89 descriptor）</x:v>
      </x:c>
      <x:c r="W95" s="144" t="str">
        <x:v>Dem并发/0x19/ClearDTC、共享镜像、满载与断电一致性。</x:v>
      </x:c>
    </x:row>
    <x:row r="96" ht="54" customHeight="1">
      <x:c r="A96" s="144" t="n">
        <x:v>90</x:v>
      </x:c>
      <x:c r="B96" s="144" t="str">
        <x:v>NVM_ID_EVT_STATUSBYTE</x:v>
      </x:c>
      <x:c r="C96" s="144" t="str">
        <x:v>诊断/故障事件存储</x:v>
      </x:c>
      <x:c r="D96" s="153" t="n">
        <x:v>218</x:v>
      </x:c>
      <x:c r="E96" s="153" t="n">
        <x:v>42769</x:v>
      </x:c>
      <x:c r="F96" s="144" t="str">
        <x:v>NATIVE</x:v>
      </x:c>
      <x:c r="G96" s="144" t="n">
        <x:v>1</x:v>
      </x:c>
      <x:c r="H96" s="144" t="n">
        <x:v>0</x:v>
      </x:c>
      <x:c r="I96" s="144" t="str">
        <x:v>NoCrc</x:v>
      </x:c>
      <x:c r="J96" s="144" t="n">
        <x:v>1</x:v>
      </x:c>
      <x:c r="K96" s="144" t="str">
        <x:v>是</x:v>
      </x:c>
      <x:c r="L96" s="144" t="str">
        <x:v>否</x:v>
      </x:c>
      <x:c r="M96" s="144" t="str">
        <x:v>否</x:v>
      </x:c>
      <x:c r="N96" s="144" t="str">
        <x:v>否</x:v>
      </x:c>
      <x:c r="O96" s="144" t="str">
        <x:v>是</x:v>
      </x:c>
      <x:c r="P96" s="144" t="str">
        <x:v>否</x:v>
      </x:c>
      <x:c r="Q96" s="144" t="str">
        <x:v>否</x:v>
      </x:c>
      <x:c r="R96" s="144" t="str">
        <x:v>Explicit Sync共享镜像</x:v>
      </x:c>
      <x:c r="S96" s="144" t="str">
        <x:v>无ROM默认块</x:v>
      </x:c>
      <x:c r="T96" s="144" t="str">
        <x:v>0x0100</x:v>
      </x:c>
      <x:c r="U96" s="144" t="str">
        <x:v>Fee动态（Bank0/Bank1；块物理地址不固定）</x:v>
      </x:c>
      <x:c r="V96" s="144" t="str">
        <x:v>NvM_Cfg.c:4352（ID 90 descriptor）</x:v>
      </x:c>
      <x:c r="W96" s="144" t="str">
        <x:v>Dem并发/0x19/ClearDTC、共享镜像、满载与断电一致性。</x:v>
      </x:c>
    </x:row>
    <x:row r="97" ht="54" customHeight="1">
      <x:c r="A97" s="144" t="n">
        <x:v>91</x:v>
      </x:c>
      <x:c r="B97" s="144" t="str">
        <x:v>NVM_NM_ForceHibernationLatestSts</x:v>
      </x:c>
      <x:c r="C97" s="144" t="str">
        <x:v>应用/系统持久化数据</x:v>
      </x:c>
      <x:c r="D97" s="153" t="n">
        <x:v>1</x:v>
      </x:c>
      <x:c r="E97" s="153" t="n">
        <x:v>37778</x:v>
      </x:c>
      <x:c r="F97" s="144" t="str">
        <x:v>NATIVE</x:v>
      </x:c>
      <x:c r="G97" s="144" t="n">
        <x:v>1</x:v>
      </x:c>
      <x:c r="H97" s="144" t="n">
        <x:v>1</x:v>
      </x:c>
      <x:c r="I97" s="144" t="str">
        <x:v>NoCrc</x:v>
      </x:c>
      <x:c r="J97" s="144" t="n">
        <x:v>1</x:v>
      </x:c>
      <x:c r="K97" s="144" t="str">
        <x:v>是</x:v>
      </x:c>
      <x:c r="L97" s="144" t="str">
        <x:v>否</x:v>
      </x:c>
      <x:c r="M97" s="144" t="str">
        <x:v>否</x:v>
      </x:c>
      <x:c r="N97" s="144" t="str">
        <x:v>否</x:v>
      </x:c>
      <x:c r="O97" s="144" t="str">
        <x:v>否</x:v>
      </x:c>
      <x:c r="P97" s="144" t="str">
        <x:v>否</x:v>
      </x:c>
      <x:c r="Q97" s="144" t="str">
        <x:v>否</x:v>
      </x:c>
      <x:c r="R97" s="144" t="str">
        <x:v>永久RAM</x:v>
      </x:c>
      <x:c r="S97" s="144" t="str">
        <x:v>00</x:v>
      </x:c>
      <x:c r="T97" s="144" t="str">
        <x:v>0x0100</x:v>
      </x:c>
      <x:c r="U97" s="144" t="str">
        <x:v>Fee动态（Bank0/Bank1；块物理地址不固定）</x:v>
      </x:c>
      <x:c r="V97" s="144" t="str">
        <x:v>NvM_Cfg.c:4386（ID 91 descriptor）</x:v>
      </x:c>
      <x:c r="W97" s="144" t="str">
        <x:v>读/写/状态码、掉电、默认恢复、版本迁移。</x:v>
      </x:c>
    </x:row>
    <x:row r="98" ht="54" customHeight="1">
      <x:c r="A98" s="144" t="n">
        <x:v>92</x:v>
      </x:c>
      <x:c r="B98" s="144" t="str">
        <x:v>NvMBlockDescriptor_Application_Valid_Flag</x:v>
      </x:c>
      <x:c r="C98" s="144" t="str">
        <x:v>启动/刷写状态</x:v>
      </x:c>
      <x:c r="D98" s="153" t="n">
        <x:v>1</x:v>
      </x:c>
      <x:c r="E98" s="153" t="n">
        <x:v>39676</x:v>
      </x:c>
      <x:c r="F98" s="144" t="str">
        <x:v>NATIVE</x:v>
      </x:c>
      <x:c r="G98" s="144" t="n">
        <x:v>1</x:v>
      </x:c>
      <x:c r="H98" s="144" t="n">
        <x:v>1</x:v>
      </x:c>
      <x:c r="I98" s="144" t="str">
        <x:v>NoCrc</x:v>
      </x:c>
      <x:c r="J98" s="144" t="n">
        <x:v>1</x:v>
      </x:c>
      <x:c r="K98" s="144" t="str">
        <x:v>是</x:v>
      </x:c>
      <x:c r="L98" s="144" t="str">
        <x:v>是</x:v>
      </x:c>
      <x:c r="M98" s="144" t="str">
        <x:v>否</x:v>
      </x:c>
      <x:c r="N98" s="144" t="str">
        <x:v>否</x:v>
      </x:c>
      <x:c r="O98" s="144" t="str">
        <x:v>否</x:v>
      </x:c>
      <x:c r="P98" s="144" t="str">
        <x:v>否</x:v>
      </x:c>
      <x:c r="Q98" s="144" t="str">
        <x:v>否</x:v>
      </x:c>
      <x:c r="R98" s="144" t="str">
        <x:v>永久RAM</x:v>
      </x:c>
      <x:c r="S98" s="144" t="str">
        <x:v>00</x:v>
      </x:c>
      <x:c r="T98" s="144" t="str">
        <x:v>0x0100</x:v>
      </x:c>
      <x:c r="U98" s="144" t="str">
        <x:v>Fee动态（Bank0/Bank1；块物理地址不固定）</x:v>
      </x:c>
      <x:c r="V98" s="144" t="str">
        <x:v>NvM_Cfg.c:4419（ID 92 descriptor）</x:v>
      </x:c>
      <x:c r="W98" s="144" t="str">
        <x:v>读/写/状态码、掉电、默认恢复、版本迁移。</x:v>
      </x:c>
    </x:row>
    <x:row r="99" ht="54" customHeight="1">
      <x:c r="A99" s="144" t="n">
        <x:v>93</x:v>
      </x:c>
      <x:c r="B99" s="144" t="str">
        <x:v>NvMBlockDescriptor_Did_for_test_0x6666</x:v>
      </x:c>
      <x:c r="C99" s="144" t="str">
        <x:v>诊断DID/车辆配置数据</x:v>
      </x:c>
      <x:c r="D99" s="153" t="n">
        <x:v>3</x:v>
      </x:c>
      <x:c r="E99" s="153" t="n">
        <x:v>37779</x:v>
      </x:c>
      <x:c r="F99" s="144" t="str">
        <x:v>NATIVE</x:v>
      </x:c>
      <x:c r="G99" s="144" t="n">
        <x:v>1</x:v>
      </x:c>
      <x:c r="H99" s="144" t="n">
        <x:v>1</x:v>
      </x:c>
      <x:c r="I99" s="144" t="str">
        <x:v>NoCrc</x:v>
      </x:c>
      <x:c r="J99" s="144" t="n">
        <x:v>1</x:v>
      </x:c>
      <x:c r="K99" s="144" t="str">
        <x:v>是</x:v>
      </x:c>
      <x:c r="L99" s="144" t="str">
        <x:v>否</x:v>
      </x:c>
      <x:c r="M99" s="144" t="str">
        <x:v>否</x:v>
      </x:c>
      <x:c r="N99" s="144" t="str">
        <x:v>否</x:v>
      </x:c>
      <x:c r="O99" s="144" t="str">
        <x:v>否</x:v>
      </x:c>
      <x:c r="P99" s="144" t="str">
        <x:v>否</x:v>
      </x:c>
      <x:c r="Q99" s="144" t="str">
        <x:v>否</x:v>
      </x:c>
      <x:c r="R99" s="144" t="str">
        <x:v>永久RAM</x:v>
      </x:c>
      <x:c r="S99" s="144" t="str">
        <x:v>FF FF FF</x:v>
      </x:c>
      <x:c r="T99" s="144" t="str">
        <x:v>0x0100</x:v>
      </x:c>
      <x:c r="U99" s="144" t="str">
        <x:v>Fee动态（Bank0/Bank1；块物理地址不固定）</x:v>
      </x:c>
      <x:c r="V99" s="144" t="str">
        <x:v>NvM_Cfg.c:4453（ID 93 descriptor）</x:v>
      </x:c>
      <x:c r="W99" s="144" t="str">
        <x:v>0x22/0x2E长度、端序、默认、权限与复位后持久化。</x:v>
      </x:c>
    </x:row>
    <x:row r="100" ht="54" customHeight="1">
      <x:c r="A100" s="144" t="n">
        <x:v>94</x:v>
      </x:c>
      <x:c r="B100" s="144" t="str">
        <x:v>NvMBlockDescriptor_Fingerprint_Data</x:v>
      </x:c>
      <x:c r="C100" s="144" t="str">
        <x:v>诊断DID/车辆配置数据</x:v>
      </x:c>
      <x:c r="D100" s="153" t="n">
        <x:v>9</x:v>
      </x:c>
      <x:c r="E100" s="153" t="n">
        <x:v>4097</x:v>
      </x:c>
      <x:c r="F100" s="144" t="str">
        <x:v>NATIVE</x:v>
      </x:c>
      <x:c r="G100" s="144" t="n">
        <x:v>1</x:v>
      </x:c>
      <x:c r="H100" s="144" t="n">
        <x:v>1</x:v>
      </x:c>
      <x:c r="I100" s="144" t="str">
        <x:v>NoCrc</x:v>
      </x:c>
      <x:c r="J100" s="144" t="n">
        <x:v>1</x:v>
      </x:c>
      <x:c r="K100" s="144" t="str">
        <x:v>是</x:v>
      </x:c>
      <x:c r="L100" s="144" t="str">
        <x:v>是</x:v>
      </x:c>
      <x:c r="M100" s="144" t="str">
        <x:v>否</x:v>
      </x:c>
      <x:c r="N100" s="144" t="str">
        <x:v>否</x:v>
      </x:c>
      <x:c r="O100" s="144" t="str">
        <x:v>否</x:v>
      </x:c>
      <x:c r="P100" s="144" t="str">
        <x:v>否</x:v>
      </x:c>
      <x:c r="Q100" s="144" t="str">
        <x:v>否</x:v>
      </x:c>
      <x:c r="R100" s="144" t="str">
        <x:v>永久RAM</x:v>
      </x:c>
      <x:c r="S100" s="144" t="str">
        <x:v>00×9</x:v>
      </x:c>
      <x:c r="T100" s="144" t="str">
        <x:v>0x0100</x:v>
      </x:c>
      <x:c r="U100" s="144" t="str">
        <x:v>Fee动态（Bank0/Bank1；块物理地址不固定）</x:v>
      </x:c>
      <x:c r="V100" s="144" t="str">
        <x:v>NvM_Cfg.c:4486（ID 94 descriptor）</x:v>
      </x:c>
      <x:c r="W100" s="144" t="str">
        <x:v>0x22/0x2E长度、端序、默认、权限与复位后持久化。</x:v>
      </x:c>
    </x:row>
    <x:row r="101" ht="54" customHeight="1">
      <x:c r="A101" s="144" t="n">
        <x:v>95</x:v>
      </x:c>
      <x:c r="B101" s="144" t="str">
        <x:v>NvMBlockDescriptor_Reprogramming_Request_Flag</x:v>
      </x:c>
      <x:c r="C101" s="144" t="str">
        <x:v>启动/刷写状态</x:v>
      </x:c>
      <x:c r="D101" s="153" t="n">
        <x:v>4</x:v>
      </x:c>
      <x:c r="E101" s="153" t="n">
        <x:v>6323</x:v>
      </x:c>
      <x:c r="F101" s="144" t="str">
        <x:v>NATIVE</x:v>
      </x:c>
      <x:c r="G101" s="144" t="n">
        <x:v>1</x:v>
      </x:c>
      <x:c r="H101" s="144" t="n">
        <x:v>1</x:v>
      </x:c>
      <x:c r="I101" s="144" t="str">
        <x:v>NoCrc</x:v>
      </x:c>
      <x:c r="J101" s="144" t="n">
        <x:v>1</x:v>
      </x:c>
      <x:c r="K101" s="144" t="str">
        <x:v>是</x:v>
      </x:c>
      <x:c r="L101" s="144" t="str">
        <x:v>是</x:v>
      </x:c>
      <x:c r="M101" s="144" t="str">
        <x:v>否</x:v>
      </x:c>
      <x:c r="N101" s="144" t="str">
        <x:v>否</x:v>
      </x:c>
      <x:c r="O101" s="144" t="str">
        <x:v>否</x:v>
      </x:c>
      <x:c r="P101" s="144" t="str">
        <x:v>否</x:v>
      </x:c>
      <x:c r="Q101" s="144" t="str">
        <x:v>否</x:v>
      </x:c>
      <x:c r="R101" s="144" t="str">
        <x:v>永久RAM</x:v>
      </x:c>
      <x:c r="S101" s="144" t="str">
        <x:v>uint32 0x00000000（端序按目标平台）</x:v>
      </x:c>
      <x:c r="T101" s="144" t="str">
        <x:v>0x0100</x:v>
      </x:c>
      <x:c r="U101" s="144" t="str">
        <x:v>Fee动态（Bank0/Bank1；块物理地址不固定）</x:v>
      </x:c>
      <x:c r="V101" s="144" t="str">
        <x:v>NvM_Cfg.c:4520（ID 95 descriptor）</x:v>
      </x:c>
      <x:c r="W101" s="144" t="str">
        <x:v>读/写/状态码、掉电、默认恢复、版本迁移。</x:v>
      </x:c>
    </x:row>
    <x:row r="102" ht="54" customHeight="1">
      <x:c r="A102" s="144" t="n">
        <x:v>96</x:v>
      </x:c>
      <x:c r="B102" s="144" t="str">
        <x:v>NvMBlockDescriptor_ResetReason_Type</x:v>
      </x:c>
      <x:c r="C102" s="144" t="str">
        <x:v>复位/PMIC/OS错误日志</x:v>
      </x:c>
      <x:c r="D102" s="153" t="n">
        <x:v>1</x:v>
      </x:c>
      <x:c r="E102" s="153" t="n">
        <x:v>4096</x:v>
      </x:c>
      <x:c r="F102" s="144" t="str">
        <x:v>NATIVE</x:v>
      </x:c>
      <x:c r="G102" s="144" t="n">
        <x:v>1</x:v>
      </x:c>
      <x:c r="H102" s="144" t="n">
        <x:v>1</x:v>
      </x:c>
      <x:c r="I102" s="144" t="str">
        <x:v>NoCrc</x:v>
      </x:c>
      <x:c r="J102" s="144" t="n">
        <x:v>1</x:v>
      </x:c>
      <x:c r="K102" s="144" t="str">
        <x:v>是</x:v>
      </x:c>
      <x:c r="L102" s="144" t="str">
        <x:v>是</x:v>
      </x:c>
      <x:c r="M102" s="144" t="str">
        <x:v>否</x:v>
      </x:c>
      <x:c r="N102" s="144" t="str">
        <x:v>否</x:v>
      </x:c>
      <x:c r="O102" s="144" t="str">
        <x:v>否</x:v>
      </x:c>
      <x:c r="P102" s="144" t="str">
        <x:v>否</x:v>
      </x:c>
      <x:c r="Q102" s="144" t="str">
        <x:v>否</x:v>
      </x:c>
      <x:c r="R102" s="144" t="str">
        <x:v>永久RAM</x:v>
      </x:c>
      <x:c r="S102" s="144" t="str">
        <x:v>00</x:v>
      </x:c>
      <x:c r="T102" s="144" t="str">
        <x:v>0x0100</x:v>
      </x:c>
      <x:c r="U102" s="144" t="str">
        <x:v>Fee动态（Bank0/Bank1；块物理地址不固定）</x:v>
      </x:c>
      <x:c r="V102" s="144" t="str">
        <x:v>NvM_Cfg.c:4554（ID 96 descriptor）</x:v>
      </x:c>
      <x:c r="W102" s="144" t="str">
        <x:v>读/写/状态码、掉电、默认恢复、版本迁移。</x:v>
      </x:c>
    </x:row>
    <x:row r="103" ht="54" customHeight="1">
      <x:c r="A103" s="144" t="n">
        <x:v>97</x:v>
      </x:c>
      <x:c r="B103" s="144" t="str">
        <x:v>NvM_BLDDetStatus</x:v>
      </x:c>
      <x:c r="C103" s="144" t="str">
        <x:v>启动/刷写状态</x:v>
      </x:c>
      <x:c r="D103" s="153" t="n">
        <x:v>1</x:v>
      </x:c>
      <x:c r="E103" s="153" t="n">
        <x:v>44015</x:v>
      </x:c>
      <x:c r="F103" s="144" t="str">
        <x:v>NATIVE</x:v>
      </x:c>
      <x:c r="G103" s="144" t="n">
        <x:v>1</x:v>
      </x:c>
      <x:c r="H103" s="144" t="n">
        <x:v>1</x:v>
      </x:c>
      <x:c r="I103" s="144" t="str">
        <x:v>NoCrc</x:v>
      </x:c>
      <x:c r="J103" s="144" t="n">
        <x:v>1</x:v>
      </x:c>
      <x:c r="K103" s="144" t="str">
        <x:v>是</x:v>
      </x:c>
      <x:c r="L103" s="144" t="str">
        <x:v>是</x:v>
      </x:c>
      <x:c r="M103" s="144" t="str">
        <x:v>否</x:v>
      </x:c>
      <x:c r="N103" s="144" t="str">
        <x:v>否</x:v>
      </x:c>
      <x:c r="O103" s="144" t="str">
        <x:v>否</x:v>
      </x:c>
      <x:c r="P103" s="144" t="str">
        <x:v>否</x:v>
      </x:c>
      <x:c r="Q103" s="144" t="str">
        <x:v>否</x:v>
      </x:c>
      <x:c r="R103" s="144" t="str">
        <x:v>永久RAM</x:v>
      </x:c>
      <x:c r="S103" s="144" t="str">
        <x:v>00</x:v>
      </x:c>
      <x:c r="T103" s="144" t="str">
        <x:v>0x0100</x:v>
      </x:c>
      <x:c r="U103" s="144" t="str">
        <x:v>Fee动态（Bank0/Bank1；块物理地址不固定）</x:v>
      </x:c>
      <x:c r="V103" s="144" t="str">
        <x:v>NvM_Cfg.c:4588（ID 97 descriptor）</x:v>
      </x:c>
      <x:c r="W103" s="144" t="str">
        <x:v>读/写/状态码、掉电、默认恢复、版本迁移。</x:v>
      </x:c>
    </x:row>
    <x:row r="104" ht="54" customHeight="1">
      <x:c r="A104" s="144" t="n">
        <x:v>98</x:v>
      </x:c>
      <x:c r="B104" s="144" t="str">
        <x:v>NvM_Calibration_TargetPosition</x:v>
      </x:c>
      <x:c r="C104" s="144" t="str">
        <x:v>标定/雷达安装参数</x:v>
      </x:c>
      <x:c r="D104" s="153" t="n">
        <x:v>4</x:v>
      </x:c>
      <x:c r="E104" s="153" t="n">
        <x:v>44006</x:v>
      </x:c>
      <x:c r="F104" s="144" t="str">
        <x:v>NATIVE</x:v>
      </x:c>
      <x:c r="G104" s="144" t="n">
        <x:v>1</x:v>
      </x:c>
      <x:c r="H104" s="144" t="n">
        <x:v>1</x:v>
      </x:c>
      <x:c r="I104" s="144" t="str">
        <x:v>NoCrc</x:v>
      </x:c>
      <x:c r="J104" s="144" t="n">
        <x:v>1</x:v>
      </x:c>
      <x:c r="K104" s="144" t="str">
        <x:v>是</x:v>
      </x:c>
      <x:c r="L104" s="144" t="str">
        <x:v>否</x:v>
      </x:c>
      <x:c r="M104" s="144" t="str">
        <x:v>否</x:v>
      </x:c>
      <x:c r="N104" s="144" t="str">
        <x:v>是</x:v>
      </x:c>
      <x:c r="O104" s="144" t="str">
        <x:v>否</x:v>
      </x:c>
      <x:c r="P104" s="144" t="str">
        <x:v>否</x:v>
      </x:c>
      <x:c r="Q104" s="144" t="str">
        <x:v>否</x:v>
      </x:c>
      <x:c r="R104" s="144" t="str">
        <x:v>永久RAM</x:v>
      </x:c>
      <x:c r="S104" s="144" t="str">
        <x:v>00 45 00 00</x:v>
      </x:c>
      <x:c r="T104" s="144" t="str">
        <x:v>0x0100</x:v>
      </x:c>
      <x:c r="U104" s="144" t="str">
        <x:v>Fee动态（Bank0/Bank1；块物理地址不固定）</x:v>
      </x:c>
      <x:c r="V104" s="144" t="str">
        <x:v>NvM_Cfg.c:4622（ID 98 descriptor）</x:v>
      </x:c>
      <x:c r="W104" s="144" t="str">
        <x:v>读/写/状态码、掉电、默认恢复、版本迁移。</x:v>
      </x:c>
    </x:row>
    <x:row r="105" ht="54" customHeight="1">
      <x:c r="A105" s="144" t="n">
        <x:v>99</x:v>
      </x:c>
      <x:c r="B105" s="144" t="str">
        <x:v>NvM_EDR_Data1</x:v>
      </x:c>
      <x:c r="C105" s="144" t="str">
        <x:v>EDR数据</x:v>
      </x:c>
      <x:c r="D105" s="153" t="n">
        <x:v>4900</x:v>
      </x:c>
      <x:c r="E105" s="153" t="n">
        <x:v>44013</x:v>
      </x:c>
      <x:c r="F105" s="144" t="str">
        <x:v>NATIVE</x:v>
      </x:c>
      <x:c r="G105" s="144" t="n">
        <x:v>1</x:v>
      </x:c>
      <x:c r="H105" s="144" t="n">
        <x:v>0</x:v>
      </x:c>
      <x:c r="I105" s="144" t="str">
        <x:v>NoCrc</x:v>
      </x:c>
      <x:c r="J105" s="144" t="n">
        <x:v>1</x:v>
      </x:c>
      <x:c r="K105" s="144" t="str">
        <x:v>否</x:v>
      </x:c>
      <x:c r="L105" s="144" t="str">
        <x:v>否</x:v>
      </x:c>
      <x:c r="M105" s="144" t="str">
        <x:v>否</x:v>
      </x:c>
      <x:c r="N105" s="144" t="str">
        <x:v>是</x:v>
      </x:c>
      <x:c r="O105" s="144" t="str">
        <x:v>否</x:v>
      </x:c>
      <x:c r="P105" s="144" t="str">
        <x:v>否</x:v>
      </x:c>
      <x:c r="Q105" s="144" t="str">
        <x:v>否</x:v>
      </x:c>
      <x:c r="R105" s="144" t="str">
        <x:v>无永久RAM（NULL）</x:v>
      </x:c>
      <x:c r="S105" s="144" t="str">
        <x:v>无ROM默认块</x:v>
      </x:c>
      <x:c r="T105" s="144" t="str">
        <x:v>0x0100</x:v>
      </x:c>
      <x:c r="U105" s="144" t="str">
        <x:v>Fee动态（Bank0/Bank1；块物理地址不固定）</x:v>
      </x:c>
      <x:c r="V105" s="144" t="str">
        <x:v>NvM_Cfg.c:4656（ID 99 descriptor）</x:v>
      </x:c>
      <x:c r="W105" s="144" t="str">
        <x:v>4900B边界、写频率/寿命、掉电中断与诊断读取。</x:v>
      </x:c>
    </x:row>
    <x:row r="106" ht="54" customHeight="1">
      <x:c r="A106" s="144" t="n">
        <x:v>100</x:v>
      </x:c>
      <x:c r="B106" s="144" t="str">
        <x:v>NvM_EDR_Data2</x:v>
      </x:c>
      <x:c r="C106" s="144" t="str">
        <x:v>EDR数据</x:v>
      </x:c>
      <x:c r="D106" s="153" t="n">
        <x:v>4900</x:v>
      </x:c>
      <x:c r="E106" s="153" t="n">
        <x:v>44014</x:v>
      </x:c>
      <x:c r="F106" s="144" t="str">
        <x:v>NATIVE</x:v>
      </x:c>
      <x:c r="G106" s="144" t="n">
        <x:v>1</x:v>
      </x:c>
      <x:c r="H106" s="144" t="n">
        <x:v>0</x:v>
      </x:c>
      <x:c r="I106" s="144" t="str">
        <x:v>NoCrc</x:v>
      </x:c>
      <x:c r="J106" s="144" t="n">
        <x:v>1</x:v>
      </x:c>
      <x:c r="K106" s="144" t="str">
        <x:v>否</x:v>
      </x:c>
      <x:c r="L106" s="144" t="str">
        <x:v>否</x:v>
      </x:c>
      <x:c r="M106" s="144" t="str">
        <x:v>否</x:v>
      </x:c>
      <x:c r="N106" s="144" t="str">
        <x:v>是</x:v>
      </x:c>
      <x:c r="O106" s="144" t="str">
        <x:v>否</x:v>
      </x:c>
      <x:c r="P106" s="144" t="str">
        <x:v>否</x:v>
      </x:c>
      <x:c r="Q106" s="144" t="str">
        <x:v>否</x:v>
      </x:c>
      <x:c r="R106" s="144" t="str">
        <x:v>无永久RAM（NULL）</x:v>
      </x:c>
      <x:c r="S106" s="144" t="str">
        <x:v>无ROM默认块</x:v>
      </x:c>
      <x:c r="T106" s="144" t="str">
        <x:v>0x0100</x:v>
      </x:c>
      <x:c r="U106" s="144" t="str">
        <x:v>Fee动态（Bank0/Bank1；块物理地址不固定）</x:v>
      </x:c>
      <x:c r="V106" s="144" t="str">
        <x:v>NvM_Cfg.c:4689（ID 100 descriptor）</x:v>
      </x:c>
      <x:c r="W106" s="144" t="str">
        <x:v>4900B边界、写频率/寿命、掉电中断与诊断读取。</x:v>
      </x:c>
    </x:row>
    <x:row r="107" ht="54" customHeight="1">
      <x:c r="A107" s="144" t="n">
        <x:v>101</x:v>
      </x:c>
      <x:c r="B107" s="144" t="str">
        <x:v>NvM_EDR_WRITE_FLAG</x:v>
      </x:c>
      <x:c r="C107" s="144" t="str">
        <x:v>EDR数据</x:v>
      </x:c>
      <x:c r="D107" s="153" t="n">
        <x:v>2</x:v>
      </x:c>
      <x:c r="E107" s="153" t="n">
        <x:v>44019</x:v>
      </x:c>
      <x:c r="F107" s="144" t="str">
        <x:v>NATIVE</x:v>
      </x:c>
      <x:c r="G107" s="144" t="n">
        <x:v>1</x:v>
      </x:c>
      <x:c r="H107" s="144" t="n">
        <x:v>0</x:v>
      </x:c>
      <x:c r="I107" s="144" t="str">
        <x:v>NoCrc</x:v>
      </x:c>
      <x:c r="J107" s="144" t="n">
        <x:v>1</x:v>
      </x:c>
      <x:c r="K107" s="144" t="str">
        <x:v>是</x:v>
      </x:c>
      <x:c r="L107" s="144" t="str">
        <x:v>否</x:v>
      </x:c>
      <x:c r="M107" s="144" t="str">
        <x:v>否</x:v>
      </x:c>
      <x:c r="N107" s="144" t="str">
        <x:v>否</x:v>
      </x:c>
      <x:c r="O107" s="144" t="str">
        <x:v>否</x:v>
      </x:c>
      <x:c r="P107" s="144" t="str">
        <x:v>否</x:v>
      </x:c>
      <x:c r="Q107" s="144" t="str">
        <x:v>否</x:v>
      </x:c>
      <x:c r="R107" s="144" t="str">
        <x:v>永久RAM</x:v>
      </x:c>
      <x:c r="S107" s="144" t="str">
        <x:v>无ROM默认块</x:v>
      </x:c>
      <x:c r="T107" s="144" t="str">
        <x:v>0x0100</x:v>
      </x:c>
      <x:c r="U107" s="144" t="str">
        <x:v>Fee动态（Bank0/Bank1；块物理地址不固定）</x:v>
      </x:c>
      <x:c r="V107" s="144" t="str">
        <x:v>NvM_Cfg.c:4722（ID 101 descriptor）</x:v>
      </x:c>
      <x:c r="W107" s="144" t="str">
        <x:v>4900B边界、写频率/寿命、掉电中断与诊断读取。</x:v>
      </x:c>
    </x:row>
    <x:row r="108" ht="54" customHeight="1">
      <x:c r="A108" s="144" t="n">
        <x:v>102</x:v>
      </x:c>
      <x:c r="B108" s="144" t="str">
        <x:v>NvM_FaultMask_Info</x:v>
      </x:c>
      <x:c r="C108" s="144" t="str">
        <x:v>诊断/故障事件存储</x:v>
      </x:c>
      <x:c r="D108" s="153" t="n">
        <x:v>32</x:v>
      </x:c>
      <x:c r="E108" s="153" t="n">
        <x:v>44016</x:v>
      </x:c>
      <x:c r="F108" s="144" t="str">
        <x:v>NATIVE</x:v>
      </x:c>
      <x:c r="G108" s="144" t="n">
        <x:v>1</x:v>
      </x:c>
      <x:c r="H108" s="144" t="n">
        <x:v>0</x:v>
      </x:c>
      <x:c r="I108" s="144" t="str">
        <x:v>NoCrc</x:v>
      </x:c>
      <x:c r="J108" s="144" t="n">
        <x:v>1</x:v>
      </x:c>
      <x:c r="K108" s="144" t="str">
        <x:v>是</x:v>
      </x:c>
      <x:c r="L108" s="144" t="str">
        <x:v>否</x:v>
      </x:c>
      <x:c r="M108" s="144" t="str">
        <x:v>否</x:v>
      </x:c>
      <x:c r="N108" s="144" t="str">
        <x:v>否</x:v>
      </x:c>
      <x:c r="O108" s="144" t="str">
        <x:v>是</x:v>
      </x:c>
      <x:c r="P108" s="144" t="str">
        <x:v>否</x:v>
      </x:c>
      <x:c r="Q108" s="144" t="str">
        <x:v>否</x:v>
      </x:c>
      <x:c r="R108" s="144" t="str">
        <x:v>Explicit Sync共享镜像</x:v>
      </x:c>
      <x:c r="S108" s="144" t="str">
        <x:v>无ROM默认块</x:v>
      </x:c>
      <x:c r="T108" s="144" t="str">
        <x:v>0x0100</x:v>
      </x:c>
      <x:c r="U108" s="144" t="str">
        <x:v>Fee动态（Bank0/Bank1；块物理地址不固定）</x:v>
      </x:c>
      <x:c r="V108" s="144" t="str">
        <x:v>NvM_Cfg.c:4755（ID 102 descriptor）</x:v>
      </x:c>
      <x:c r="W108" s="144" t="str">
        <x:v>Dem并发/0x19/ClearDTC、共享镜像、满载与断电一致性。</x:v>
      </x:c>
    </x:row>
    <x:row r="109" ht="54" customHeight="1">
      <x:c r="A109" s="144" t="n">
        <x:v>103</x:v>
      </x:c>
      <x:c r="B109" s="144" t="str">
        <x:v>NvM_PFDem_ErrorInfo</x:v>
      </x:c>
      <x:c r="C109" s="144" t="str">
        <x:v>诊断/故障事件存储</x:v>
      </x:c>
      <x:c r="D109" s="153" t="n">
        <x:v>512</x:v>
      </x:c>
      <x:c r="E109" s="153" t="n">
        <x:v>44009</x:v>
      </x:c>
      <x:c r="F109" s="144" t="str">
        <x:v>NATIVE</x:v>
      </x:c>
      <x:c r="G109" s="144" t="n">
        <x:v>1</x:v>
      </x:c>
      <x:c r="H109" s="144" t="n">
        <x:v>0</x:v>
      </x:c>
      <x:c r="I109" s="144" t="str">
        <x:v>NoCrc</x:v>
      </x:c>
      <x:c r="J109" s="144" t="n">
        <x:v>1</x:v>
      </x:c>
      <x:c r="K109" s="144" t="str">
        <x:v>是</x:v>
      </x:c>
      <x:c r="L109" s="144" t="str">
        <x:v>否</x:v>
      </x:c>
      <x:c r="M109" s="144" t="str">
        <x:v>否</x:v>
      </x:c>
      <x:c r="N109" s="144" t="str">
        <x:v>是</x:v>
      </x:c>
      <x:c r="O109" s="144" t="str">
        <x:v>否</x:v>
      </x:c>
      <x:c r="P109" s="144" t="str">
        <x:v>否</x:v>
      </x:c>
      <x:c r="Q109" s="144" t="str">
        <x:v>否</x:v>
      </x:c>
      <x:c r="R109" s="144" t="str">
        <x:v>永久RAM</x:v>
      </x:c>
      <x:c r="S109" s="144" t="str">
        <x:v>无ROM默认块</x:v>
      </x:c>
      <x:c r="T109" s="144" t="str">
        <x:v>0x0100</x:v>
      </x:c>
      <x:c r="U109" s="144" t="str">
        <x:v>Fee动态（Bank0/Bank1；块物理地址不固定）</x:v>
      </x:c>
      <x:c r="V109" s="144" t="str">
        <x:v>NvM_Cfg.c:4789（ID 103 descriptor）</x:v>
      </x:c>
      <x:c r="W109" s="144" t="str">
        <x:v>Dem并发/0x19/ClearDTC、共享镜像、满载与断电一致性。</x:v>
      </x:c>
    </x:row>
    <x:row r="110" ht="54" customHeight="1">
      <x:c r="A110" s="144" t="n">
        <x:v>104</x:v>
      </x:c>
      <x:c r="B110" s="144" t="str">
        <x:v>NvM_Security_Key</x:v>
      </x:c>
      <x:c r="C110" s="144" t="str">
        <x:v>诊断安全访问/安全数据</x:v>
      </x:c>
      <x:c r="D110" s="153" t="n">
        <x:v>32</x:v>
      </x:c>
      <x:c r="E110" s="153" t="n">
        <x:v>44018</x:v>
      </x:c>
      <x:c r="F110" s="144" t="str">
        <x:v>NATIVE</x:v>
      </x:c>
      <x:c r="G110" s="144" t="n">
        <x:v>1</x:v>
      </x:c>
      <x:c r="H110" s="144" t="n">
        <x:v>0</x:v>
      </x:c>
      <x:c r="I110" s="144" t="str">
        <x:v>NoCrc</x:v>
      </x:c>
      <x:c r="J110" s="144" t="n">
        <x:v>1</x:v>
      </x:c>
      <x:c r="K110" s="144" t="str">
        <x:v>是</x:v>
      </x:c>
      <x:c r="L110" s="144" t="str">
        <x:v>否</x:v>
      </x:c>
      <x:c r="M110" s="144" t="str">
        <x:v>否</x:v>
      </x:c>
      <x:c r="N110" s="144" t="str">
        <x:v>否</x:v>
      </x:c>
      <x:c r="O110" s="144" t="str">
        <x:v>否</x:v>
      </x:c>
      <x:c r="P110" s="144" t="str">
        <x:v>否</x:v>
      </x:c>
      <x:c r="Q110" s="144" t="str">
        <x:v>否</x:v>
      </x:c>
      <x:c r="R110" s="144" t="str">
        <x:v>永久RAM</x:v>
      </x:c>
      <x:c r="S110" s="144" t="str">
        <x:v>无ROM默认块</x:v>
      </x:c>
      <x:c r="T110" s="144" t="str">
        <x:v>0x0100</x:v>
      </x:c>
      <x:c r="U110" s="144" t="str">
        <x:v>Fee动态（Bank0/Bank1；块物理地址不固定）</x:v>
      </x:c>
      <x:c r="V110" s="144" t="str">
        <x:v>NvM_Cfg.c:4823（ID 104 descriptor）</x:v>
      </x:c>
      <x:c r="W110" s="144" t="str">
        <x:v>失败计数/密钥数据权限、持久化、掉电与信息隔离。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c9debb23c9a04ff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32" hidden="0" customWidth="1"/>
    <x:col min="8" max="8" width="46" hidden="0" customWidth="1"/>
    <x:col min="9" max="9" width="42" hidden="0" customWidth="1"/>
    <x:col min="10" max="10" width="42" hidden="0" customWidth="1"/>
    <x:col min="11" max="11" width="38" hidden="0" customWidth="1"/>
  </x:cols>
  <x:sheetData>
    <x:row r="1" ht="30" customHeight="1">
      <x:c r="A1" s="133" t="str">
        <x:v>Dcm / CanTp / Dem 配置基线</x:v>
      </x:c>
      <x:c r="B1" s="133" t="str">
        <x:v>Dcm / CanTp / Dem 配置基线</x:v>
      </x:c>
      <x:c r="C1" s="133" t="str">
        <x:v>Dcm / CanTp / Dem 配置基线</x:v>
      </x:c>
      <x:c r="D1" s="133" t="str">
        <x:v>Dcm / CanTp / Dem 配置基线</x:v>
      </x:c>
      <x:c r="E1" s="133" t="str">
        <x:v>Dcm / CanTp / Dem 配置基线</x:v>
      </x:c>
      <x:c r="F1" s="133" t="str">
        <x:v>Dcm / CanTp / Dem 配置基线</x:v>
      </x:c>
      <x:c r="G1" s="133" t="str">
        <x:v>Dcm / CanTp / Dem 配置基线</x:v>
      </x:c>
      <x:c r="H1" s="133" t="str">
        <x:v>Dcm / CanTp / Dem 配置基线</x:v>
      </x:c>
      <x:c r="I1" s="133" t="str">
        <x:v>Dcm / CanTp / Dem 配置基线</x:v>
      </x:c>
      <x:c r="J1" s="133" t="str">
        <x:v>Dcm / CanTp / Dem 配置基线</x:v>
      </x:c>
      <x:c r="K1" s="133" t="str">
        <x:v>Dcm / CanTp / Dem 配置基线</x:v>
      </x:c>
    </x:row>
    <x:row r="2" ht="36" customHeight="1">
      <x:c r="A2" s="136" t="str">
        <x:v>本页只把生成配置的显式值转为需求输入；DID/Routine的业务语义、权限、回调和NRC仍需OEM/数据Owner签署，禁止凭ID猜测。</x:v>
      </x:c>
      <x:c r="B2" s="136" t="str">
        <x:v>本页只把生成配置的显式值转为需求输入；DID/Routine的业务语义、权限、回调和NRC仍需OEM/数据Owner签署，禁止凭ID猜测。</x:v>
      </x:c>
      <x:c r="C2" s="136" t="str">
        <x:v>本页只把生成配置的显式值转为需求输入；DID/Routine的业务语义、权限、回调和NRC仍需OEM/数据Owner签署，禁止凭ID猜测。</x:v>
      </x:c>
      <x:c r="D2" s="136" t="str">
        <x:v>本页只把生成配置的显式值转为需求输入；DID/Routine的业务语义、权限、回调和NRC仍需OEM/数据Owner签署，禁止凭ID猜测。</x:v>
      </x:c>
      <x:c r="E2" s="136" t="str">
        <x:v>本页只把生成配置的显式值转为需求输入；DID/Routine的业务语义、权限、回调和NRC仍需OEM/数据Owner签署，禁止凭ID猜测。</x:v>
      </x:c>
      <x:c r="F2" s="136" t="str">
        <x:v>本页只把生成配置的显式值转为需求输入；DID/Routine的业务语义、权限、回调和NRC仍需OEM/数据Owner签署，禁止凭ID猜测。</x:v>
      </x:c>
      <x:c r="G2" s="136" t="str">
        <x:v>本页只把生成配置的显式值转为需求输入；DID/Routine的业务语义、权限、回调和NRC仍需OEM/数据Owner签署，禁止凭ID猜测。</x:v>
      </x:c>
      <x:c r="H2" s="136" t="str">
        <x:v>本页只把生成配置的显式值转为需求输入；DID/Routine的业务语义、权限、回调和NRC仍需OEM/数据Owner签署，禁止凭ID猜测。</x:v>
      </x:c>
      <x:c r="I2" s="136" t="str">
        <x:v>本页只把生成配置的显式值转为需求输入；DID/Routine的业务语义、权限、回调和NRC仍需OEM/数据Owner签署，禁止凭ID猜测。</x:v>
      </x:c>
      <x:c r="J2" s="136" t="str">
        <x:v>本页只把生成配置的显式值转为需求输入；DID/Routine的业务语义、权限、回调和NRC仍需OEM/数据Owner签署，禁止凭ID猜测。</x:v>
      </x:c>
      <x:c r="K2" s="136" t="str">
        <x:v>本页只把生成配置的显式值转为需求输入；DID/Routine的业务语义、权限、回调和NRC仍需OEM/数据Owner签署，禁止凭ID猜测。</x:v>
      </x:c>
    </x:row>
    <x:row r="5" ht="34" customHeight="1">
      <x:c r="A5" s="150" t="str">
        <x:v>类型</x:v>
      </x:c>
      <x:c r="B5" s="151" t="str">
        <x:v>标识</x:v>
      </x:c>
      <x:c r="C5" s="151" t="str">
        <x:v>名称/用途</x:v>
      </x:c>
      <x:c r="D5" s="151" t="str">
        <x:v>长度/时序</x:v>
      </x:c>
      <x:c r="E5" s="151" t="str">
        <x:v>会话/权限</x:v>
      </x:c>
      <x:c r="F5" s="151" t="str">
        <x:v>安全级</x:v>
      </x:c>
      <x:c r="G5" s="151" t="str">
        <x:v>工程显式配置</x:v>
      </x:c>
      <x:c r="H5" s="151" t="str">
        <x:v>需求化结论/待确认</x:v>
      </x:c>
      <x:c r="I5" s="151" t="str">
        <x:v>东软交付要求</x:v>
      </x:c>
      <x:c r="J5" s="151" t="str">
        <x:v>验收重点</x:v>
      </x:c>
      <x:c r="K5" s="152" t="str">
        <x:v>证据</x:v>
      </x:c>
    </x:row>
    <x:row r="6" ht="68" customHeight="1">
      <x:c r="A6" s="144" t="str">
        <x:v>总体</x:v>
      </x:c>
      <x:c r="B6" s="144" t="str">
        <x:v>Dcm</x:v>
      </x:c>
      <x:c r="C6" s="144" t="str">
        <x:v>DSL/DSD</x:v>
      </x:c>
      <x:c r="D6" s="144" t="str">
        <x:v>Main 10ms；S3 5s；共享buffer 4098B；最大响应4095B</x:v>
      </x:c>
      <x:c r="E6" s="144" t="str">
        <x:v>1 connection；物理+功能2 Rx；1 Tx</x:v>
      </x:c>
      <x:c r="F6" s="144" t="str">
        <x:v>-</x:v>
      </x:c>
      <x:c r="G6" s="144" t="str">
        <x:v>生成配置显式值</x:v>
      </x:c>
      <x:c r="H6" s="144" t="str">
        <x:v>保持为参考基线，最终以OEM规范签署。</x:v>
      </x:c>
      <x:c r="I6" s="144" t="str">
        <x:v>交配置规格、buffer/connection/PDU映射。</x:v>
      </x:c>
      <x:c r="J6" s="144" t="str">
        <x:v>P2/P2*/S3、4095边界、并发/超时。</x:v>
      </x:c>
      <x:c r="K6" s="144" t="str">
        <x:v>Dcm_Cfg_DslDsd.h:29-31,85,133,141；Dcm_Lcfg_Dsl.c:35,54-67</x:v>
      </x:c>
    </x:row>
    <x:row r="7" ht="68" customHeight="1">
      <x:c r="A7" s="144" t="str">
        <x:v>Service</x:v>
      </x:c>
      <x:c r="B7" s="144" t="str">
        <x:v>0x10</x:v>
      </x:c>
      <x:c r="C7" s="144" t="str">
        <x:v>DiagnosticSessionControl</x:v>
      </x:c>
      <x:c r="D7" s="144" t="str">
        <x:v>-</x:v>
      </x:c>
      <x:c r="E7" s="144" t="str">
        <x:v>生成表启用；逐session子功能需导出</x:v>
      </x:c>
      <x:c r="F7" s="144" t="str">
        <x:v>按session切换</x:v>
      </x:c>
      <x:c r="G7" s="144" t="str">
        <x:v>启用</x:v>
      </x:c>
      <x:c r="H7" s="144" t="str">
        <x:v>编程/扩展/厂家session的进入条件与Boot联动需冻结。</x:v>
      </x:c>
      <x:c r="I7" s="144" t="str">
        <x:v>服务/子功能/NRC/Boot切换矩阵。</x:v>
      </x:c>
      <x:c r="J7" s="144" t="str">
        <x:v>支持/不支持子功能、P2/P2*切换、S3回默认。</x:v>
      </x:c>
      <x:c r="K7" s="144" t="str">
        <x:v>Dcm_Lcfg_Dsd.c:367-556</x:v>
      </x:c>
    </x:row>
    <x:row r="8" ht="68" customHeight="1">
      <x:c r="A8" s="144" t="str">
        <x:v>Service</x:v>
      </x:c>
      <x:c r="B8" s="144" t="str">
        <x:v>0x11</x:v>
      </x:c>
      <x:c r="C8" s="144" t="str">
        <x:v>ECUReset</x:v>
      </x:c>
      <x:c r="D8" s="144" t="str">
        <x:v>-</x:v>
      </x:c>
      <x:c r="E8" s="144" t="str">
        <x:v>session mask 0x06</x:v>
      </x:c>
      <x:c r="F8" s="144" t="str">
        <x:v>security mask 0x02</x:v>
      </x:c>
      <x:c r="G8" s="144" t="str">
        <x:v>启用</x:v>
      </x:c>
      <x:c r="H8" s="144" t="str">
        <x:v>reset type、NvM/DEM收尾、warm response需闭环。</x:v>
      </x:c>
      <x:c r="I8" s="144" t="str">
        <x:v>reset矩阵与EcuM/BswM callout。</x:v>
      </x:c>
      <x:c r="J8" s="144" t="str">
        <x:v>每种reset、忙/条件不满足/掉电。</x:v>
      </x:c>
      <x:c r="K8" s="144" t="str">
        <x:v>Dcm_Lcfg_Dsd.c:367-556</x:v>
      </x:c>
    </x:row>
    <x:row r="9" ht="68" customHeight="1">
      <x:c r="A9" s="144" t="str">
        <x:v>Service</x:v>
      </x:c>
      <x:c r="B9" s="144" t="str">
        <x:v>0x14</x:v>
      </x:c>
      <x:c r="C9" s="144" t="str">
        <x:v>ClearDiagnosticInformation</x:v>
      </x:c>
      <x:c r="D9" s="144" t="str">
        <x:v>-</x:v>
      </x:c>
      <x:c r="E9" s="144" t="str">
        <x:v>session mask 0x05</x:v>
      </x:c>
      <x:c r="F9" s="144" t="str">
        <x:v>全部安全级</x:v>
      </x:c>
      <x:c r="G9" s="144" t="str">
        <x:v>启用</x:v>
      </x:c>
      <x:c r="H9" s="144" t="str">
        <x:v>Clear完成时机为nonvolatile-finish。</x:v>
      </x:c>
      <x:c r="I9" s="144" t="str">
        <x:v>清除范围/条件/回调矩阵。</x:v>
      </x:c>
      <x:c r="J9" s="144" t="str">
        <x:v>存储忙/NvM失败/掉电/完成响应。</x:v>
      </x:c>
      <x:c r="K9" s="144" t="str">
        <x:v>Dcm_Lcfg_Dsd.c；Dem_Cfg_Clear.h:27-55</x:v>
      </x:c>
    </x:row>
    <x:row r="10" ht="68" customHeight="1">
      <x:c r="A10" s="144" t="str">
        <x:v>Service</x:v>
      </x:c>
      <x:c r="B10" s="144" t="str">
        <x:v>0x19</x:v>
      </x:c>
      <x:c r="C10" s="144" t="str">
        <x:v>ReadDTCInformation</x:v>
      </x:c>
      <x:c r="D10" s="144" t="str">
        <x:v>sub 01/02/04/06/0A</x:v>
      </x:c>
      <x:c r="E10" s="144" t="str">
        <x:v>session mask 0x05</x:v>
      </x:c>
      <x:c r="F10" s="144" t="str">
        <x:v>全部安全级</x:v>
      </x:c>
      <x:c r="G10" s="144" t="str">
        <x:v>启用</x:v>
      </x:c>
      <x:c r="H10" s="144" t="str">
        <x:v>需与217 Event/59 DTC/FF/ExtData一致。</x:v>
      </x:c>
      <x:c r="I10" s="144" t="str">
        <x:v>0x19子功能与status mask矩阵。</x:v>
      </x:c>
      <x:c r="J10" s="144" t="str">
        <x:v>每子功能、空/满存储、边界记录。</x:v>
      </x:c>
      <x:c r="K10" s="144" t="str">
        <x:v>Dcm_Cfg_DspUds.h:86-110</x:v>
      </x:c>
    </x:row>
    <x:row r="11" ht="68" customHeight="1">
      <x:c r="A11" s="144" t="str">
        <x:v>Service</x:v>
      </x:c>
      <x:c r="B11" s="144" t="str">
        <x:v>0x22</x:v>
      </x:c>
      <x:c r="C11" s="144" t="str">
        <x:v>ReadDataByIdentifier</x:v>
      </x:c>
      <x:c r="D11" s="144" t="str">
        <x:v>48 DID</x:v>
      </x:c>
      <x:c r="E11" s="144" t="str">
        <x:v>全部会话</x:v>
      </x:c>
      <x:c r="F11" s="144" t="str">
        <x:v>全部安全级</x:v>
      </x:c>
      <x:c r="G11" s="144" t="str">
        <x:v>启用</x:v>
      </x:c>
      <x:c r="H11" s="144" t="str">
        <x:v>每DID回调/端序/长度/条件需逐项冻结。</x:v>
      </x:c>
      <x:c r="I11" s="144" t="str">
        <x:v>48 DID矩阵和自动测试。</x:v>
      </x:c>
      <x:c r="J11" s="144" t="str">
        <x:v>全DID、错长度、条件/NRC、超时。</x:v>
      </x:c>
      <x:c r="K11" s="144" t="str">
        <x:v>Dcm_Lcfg_DspUds.c:2921-3005</x:v>
      </x:c>
    </x:row>
    <x:row r="12" ht="68" customHeight="1">
      <x:c r="A12" s="144" t="str">
        <x:v>Service</x:v>
      </x:c>
      <x:c r="B12" s="144" t="str">
        <x:v>0x27</x:v>
      </x:c>
      <x:c r="C12" s="144" t="str">
        <x:v>SecurityAccess</x:v>
      </x:c>
      <x:c r="D12" s="144" t="str">
        <x:v>L1 4/4；L31 250/2000；L32同</x:v>
      </x:c>
      <x:c r="E12" s="144" t="str">
        <x:v>session mask 0x14</x:v>
      </x:c>
      <x:c r="F12" s="144" t="str">
        <x:v>各level配置</x:v>
      </x:c>
      <x:c r="G12" s="144" t="str">
        <x:v>启用</x:v>
      </x:c>
      <x:c r="H12" s="144" t="str">
        <x:v>算法/延时/计数/生命周期由安全方输入，不复制样例实现。</x:v>
      </x:c>
      <x:c r="I12" s="144" t="str">
        <x:v>安全访问ICD与HSM适配。</x:v>
      </x:c>
      <x:c r="J12" s="144" t="str">
        <x:v>正确/错误/重放/暴力/掉电/超时。</x:v>
      </x:c>
      <x:c r="K12" s="144" t="str">
        <x:v>Dcm_Lcfg_DspUds.c:102-181</x:v>
      </x:c>
    </x:row>
    <x:row r="13" ht="68" customHeight="1">
      <x:c r="A13" s="144" t="str">
        <x:v>Service</x:v>
      </x:c>
      <x:c r="B13" s="144" t="str">
        <x:v>0x28</x:v>
      </x:c>
      <x:c r="C13" s="144" t="str">
        <x:v>CommunicationControl</x:v>
      </x:c>
      <x:c r="D13" s="144" t="str">
        <x:v>-</x:v>
      </x:c>
      <x:c r="E13" s="144" t="str">
        <x:v>session mask 0x04</x:v>
      </x:c>
      <x:c r="F13" s="144" t="str">
        <x:v>全部安全级</x:v>
      </x:c>
      <x:c r="G13" s="144" t="str">
        <x:v>启用</x:v>
      </x:c>
      <x:c r="H13" s="144" t="str">
        <x:v>禁止通信CAN ID/PDU group范围必须由OEM明确。</x:v>
      </x:c>
      <x:c r="I13" s="144" t="str">
        <x:v>控制范围和模式矩阵。</x:v>
      </x:c>
      <x:c r="J13" s="144" t="str">
        <x:v>Rx/Tx/both、NM保持、恢复、诊断响应。</x:v>
      </x:c>
      <x:c r="K13" s="144" t="str">
        <x:v>Dcm_Lcfg_Dsd.c:367-556；附件QA31</x:v>
      </x:c>
    </x:row>
    <x:row r="14" ht="68" customHeight="1">
      <x:c r="A14" s="144" t="str">
        <x:v>Service</x:v>
      </x:c>
      <x:c r="B14" s="144" t="str">
        <x:v>0x2E</x:v>
      </x:c>
      <x:c r="C14" s="144" t="str">
        <x:v>WriteDataByIdentifier</x:v>
      </x:c>
      <x:c r="D14" s="144" t="str">
        <x:v>写DID子集</x:v>
      </x:c>
      <x:c r="E14" s="144" t="str">
        <x:v>session mask 0x14</x:v>
      </x:c>
      <x:c r="F14" s="144" t="str">
        <x:v>security mask 0x06</x:v>
      </x:c>
      <x:c r="G14" s="144" t="str">
        <x:v>启用</x:v>
      </x:c>
      <x:c r="H14" s="144" t="str">
        <x:v>写DID与NvM块、默认/写频率/掉电需逐项关联。</x:v>
      </x:c>
      <x:c r="I14" s="144" t="str">
        <x:v>DID写矩阵、NvM mapping。</x:v>
      </x:c>
      <x:c r="J14" s="144" t="str">
        <x:v>权限、长度、持久化、写失败。</x:v>
      </x:c>
      <x:c r="K14" s="144" t="str">
        <x:v>Dcm_Lcfg_Dsd.c:367-556</x:v>
      </x:c>
    </x:row>
    <x:row r="15" ht="68" customHeight="1">
      <x:c r="A15" s="144" t="str">
        <x:v>Service</x:v>
      </x:c>
      <x:c r="B15" s="144" t="str">
        <x:v>0x31</x:v>
      </x:c>
      <x:c r="C15" s="144" t="str">
        <x:v>RoutineControl</x:v>
      </x:c>
      <x:c r="D15" s="144" t="str">
        <x:v>5 Routine</x:v>
      </x:c>
      <x:c r="E15" s="144" t="str">
        <x:v>session mask 0x14</x:v>
      </x:c>
      <x:c r="F15" s="144" t="str">
        <x:v>按Routine不同</x:v>
      </x:c>
      <x:c r="G15" s="144" t="str">
        <x:v>启用</x:v>
      </x:c>
      <x:c r="H15" s="144" t="str">
        <x:v>每Routine异步/取消/NRC/安全影响需冻结。</x:v>
      </x:c>
      <x:c r="I15" s="144" t="str">
        <x:v>Routine矩阵。</x:v>
      </x:c>
      <x:c r="J15" s="144" t="str">
        <x:v>start/stop/result、busy、超时、掉电。</x:v>
      </x:c>
      <x:c r="K15" s="144" t="str">
        <x:v>Dcm_Lcfg_DspUds.c:359-404,823-951</x:v>
      </x:c>
    </x:row>
    <x:row r="16" ht="68" customHeight="1">
      <x:c r="A16" s="144" t="str">
        <x:v>Service</x:v>
      </x:c>
      <x:c r="B16" s="144" t="str">
        <x:v>0x3E</x:v>
      </x:c>
      <x:c r="C16" s="144" t="str">
        <x:v>TesterPresent</x:v>
      </x:c>
      <x:c r="D16" s="144" t="str">
        <x:v>-</x:v>
      </x:c>
      <x:c r="E16" s="144" t="str">
        <x:v>全部会话</x:v>
      </x:c>
      <x:c r="F16" s="144" t="str">
        <x:v>全部安全级</x:v>
      </x:c>
      <x:c r="G16" s="144" t="str">
        <x:v>启用</x:v>
      </x:c>
      <x:c r="H16" s="144" t="str">
        <x:v>功能寻址和suppress positive response需按规范。</x:v>
      </x:c>
      <x:c r="I16" s="144" t="str">
        <x:v>子功能/寻址矩阵。</x:v>
      </x:c>
      <x:c r="J16" s="144" t="str">
        <x:v>S3保持、功能寻址、错误subfunction。</x:v>
      </x:c>
      <x:c r="K16" s="144" t="str">
        <x:v>Dcm_Lcfg_Dsd.c:367-556</x:v>
      </x:c>
    </x:row>
    <x:row r="17" ht="68" customHeight="1">
      <x:c r="A17" s="144" t="str">
        <x:v>Service</x:v>
      </x:c>
      <x:c r="B17" s="144" t="str">
        <x:v>0x85</x:v>
      </x:c>
      <x:c r="C17" s="144" t="str">
        <x:v>ControlDTCSetting</x:v>
      </x:c>
      <x:c r="D17" s="144" t="str">
        <x:v>-</x:v>
      </x:c>
      <x:c r="E17" s="144" t="str">
        <x:v>session mask 0x04</x:v>
      </x:c>
      <x:c r="F17" s="144" t="str">
        <x:v>全部安全级</x:v>
      </x:c>
      <x:c r="G17" s="144" t="str">
        <x:v>启用</x:v>
      </x:c>
      <x:c r="H17" s="144" t="str">
        <x:v>关闭期间事件更新/存储行为需明确。</x:v>
      </x:c>
      <x:c r="I17" s="144" t="str">
        <x:v>DTC setting状态机。</x:v>
      </x:c>
      <x:c r="J17" s="144" t="str">
        <x:v>on/off、复位、0x19一致性。</x:v>
      </x:c>
      <x:c r="K17" s="144" t="str">
        <x:v>Dcm_Lcfg_Dsd.c:367-556</x:v>
      </x:c>
    </x:row>
    <x:row r="18" ht="68" customHeight="1">
      <x:c r="A18" s="144" t="str">
        <x:v>Disabled</x:v>
      </x:c>
      <x:c r="B18" s="144" t="str">
        <x:v>0x23/0x24/0x2A/0x2C/0x2F/0x34-0x38/0x3D/0x86</x:v>
      </x:c>
      <x:c r="C18" s="144" t="str">
        <x:v>RMBA/动态DID/周期DID/IOCBI/下载上传/WriteMemory/ROE等</x:v>
      </x:c>
      <x:c r="D18" s="144" t="str">
        <x:v>-</x:v>
      </x:c>
      <x:c r="E18" s="144" t="str">
        <x:v>-</x:v>
      </x:c>
      <x:c r="F18" s="144" t="str">
        <x:v>-</x:v>
      </x:c>
      <x:c r="G18" s="144" t="str">
        <x:v>生成配置关闭</x:v>
      </x:c>
      <x:c r="H18" s="144" t="str">
        <x:v>是否启用必须由正式诊断/Boot需求决定；不能因“所有UDS服务”一句话全部开启。</x:v>
      </x:c>
      <x:c r="I18" s="144" t="str">
        <x:v>显式支持/不支持清单。</x:v>
      </x:c>
      <x:c r="J18" s="144" t="str">
        <x:v>未支持服务返回正确NRC/无副作用。</x:v>
      </x:c>
      <x:c r="K18" s="144" t="str">
        <x:v>Dcm_Lcfg_Dsd.c:367-556</x:v>
      </x:c>
    </x:row>
    <x:row r="19" ht="68" customHeight="1">
      <x:c r="A19" s="144" t="str">
        <x:v>Session</x:v>
      </x:c>
      <x:c r="B19" s="144" t="str">
        <x:v>0x01</x:v>
      </x:c>
      <x:c r="C19" s="144" t="str">
        <x:v>Default</x:v>
      </x:c>
      <x:c r="D19" s="144" t="str">
        <x:v>P2 50ms；P2* 5s</x:v>
      </x:c>
      <x:c r="E19" s="144" t="str">
        <x:v>默认</x:v>
      </x:c>
      <x:c r="F19" s="144" t="str">
        <x:v>-</x:v>
      </x:c>
      <x:c r="G19" s="144" t="str">
        <x:v>启用</x:v>
      </x:c>
      <x:c r="H19" s="144" t="str">
        <x:v>显式值。</x:v>
      </x:c>
      <x:c r="I19" s="144" t="str">
        <x:v>session配置与时序测试。</x:v>
      </x:c>
      <x:c r="J19" s="144" t="str">
        <x:v>P2/P2*/S3边界。</x:v>
      </x:c>
      <x:c r="K19" s="144" t="str">
        <x:v>Dcm_Lcfg_DspUds.c:44-91</x:v>
      </x:c>
    </x:row>
    <x:row r="20" ht="68" customHeight="1">
      <x:c r="A20" s="144" t="str">
        <x:v>Session</x:v>
      </x:c>
      <x:c r="B20" s="144" t="str">
        <x:v>0x02</x:v>
      </x:c>
      <x:c r="C20" s="144" t="str">
        <x:v>Programming</x:v>
      </x:c>
      <x:c r="D20" s="144" t="str">
        <x:v>P2 50ms；P2* 5s</x:v>
      </x:c>
      <x:c r="E20" s="144" t="str">
        <x:v>OEM Boot</x:v>
      </x:c>
      <x:c r="F20" s="144" t="str">
        <x:v>-</x:v>
      </x:c>
      <x:c r="G20" s="144" t="str">
        <x:v>启用</x:v>
      </x:c>
      <x:c r="H20" s="144" t="str">
        <x:v>与Boot、NvM flag、reset链联动。</x:v>
      </x:c>
      <x:c r="I20" s="144" t="str">
        <x:v>App/Boot ICD。</x:v>
      </x:c>
      <x:c r="J20" s="144" t="str">
        <x:v>warm response与失败恢复。</x:v>
      </x:c>
      <x:c r="K20" s="144" t="str">
        <x:v>Dcm_Lcfg_DspUds.c:44-91</x:v>
      </x:c>
    </x:row>
    <x:row r="21" ht="68" customHeight="1">
      <x:c r="A21" s="144" t="str">
        <x:v>Session</x:v>
      </x:c>
      <x:c r="B21" s="144" t="str">
        <x:v>0x03</x:v>
      </x:c>
      <x:c r="C21" s="144" t="str">
        <x:v>Extended</x:v>
      </x:c>
      <x:c r="D21" s="144" t="str">
        <x:v>P2 50ms；P2* 5s</x:v>
      </x:c>
      <x:c r="E21" s="144" t="str">
        <x:v>扩展</x:v>
      </x:c>
      <x:c r="F21" s="144" t="str">
        <x:v>-</x:v>
      </x:c>
      <x:c r="G21" s="144" t="str">
        <x:v>启用</x:v>
      </x:c>
      <x:c r="H21" s="144" t="str">
        <x:v>OEM权限需确认。</x:v>
      </x:c>
      <x:c r="I21" s="144" t="str">
        <x:v>session/service矩阵。</x:v>
      </x:c>
      <x:c r="J21" s="144" t="str">
        <x:v>S3回默认、权限切换。</x:v>
      </x:c>
      <x:c r="K21" s="144" t="str">
        <x:v>Dcm_Lcfg_DspUds.c:44-91</x:v>
      </x:c>
    </x:row>
    <x:row r="22" ht="68" customHeight="1">
      <x:c r="A22" s="144" t="str">
        <x:v>Session</x:v>
      </x:c>
      <x:c r="B22" s="144" t="str">
        <x:v>0x06</x:v>
      </x:c>
      <x:c r="C22" s="144" t="str">
        <x:v>WEIFU</x:v>
      </x:c>
      <x:c r="D22" s="144" t="str">
        <x:v>P2 60ms；P2* 6s</x:v>
      </x:c>
      <x:c r="E22" s="144" t="str">
        <x:v>OEM Boot</x:v>
      </x:c>
      <x:c r="F22" s="144" t="str">
        <x:v>-</x:v>
      </x:c>
      <x:c r="G22" s="144" t="str">
        <x:v>启用</x:v>
      </x:c>
      <x:c r="H22" s="144" t="str">
        <x:v>厂家会话是否量产开放需安全审批。</x:v>
      </x:c>
      <x:c r="I22" s="144" t="str">
        <x:v>生命周期/权限说明。</x:v>
      </x:c>
      <x:c r="J22" s="144" t="str">
        <x:v>未授权生命周期拒绝。</x:v>
      </x:c>
      <x:c r="K22" s="144" t="str">
        <x:v>Dcm_Lcfg_DspUds.c:44-91</x:v>
      </x:c>
    </x:row>
    <x:row r="23" ht="68" customHeight="1">
      <x:c r="A23" s="144" t="str">
        <x:v>Session</x:v>
      </x:c>
      <x:c r="B23" s="144" t="str">
        <x:v>0x60</x:v>
      </x:c>
      <x:c r="C23" s="144" t="str">
        <x:v>BOSCH</x:v>
      </x:c>
      <x:c r="D23" s="144" t="str">
        <x:v>P2 60ms；P2* 6s</x:v>
      </x:c>
      <x:c r="E23" s="144" t="str">
        <x:v>厂家</x:v>
      </x:c>
      <x:c r="F23" s="144" t="str">
        <x:v>-</x:v>
      </x:c>
      <x:c r="G23" s="144" t="str">
        <x:v>启用</x:v>
      </x:c>
      <x:c r="H23" s="144" t="str">
        <x:v>第三方/安全生命周期职责需冻结。</x:v>
      </x:c>
      <x:c r="I23" s="144" t="str">
        <x:v>权限与证书流程。</x:v>
      </x:c>
      <x:c r="J23" s="144" t="str">
        <x:v>认证/超时/生命周期。</x:v>
      </x:c>
      <x:c r="K23" s="144" t="str">
        <x:v>Dcm_Lcfg_DspUds.c:44-91</x:v>
      </x:c>
    </x:row>
    <x:row r="24" ht="68" customHeight="1">
      <x:c r="A24" s="144" t="str">
        <x:v>Security</x:v>
      </x:c>
      <x:c r="B24" s="144" t="str">
        <x:v>L1</x:v>
      </x:c>
      <x:c r="C24" s="144" t="str">
        <x:v>Customer access</x:v>
      </x:c>
      <x:c r="D24" s="144" t="str">
        <x:v>seed 4B/key 4B；power-on/failed delay各1000 tick；3次失败</x:v>
      </x:c>
      <x:c r="E24" s="144" t="str">
        <x:v>相关session</x:v>
      </x:c>
      <x:c r="F24" s="144" t="str">
        <x:v>Level1</x:v>
      </x:c>
      <x:c r="G24" s="144" t="str">
        <x:v>启用</x:v>
      </x:c>
      <x:c r="H24" s="144" t="str">
        <x:v>按10ms Main估算1000 tick≈10s，仅为计算值，须台架实测。</x:v>
      </x:c>
      <x:c r="I24" s="144" t="str">
        <x:v>算法接口、计数NvM、测试向量。</x:v>
      </x:c>
      <x:c r="J24" s="144" t="str">
        <x:v>延迟边界/计数持久化/重放。</x:v>
      </x:c>
      <x:c r="K24" s="144" t="str">
        <x:v>Dcm_Lcfg_DspUds.c:102-181</x:v>
      </x:c>
    </x:row>
    <x:row r="25" ht="68" customHeight="1">
      <x:c r="A25" s="144" t="str">
        <x:v>Security</x:v>
      </x:c>
      <x:c r="B25" s="144" t="str">
        <x:v>L31</x:v>
      </x:c>
      <x:c r="C25" s="144" t="str">
        <x:v>Bosch authentication</x:v>
      </x:c>
      <x:c r="D25" s="144" t="str">
        <x:v>seed 250B/key 2000B；failed delay1000；3次失败</x:v>
      </x:c>
      <x:c r="E25" s="144" t="str">
        <x:v>相关session</x:v>
      </x:c>
      <x:c r="F25" s="144" t="str">
        <x:v>Level31</x:v>
      </x:c>
      <x:c r="G25" s="144" t="str">
        <x:v>异步</x:v>
      </x:c>
      <x:c r="H25" s="144" t="str">
        <x:v>HSM challenge/response，不向外包方提供秘密。</x:v>
      </x:c>
      <x:c r="I25" s="144" t="str">
        <x:v>HSM异步适配与状态机。</x:v>
      </x:c>
      <x:c r="J25" s="144" t="str">
        <x:v>busy/timeout/restart/错误证书。</x:v>
      </x:c>
      <x:c r="K25" s="144" t="str">
        <x:v>Dcm_Lcfg_DspUds.c:102-181</x:v>
      </x:c>
    </x:row>
    <x:row r="26" ht="68" customHeight="1">
      <x:c r="A26" s="144" t="str">
        <x:v>Security</x:v>
      </x:c>
      <x:c r="B26" s="144" t="str">
        <x:v>L32</x:v>
      </x:c>
      <x:c r="C26" s="144" t="str">
        <x:v>Lifecycle transition</x:v>
      </x:c>
      <x:c r="D26" s="144" t="str">
        <x:v>seed 250B/key 2000B；failed delay1000；3次失败</x:v>
      </x:c>
      <x:c r="E26" s="144" t="str">
        <x:v>相关session</x:v>
      </x:c>
      <x:c r="F26" s="144" t="str">
        <x:v>Level32</x:v>
      </x:c>
      <x:c r="G26" s="144" t="str">
        <x:v>异步</x:v>
      </x:c>
      <x:c r="H26" s="144" t="str">
        <x:v>生命周期切换属安全关键操作。</x:v>
      </x:c>
      <x:c r="I26" s="144" t="str">
        <x:v>批准的生命周期ICD。</x:v>
      </x:c>
      <x:c r="J26" s="144" t="str">
        <x:v>每生命周期、断电、回滚/拒绝。</x:v>
      </x:c>
      <x:c r="K26" s="144" t="str">
        <x:v>Dcm_Lcfg_DspUds.c:102-181</x:v>
      </x:c>
    </x:row>
    <x:row r="27" ht="68" customHeight="1">
      <x:c r="A27" s="144" t="str">
        <x:v>DID</x:v>
      </x:c>
      <x:c r="B27" s="144" t="str">
        <x:v>0x0103</x:v>
      </x:c>
      <x:c r="C27" s="144" t="str">
        <x:v>SecurityAccessInvalidCounter（CustomerDID_0x0103_SecurityAccessInvalidCounter）</x:v>
      </x:c>
      <x:c r="D27" s="144" t="str">
        <x:v>1 Byte；1 Signal；固定长度=是</x:v>
      </x:c>
      <x:c r="E27" s="144" t="str">
        <x:v>访问=0x22 Read；ReadSession=0x01 Default, 0x02 Programming, 0x03 Extended, 0x60 BOSCH(0x17)；WriteSession=NONE(0x0)</x:v>
      </x:c>
      <x:c r="F27" s="144" t="str">
        <x:v>ReadSecurity=ALL/LOCKED+UNLOCKED(0xFFFFFFFF)；WriteSecurity=NONE(0x0)</x:v>
      </x:c>
      <x:c r="G27" s="144" t="str">
        <x:v>读输入=DID 0x0103；读输出=1 Byte，由ReadFunc_0x0103同步产生；0x2E不允许；数据口=USE_DATA_SYNCH_FNC; 类型=DCM_UINT8; fixedLength=TRUE</x:v>
      </x:c>
      <x:c r="H27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7" s="144" t="str">
        <x:v>东软自行实现DID配置、回调适配、数据Owner/更新源/NvM映射/端序说明和自动正负向用例；不得使用参考Dcm ARXML或生成代码。</x:v>
      </x:c>
      <x:c r="J27" s="144" t="str">
        <x:v>0x22/0x2E按访问能力逐项测试；精确1B、少1B、多1B、边界字节00/FF、各会话/安全级、回调E_NOT_OK/超时、复位/掉电持久化；48/48通过。</x:v>
      </x:c>
      <x:c r="K27" s="144" t="str">
        <x:v>coem/BYD_UKE/gen_bsw/Dcm/Dcm_Lcfg_DspUds.c:3007; coem/BYD_UKE/gen_bsw/Dcm/Dcm_Lcfg_DspUds.c:1674</x:v>
      </x:c>
    </x:row>
    <x:row r="28" ht="68" customHeight="1">
      <x:c r="A28" s="144" t="str">
        <x:v>DID</x:v>
      </x:c>
      <x:c r="B28" s="144" t="str">
        <x:v>0x0285</x:v>
      </x:c>
      <x:c r="C28" s="144" t="str">
        <x:v>SupplierVoltage（CustomerDID_0x0285_SupplierVoltage）</x:v>
      </x:c>
      <x:c r="D28" s="144" t="str">
        <x:v>1 Byte；1 Signal；固定长度=是</x:v>
      </x:c>
      <x:c r="E28" s="144" t="str">
        <x:v>访问=0x22 Read；ReadSession=0x01 Default, 0x02 Programming, 0x03 Extended, 0x60 BOSCH(0x17)；WriteSession=NONE(0x0)</x:v>
      </x:c>
      <x:c r="F28" s="144" t="str">
        <x:v>ReadSecurity=ALL/LOCKED+UNLOCKED(0xFFFFFFFF)；WriteSecurity=NONE(0x0)</x:v>
      </x:c>
      <x:c r="G28" s="144" t="str">
        <x:v>读输入=DID 0x0285；读输出=1 Byte，由ReadFunc_0x0285同步产生；0x2E不允许；数据口=USE_DATA_SYNCH_FNC; 类型=DCM_UINT8; fixedLength=TRUE</x:v>
      </x:c>
      <x:c r="H28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8" s="144" t="str">
        <x:v>东软自行实现DID配置、回调适配、数据Owner/更新源/NvM映射/端序说明和自动正负向用例；不得使用参考Dcm ARXML或生成代码。</x:v>
      </x:c>
      <x:c r="J28" s="144" t="str">
        <x:v>0x22/0x2E按访问能力逐项测试；精确1B、少1B、多1B、边界字节00/FF、各会话/安全级、回调E_NOT_OK/超时、复位/掉电持久化；48/48通过。</x:v>
      </x:c>
      <x:c r="K28" s="144" t="str">
        <x:v>coem/BYD_UKE/gen_bsw/Dcm/Dcm_Lcfg_DspUds.c:3030; coem/BYD_UKE/gen_bsw/Dcm/Dcm_Lcfg_DspUds.c:1699</x:v>
      </x:c>
    </x:row>
    <x:row r="29" ht="68" customHeight="1">
      <x:c r="A29" s="144" t="str">
        <x:v>DID</x:v>
      </x:c>
      <x:c r="B29" s="144" t="str">
        <x:v>0x028D</x:v>
      </x:c>
      <x:c r="C29" s="144" t="str">
        <x:v>EcuTemperature（CustomerDID_0x028D_EcuTemperature）</x:v>
      </x:c>
      <x:c r="D29" s="144" t="str">
        <x:v>1 Byte；1 Signal；固定长度=是</x:v>
      </x:c>
      <x:c r="E29" s="144" t="str">
        <x:v>访问=0x22 Read；ReadSession=0x01 Default, 0x02 Programming, 0x03 Extended, 0x60 BOSCH(0x17)；WriteSession=NONE(0x0)</x:v>
      </x:c>
      <x:c r="F29" s="144" t="str">
        <x:v>ReadSecurity=ALL/LOCKED+UNLOCKED(0xFFFFFFFF)；WriteSecurity=NONE(0x0)</x:v>
      </x:c>
      <x:c r="G29" s="144" t="str">
        <x:v>读输入=DID 0x028D；读输出=1 Byte，由ReadFunc_0x028D同步产生；0x2E不允许；数据口=USE_DATA_SYNCH_FNC; 类型=DCM_UINT8; fixedLength=TRUE</x:v>
      </x:c>
      <x:c r="H29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9" s="144" t="str">
        <x:v>东软自行实现DID配置、回调适配、数据Owner/更新源/NvM映射/端序说明和自动正负向用例；不得使用参考Dcm ARXML或生成代码。</x:v>
      </x:c>
      <x:c r="J29" s="144" t="str">
        <x:v>0x22/0x2E按访问能力逐项测试；精确1B、少1B、多1B、边界字节00/FF、各会话/安全级、回调E_NOT_OK/超时、复位/掉电持久化；48/48通过。</x:v>
      </x:c>
      <x:c r="K29" s="144" t="str">
        <x:v>coem/BYD_UKE/gen_bsw/Dcm/Dcm_Lcfg_DspUds.c:3053; coem/BYD_UKE/gen_bsw/Dcm/Dcm_Lcfg_DspUds.c:1724</x:v>
      </x:c>
    </x:row>
    <x:row r="30" ht="68" customHeight="1">
      <x:c r="A30" s="144" t="str">
        <x:v>DID</x:v>
      </x:c>
      <x:c r="B30" s="144" t="str">
        <x:v>0x1011</x:v>
      </x:c>
      <x:c r="C30" s="144" t="str">
        <x:v>VehicleSpeed（CustomerDID_0x1011_VehicleSpeed）</x:v>
      </x:c>
      <x:c r="D30" s="144" t="str">
        <x:v>2 Byte；1 Signal；固定长度=是</x:v>
      </x:c>
      <x:c r="E30" s="144" t="str">
        <x:v>访问=0x22 Read；ReadSession=0x01 Default, 0x02 Programming, 0x03 Extended, 0x60 BOSCH(0x17)；WriteSession=NONE(0x0)</x:v>
      </x:c>
      <x:c r="F30" s="144" t="str">
        <x:v>ReadSecurity=ALL/LOCKED+UNLOCKED(0xFFFFFFFF)；WriteSecurity=NONE(0x0)</x:v>
      </x:c>
      <x:c r="G30" s="144" t="str">
        <x:v>读输入=DID 0x1011；读输出=2 Byte，由ReadFunc_0x1011同步产生；0x2E不允许；数据口=USE_DATA_SYNCH_FNC; 类型=DCM_UINT8; fixedLength=TRUE</x:v>
      </x:c>
      <x:c r="H30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0" s="144" t="str">
        <x:v>东软自行实现DID配置、回调适配、数据Owner/更新源/NvM映射/端序说明和自动正负向用例；不得使用参考Dcm ARXML或生成代码。</x:v>
      </x:c>
      <x:c r="J30" s="144" t="str">
        <x:v>0x22/0x2E按访问能力逐项测试；精确2B、少1B、多1B、边界字节00/FF、各会话/安全级、回调E_NOT_OK/超时、复位/掉电持久化；48/48通过。</x:v>
      </x:c>
      <x:c r="K30" s="144" t="str">
        <x:v>coem/BYD_UKE/gen_bsw/Dcm/Dcm_Lcfg_DspUds.c:3076; coem/BYD_UKE/gen_bsw/Dcm/Dcm_Lcfg_DspUds.c:1749</x:v>
      </x:c>
    </x:row>
    <x:row r="31" ht="68" customHeight="1">
      <x:c r="A31" s="144" t="str">
        <x:v>DID</x:v>
      </x:c>
      <x:c r="B31" s="144" t="str">
        <x:v>0x2100</x:v>
      </x:c>
      <x:c r="C31" s="144" t="str">
        <x:v>VariantCoding（CustomerDID_0x2100_VariantCoding）</x:v>
      </x:c>
      <x:c r="D31" s="144" t="str">
        <x:v>8 Byte；1 Signal；固定长度=是</x:v>
      </x:c>
      <x:c r="E31" s="144" t="str">
        <x:v>访问=0x22 Read + 0x2E Write；ReadSession=0x01 Default, 0x02 Programming, 0x03 Extended(0x7)；WriteSession=0x03 Extended(0x4)</x:v>
      </x:c>
      <x:c r="F31" s="144" t="str">
        <x:v>ReadSecurity=ALL/LOCKED+UNLOCKED(0xFFFFFFFF)；WriteSecurity=L31(0x2)</x:v>
      </x:c>
      <x:c r="G31" s="144" t="str">
        <x:v>读输入=DID 0x2100；读输出=8 Byte，由ReadFunc_0x2100同步产生；写输入=DID+8 Byte；写回调=WriteFunc_0x2100；成功响应回显DID；数据口=USE_DATA_SYNCH_FNC; 类型=DCM_UINT8; fixedLength=TRUE</x:v>
      </x:c>
      <x:c r="H31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1" s="144" t="str">
        <x:v>东软自行实现DID配置、回调适配、数据Owner/更新源/NvM映射/端序说明和自动正负向用例；不得使用参考Dcm ARXML或生成代码。</x:v>
      </x:c>
      <x:c r="J31" s="144" t="str">
        <x:v>0x22/0x2E按访问能力逐项测试；精确8B、少1B、多1B、边界字节00/FF、各会话/安全级、回调E_NOT_OK/超时、复位/掉电持久化；48/48通过。</x:v>
      </x:c>
      <x:c r="K31" s="144" t="str">
        <x:v>coem/BYD_UKE/gen_bsw/Dcm/Dcm_Lcfg_DspUds.c:3099; coem/BYD_UKE/gen_bsw/Dcm/Dcm_Lcfg_DspUds.c:1774</x:v>
      </x:c>
    </x:row>
    <x:row r="32" ht="68" customHeight="1">
      <x:c r="A32" s="144" t="str">
        <x:v>DID</x:v>
      </x:c>
      <x:c r="B32" s="144" t="str">
        <x:v>0x3403</x:v>
      </x:c>
      <x:c r="C32" s="144" t="str">
        <x:v>SlowHorizontalAngle（CustomerDID_0x3403_SlowHorizontalAngle）</x:v>
      </x:c>
      <x:c r="D32" s="144" t="str">
        <x:v>4 Byte；1 Signal；固定长度=是</x:v>
      </x:c>
      <x:c r="E32" s="144" t="str">
        <x:v>访问=0x22 Read；ReadSession=0x01 Default, 0x02 Programming, 0x03 Extended, 0x60 BOSCH(0x17)；WriteSession=NONE(0x0)</x:v>
      </x:c>
      <x:c r="F32" s="144" t="str">
        <x:v>ReadSecurity=ALL/LOCKED+UNLOCKED(0xFFFFFFFF)；WriteSecurity=NONE(0x0)</x:v>
      </x:c>
      <x:c r="G32" s="144" t="str">
        <x:v>读输入=DID 0x3403；读输出=4 Byte，由ReadFunc_0x3403同步产生；0x2E不允许；数据口=USE_DATA_SYNCH_FNC; 类型=DCM_UINT8; fixedLength=TRUE</x:v>
      </x:c>
      <x:c r="H32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2" s="144" t="str">
        <x:v>东软自行实现DID配置、回调适配、数据Owner/更新源/NvM映射/端序说明和自动正负向用例；不得使用参考Dcm ARXML或生成代码。</x:v>
      </x:c>
      <x:c r="J32" s="144" t="str">
        <x:v>0x22/0x2E按访问能力逐项测试；精确4B、少1B、多1B、边界字节00/FF、各会话/安全级、回调E_NOT_OK/超时、复位/掉电持久化；48/48通过。</x:v>
      </x:c>
      <x:c r="K32" s="144" t="str">
        <x:v>coem/BYD_UKE/gen_bsw/Dcm/Dcm_Lcfg_DspUds.c:3122; coem/BYD_UKE/gen_bsw/Dcm/Dcm_Lcfg_DspUds.c:1799</x:v>
      </x:c>
    </x:row>
    <x:row r="33" ht="68" customHeight="1">
      <x:c r="A33" s="144" t="str">
        <x:v>DID</x:v>
      </x:c>
      <x:c r="B33" s="144" t="str">
        <x:v>0x3404</x:v>
      </x:c>
      <x:c r="C33" s="144" t="str">
        <x:v>FastHorizontalAngle（CustomerDID_0x3404_FastHorizontalAngle）</x:v>
      </x:c>
      <x:c r="D33" s="144" t="str">
        <x:v>4 Byte；1 Signal；固定长度=是</x:v>
      </x:c>
      <x:c r="E33" s="144" t="str">
        <x:v>访问=0x22 Read；ReadSession=0x01 Default, 0x02 Programming, 0x03 Extended, 0x60 BOSCH(0x17)；WriteSession=NONE(0x0)</x:v>
      </x:c>
      <x:c r="F33" s="144" t="str">
        <x:v>ReadSecurity=ALL/LOCKED+UNLOCKED(0xFFFFFFFF)；WriteSecurity=NONE(0x0)</x:v>
      </x:c>
      <x:c r="G33" s="144" t="str">
        <x:v>读输入=DID 0x3404；读输出=4 Byte，由ReadFunc_0x3404同步产生；0x2E不允许；数据口=USE_DATA_SYNCH_FNC; 类型=DCM_UINT8; fixedLength=TRUE</x:v>
      </x:c>
      <x:c r="H33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3" s="144" t="str">
        <x:v>东软自行实现DID配置、回调适配、数据Owner/更新源/NvM映射/端序说明和自动正负向用例；不得使用参考Dcm ARXML或生成代码。</x:v>
      </x:c>
      <x:c r="J33" s="144" t="str">
        <x:v>0x22/0x2E按访问能力逐项测试；精确4B、少1B、多1B、边界字节00/FF、各会话/安全级、回调E_NOT_OK/超时、复位/掉电持久化；48/48通过。</x:v>
      </x:c>
      <x:c r="K33" s="144" t="str">
        <x:v>coem/BYD_UKE/gen_bsw/Dcm/Dcm_Lcfg_DspUds.c:3145; coem/BYD_UKE/gen_bsw/Dcm/Dcm_Lcfg_DspUds.c:1824</x:v>
      </x:c>
    </x:row>
    <x:row r="34" ht="68" customHeight="1">
      <x:c r="A34" s="144" t="str">
        <x:v>DID</x:v>
      </x:c>
      <x:c r="B34" s="144" t="str">
        <x:v>0x3441</x:v>
      </x:c>
      <x:c r="C34" s="144" t="str">
        <x:v>FastVerticalAngle（CustomerDID_0x3441_FastVerticalAngle）</x:v>
      </x:c>
      <x:c r="D34" s="144" t="str">
        <x:v>4 Byte；1 Signal；固定长度=是</x:v>
      </x:c>
      <x:c r="E34" s="144" t="str">
        <x:v>访问=0x22 Read；ReadSession=0x01 Default, 0x02 Programming, 0x03 Extended, 0x60 BOSCH(0x17)；WriteSession=NONE(0x0)</x:v>
      </x:c>
      <x:c r="F34" s="144" t="str">
        <x:v>ReadSecurity=ALL/LOCKED+UNLOCKED(0xFFFFFFFF)；WriteSecurity=NONE(0x0)</x:v>
      </x:c>
      <x:c r="G34" s="144" t="str">
        <x:v>读输入=DID 0x3441；读输出=4 Byte，由ReadFunc_0x3441同步产生；0x2E不允许；数据口=USE_DATA_SYNCH_FNC; 类型=DCM_UINT8; fixedLength=TRUE</x:v>
      </x:c>
      <x:c r="H34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4" s="144" t="str">
        <x:v>东软自行实现DID配置、回调适配、数据Owner/更新源/NvM映射/端序说明和自动正负向用例；不得使用参考Dcm ARXML或生成代码。</x:v>
      </x:c>
      <x:c r="J34" s="144" t="str">
        <x:v>0x22/0x2E按访问能力逐项测试；精确4B、少1B、多1B、边界字节00/FF、各会话/安全级、回调E_NOT_OK/超时、复位/掉电持久化；48/48通过。</x:v>
      </x:c>
      <x:c r="K34" s="144" t="str">
        <x:v>coem/BYD_UKE/gen_bsw/Dcm/Dcm_Lcfg_DspUds.c:3168; coem/BYD_UKE/gen_bsw/Dcm/Dcm_Lcfg_DspUds.c:1849</x:v>
      </x:c>
    </x:row>
    <x:row r="35" ht="68" customHeight="1">
      <x:c r="A35" s="144" t="str">
        <x:v>DID</x:v>
      </x:c>
      <x:c r="B35" s="144" t="str">
        <x:v>0x3442</x:v>
      </x:c>
      <x:c r="C35" s="144" t="str">
        <x:v>SlowVerticalAngle（CustomerDID_0x3442_SlowVerticalAngle）</x:v>
      </x:c>
      <x:c r="D35" s="144" t="str">
        <x:v>4 Byte；1 Signal；固定长度=是</x:v>
      </x:c>
      <x:c r="E35" s="144" t="str">
        <x:v>访问=0x22 Read；ReadSession=0x01 Default, 0x02 Programming, 0x03 Extended, 0x60 BOSCH(0x17)；WriteSession=NONE(0x0)</x:v>
      </x:c>
      <x:c r="F35" s="144" t="str">
        <x:v>ReadSecurity=ALL/LOCKED+UNLOCKED(0xFFFFFFFF)；WriteSecurity=NONE(0x0)</x:v>
      </x:c>
      <x:c r="G35" s="144" t="str">
        <x:v>读输入=DID 0x3442；读输出=4 Byte，由ReadFunc_0x3442同步产生；0x2E不允许；数据口=USE_DATA_SYNCH_FNC; 类型=DCM_UINT8; fixedLength=TRUE</x:v>
      </x:c>
      <x:c r="H35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5" s="144" t="str">
        <x:v>东软自行实现DID配置、回调适配、数据Owner/更新源/NvM映射/端序说明和自动正负向用例；不得使用参考Dcm ARXML或生成代码。</x:v>
      </x:c>
      <x:c r="J35" s="144" t="str">
        <x:v>0x22/0x2E按访问能力逐项测试；精确4B、少1B、多1B、边界字节00/FF、各会话/安全级、回调E_NOT_OK/超时、复位/掉电持久化；48/48通过。</x:v>
      </x:c>
      <x:c r="K35" s="144" t="str">
        <x:v>coem/BYD_UKE/gen_bsw/Dcm/Dcm_Lcfg_DspUds.c:3191; coem/BYD_UKE/gen_bsw/Dcm/Dcm_Lcfg_DspUds.c:1874</x:v>
      </x:c>
    </x:row>
    <x:row r="36" ht="68" customHeight="1">
      <x:c r="A36" s="144" t="str">
        <x:v>DID</x:v>
      </x:c>
      <x:c r="B36" s="144" t="str">
        <x:v>0x3443</x:v>
      </x:c>
      <x:c r="C36" s="144" t="str">
        <x:v>SensorMountingSide（CustomerDID_0x3443_SensorMountingSide）</x:v>
      </x:c>
      <x:c r="D36" s="144" t="str">
        <x:v>1 Byte；1 Signal；固定长度=是</x:v>
      </x:c>
      <x:c r="E36" s="144" t="str">
        <x:v>访问=0x22 Read；ReadSession=0x01 Default, 0x02 Programming, 0x03 Extended, 0x60 BOSCH(0x17)；WriteSession=NONE(0x0)</x:v>
      </x:c>
      <x:c r="F36" s="144" t="str">
        <x:v>ReadSecurity=ALL/LOCKED+UNLOCKED(0xFFFFFFFF)；WriteSecurity=NONE(0x0)</x:v>
      </x:c>
      <x:c r="G36" s="144" t="str">
        <x:v>读输入=DID 0x3443；读输出=1 Byte，由ReadFunc_0x3443同步产生；0x2E不允许；数据口=USE_DATA_SYNCH_FNC; 类型=DCM_UINT8; fixedLength=TRUE</x:v>
      </x:c>
      <x:c r="H36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6" s="144" t="str">
        <x:v>东软自行实现DID配置、回调适配、数据Owner/更新源/NvM映射/端序说明和自动正负向用例；不得使用参考Dcm ARXML或生成代码。</x:v>
      </x:c>
      <x:c r="J36" s="144" t="str">
        <x:v>0x22/0x2E按访问能力逐项测试；精确1B、少1B、多1B、边界字节00/FF、各会话/安全级、回调E_NOT_OK/超时、复位/掉电持久化；48/48通过。</x:v>
      </x:c>
      <x:c r="K36" s="144" t="str">
        <x:v>coem/BYD_UKE/gen_bsw/Dcm/Dcm_Lcfg_DspUds.c:3214; coem/BYD_UKE/gen_bsw/Dcm/Dcm_Lcfg_DspUds.c:1899</x:v>
      </x:c>
    </x:row>
    <x:row r="37" ht="68" customHeight="1">
      <x:c r="A37" s="144" t="str">
        <x:v>DID</x:v>
      </x:c>
      <x:c r="B37" s="144" t="str">
        <x:v>0x3444</x:v>
      </x:c>
      <x:c r="C37" s="144" t="str">
        <x:v>PINDirectionANDPosition（CustomerDID_0x3444_PINDirectionANDPosition）</x:v>
      </x:c>
      <x:c r="D37" s="144" t="str">
        <x:v>1 Byte；1 Signal；固定长度=是</x:v>
      </x:c>
      <x:c r="E37" s="144" t="str">
        <x:v>访问=0x22 Read；ReadSession=0x01 Default, 0x02 Programming, 0x03 Extended, 0x60 BOSCH(0x17)；WriteSession=NONE(0x0)</x:v>
      </x:c>
      <x:c r="F37" s="144" t="str">
        <x:v>ReadSecurity=ALL/LOCKED+UNLOCKED(0xFFFFFFFF)；WriteSecurity=NONE(0x0)</x:v>
      </x:c>
      <x:c r="G37" s="144" t="str">
        <x:v>读输入=DID 0x3444；读输出=1 Byte，由ReadFunc_0x3444同步产生；0x2E不允许；数据口=USE_DATA_SYNCH_FNC; 类型=DCM_UINT8; fixedLength=TRUE</x:v>
      </x:c>
      <x:c r="H37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7" s="144" t="str">
        <x:v>东软自行实现DID配置、回调适配、数据Owner/更新源/NvM映射/端序说明和自动正负向用例；不得使用参考Dcm ARXML或生成代码。</x:v>
      </x:c>
      <x:c r="J37" s="144" t="str">
        <x:v>0x22/0x2E按访问能力逐项测试；精确1B、少1B、多1B、边界字节00/FF、各会话/安全级、回调E_NOT_OK/超时、复位/掉电持久化；48/48通过。</x:v>
      </x:c>
      <x:c r="K37" s="144" t="str">
        <x:v>coem/BYD_UKE/gen_bsw/Dcm/Dcm_Lcfg_DspUds.c:3237; coem/BYD_UKE/gen_bsw/Dcm/Dcm_Lcfg_DspUds.c:1924</x:v>
      </x:c>
    </x:row>
    <x:row r="38" ht="68" customHeight="1">
      <x:c r="A38" s="144" t="str">
        <x:v>DID</x:v>
      </x:c>
      <x:c r="B38" s="144" t="str">
        <x:v>0x3449</x:v>
      </x:c>
      <x:c r="C38" s="144" t="str">
        <x:v>Lifecycle_Read（CustomerDID_0x3449_Lifecycle_Read）</x:v>
      </x:c>
      <x:c r="D38" s="144" t="str">
        <x:v>1 Byte；1 Signal；固定长度=是</x:v>
      </x:c>
      <x:c r="E38" s="144" t="str">
        <x:v>访问=配置无可用读写接口；ReadSession=0x01 Default, 0x02 Programming, 0x03 Extended, 0x60 BOSCH(0x17)；WriteSession=NONE(0x0)</x:v>
      </x:c>
      <x:c r="F38" s="144" t="str">
        <x:v>ReadSecurity=ALL/LOCKED+UNLOCKED(0xFFFFFFFF)；WriteSecurity=NONE(0x0)</x:v>
      </x:c>
      <x:c r="G38" s="144" t="str">
        <x:v>0x22不允许；0x2E不允许；数据口=USE_DATA_SYNCH_FNC; 类型=DCM_UINT8; fixedLength=TRUE</x:v>
      </x:c>
      <x:c r="H38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8" s="144" t="str">
        <x:v>东软自行实现DID配置、回调适配、数据Owner/更新源/NvM映射/端序说明和自动正负向用例；不得使用参考Dcm ARXML或生成代码。</x:v>
      </x:c>
      <x:c r="J38" s="144" t="str">
        <x:v>0x22/0x2E按访问能力逐项测试；精确1B、少1B、多1B、边界字节00/FF、各会话/安全级、回调E_NOT_OK/超时、复位/掉电持久化；48/48通过。</x:v>
      </x:c>
      <x:c r="K38" s="144" t="str">
        <x:v>coem/BYD_UKE/gen_bsw/Dcm/Dcm_Lcfg_DspUds.c:3260; coem/BYD_UKE/gen_bsw/Dcm/Dcm_Lcfg_DspUds.c</x:v>
      </x:c>
    </x:row>
    <x:row r="39" ht="68" customHeight="1">
      <x:c r="A39" s="144" t="str">
        <x:v>DID</x:v>
      </x:c>
      <x:c r="B39" s="144" t="str">
        <x:v>0x344A</x:v>
      </x:c>
      <x:c r="C39" s="144" t="str">
        <x:v>LifecycleSwitch（CustomerDID_0x344A_LifecycleSwitch）</x:v>
      </x:c>
      <x:c r="D39" s="144" t="str">
        <x:v>1 Byte；1 Signal；固定长度=是</x:v>
      </x:c>
      <x:c r="E39" s="144" t="str">
        <x:v>访问=0x22 Read + 0x2E Write；ReadSession=0x01 Default, 0x02 Programming, 0x03 Extended(0x7)；WriteSession=0x03 Extended(0x4)</x:v>
      </x:c>
      <x:c r="F39" s="144" t="str">
        <x:v>ReadSecurity=ALL/LOCKED+UNLOCKED(0xFFFFFFFF)；WriteSecurity=L31(0x2)</x:v>
      </x:c>
      <x:c r="G39" s="144" t="str">
        <x:v>读输入=DID 0x344A；读输出=1 Byte，由ReadFunc_0x344A同步产生；写输入=DID+1 Byte；写回调=WriteFunc_0x344A；成功响应回显DID；数据口=USE_DATA_SYNCH_FNC; 类型=DCM_UINT8; fixedLength=TRUE</x:v>
      </x:c>
      <x:c r="H39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9" s="144" t="str">
        <x:v>东软自行实现DID配置、回调适配、数据Owner/更新源/NvM映射/端序说明和自动正负向用例；不得使用参考Dcm ARXML或生成代码。</x:v>
      </x:c>
      <x:c r="J39" s="144" t="str">
        <x:v>0x22/0x2E按访问能力逐项测试；精确1B、少1B、多1B、边界字节00/FF、各会话/安全级、回调E_NOT_OK/超时、复位/掉电持久化；48/48通过。</x:v>
      </x:c>
      <x:c r="K39" s="144" t="str">
        <x:v>coem/BYD_UKE/gen_bsw/Dcm/Dcm_Lcfg_DspUds.c:3283; coem/BYD_UKE/gen_bsw/Dcm/Dcm_Lcfg_DspUds.c:1974</x:v>
      </x:c>
    </x:row>
    <x:row r="40" ht="68" customHeight="1">
      <x:c r="A40" s="144" t="str">
        <x:v>DID</x:v>
      </x:c>
      <x:c r="B40" s="144" t="str">
        <x:v>0x6666</x:v>
      </x:c>
      <x:c r="C40" s="144" t="str">
        <x:v>Did_for_test（CustomerDID_0x6666_Did_for_test）</x:v>
      </x:c>
      <x:c r="D40" s="144" t="str">
        <x:v>3 Byte；1 Signal；固定长度=是</x:v>
      </x:c>
      <x:c r="E40" s="144" t="str">
        <x:v>访问=配置无可用读写接口；ReadSession=0x01 Default, 0x02 Programming, 0x03 Extended(0x7)；WriteSession=0x03 Extended(0x4)</x:v>
      </x:c>
      <x:c r="F40" s="144" t="str">
        <x:v>ReadSecurity=ALL/LOCKED+UNLOCKED(0xFFFFFFFF)；WriteSecurity=L31(0x2)</x:v>
      </x:c>
      <x:c r="G40" s="144" t="str">
        <x:v>0x22不允许；0x2E不允许；数据口=USE_DATA_SYNCH_FNC; 类型=DCM_UINT8; fixedLength=TRUE</x:v>
      </x:c>
      <x:c r="H40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0" s="144" t="str">
        <x:v>东软自行实现DID配置、回调适配、数据Owner/更新源/NvM映射/端序说明和自动正负向用例；不得使用参考Dcm ARXML或生成代码。</x:v>
      </x:c>
      <x:c r="J40" s="144" t="str">
        <x:v>0x22/0x2E按访问能力逐项测试；精确3B、少1B、多1B、边界字节00/FF、各会话/安全级、回调E_NOT_OK/超时、复位/掉电持久化；48/48通过。</x:v>
      </x:c>
      <x:c r="K40" s="144" t="str">
        <x:v>coem/BYD_UKE/gen_bsw/Dcm/Dcm_Lcfg_DspUds.c:3306; coem/BYD_UKE/gen_bsw/Dcm/Dcm_Lcfg_DspUds.c</x:v>
      </x:c>
    </x:row>
    <x:row r="41" ht="68" customHeight="1">
      <x:c r="A41" s="144" t="str">
        <x:v>DID</x:v>
      </x:c>
      <x:c r="B41" s="144" t="str">
        <x:v>0xF180</x:v>
      </x:c>
      <x:c r="C41" s="144" t="str">
        <x:v>FBLVersion（CustomerDID_0xF180_FBLVersion）</x:v>
      </x:c>
      <x:c r="D41" s="144" t="str">
        <x:v>9 Byte；1 Signal；固定长度=是</x:v>
      </x:c>
      <x:c r="E41" s="144" t="str">
        <x:v>访问=0x22 Read；ReadSession=0x01 Default, 0x02 Programming, 0x03 Extended, 0x60 BOSCH(0x17)；WriteSession=NONE(0x0)</x:v>
      </x:c>
      <x:c r="F41" s="144" t="str">
        <x:v>ReadSecurity=ALL/LOCKED+UNLOCKED(0xFFFFFFFF)；WriteSecurity=NONE(0x0)</x:v>
      </x:c>
      <x:c r="G41" s="144" t="str">
        <x:v>读输入=DID 0xF180；读输出=9 Byte，由ReadFunc_0xF180同步产生；0x2E不允许；数据口=USE_DATA_SYNCH_FNC; 类型=DCM_UINT8; fixedLength=TRUE</x:v>
      </x:c>
      <x:c r="H41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1" s="144" t="str">
        <x:v>东软自行实现DID配置、回调适配、数据Owner/更新源/NvM映射/端序说明和自动正负向用例；不得使用参考Dcm ARXML或生成代码。</x:v>
      </x:c>
      <x:c r="J41" s="144" t="str">
        <x:v>0x22/0x2E按访问能力逐项测试；精确9B、少1B、多1B、边界字节00/FF、各会话/安全级、回调E_NOT_OK/超时、复位/掉电持久化；48/48通过。</x:v>
      </x:c>
      <x:c r="K41" s="144" t="str">
        <x:v>coem/BYD_UKE/gen_bsw/Dcm/Dcm_Lcfg_DspUds.c:3329; coem/BYD_UKE/gen_bsw/Dcm/Dcm_Lcfg_DspUds.c:2024</x:v>
      </x:c>
    </x:row>
    <x:row r="42" ht="68" customHeight="1">
      <x:c r="A42" s="144" t="str">
        <x:v>DID</x:v>
      </x:c>
      <x:c r="B42" s="144" t="str">
        <x:v>0xF186</x:v>
      </x:c>
      <x:c r="C42" s="144" t="str">
        <x:v>GetCurSession（GeneralDID_0xF186_GetCurSession）</x:v>
      </x:c>
      <x:c r="D42" s="144" t="str">
        <x:v>1 Byte；1 Signal；固定长度=是</x:v>
      </x:c>
      <x:c r="E42" s="144" t="str">
        <x:v>访问=0x22 Read；ReadSession=0x01 Default, 0x02 Programming, 0x03 Extended, 0x60 BOSCH(0x17)；WriteSession=NONE(0x0)</x:v>
      </x:c>
      <x:c r="F42" s="144" t="str">
        <x:v>ReadSecurity=ALL/LOCKED+UNLOCKED(0xFFFFFFFF)；WriteSecurity=NONE(0x0)</x:v>
      </x:c>
      <x:c r="G42" s="144" t="str">
        <x:v>读输入=DID 0xF186；读输出=1 Byte，由ReadFunc_0xF186同步产生；0x2E不允许；数据口=USE_DATA_SYNCH_FNC; 类型=DCM_UINT8; fixedLength=TRUE</x:v>
      </x:c>
      <x:c r="H42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2" s="144" t="str">
        <x:v>东软自行实现DID配置、回调适配、数据Owner/更新源/NvM映射/端序说明和自动正负向用例；不得使用参考Dcm ARXML或生成代码。</x:v>
      </x:c>
      <x:c r="J42" s="144" t="str">
        <x:v>0x22/0x2E按访问能力逐项测试；精确1B、少1B、多1B、边界字节00/FF、各会话/安全级、回调E_NOT_OK/超时、复位/掉电持久化；48/48通过。</x:v>
      </x:c>
      <x:c r="K42" s="144" t="str">
        <x:v>coem/BYD_UKE/gen_bsw/Dcm/Dcm_Lcfg_DspUds.c:3352; coem/BYD_UKE/gen_bsw/Dcm/Dcm_Lcfg_DspUds.c:2348</x:v>
      </x:c>
    </x:row>
    <x:row r="43" ht="68" customHeight="1">
      <x:c r="A43" s="144" t="str">
        <x:v>DID</x:v>
      </x:c>
      <x:c r="B43" s="144" t="str">
        <x:v>0xF18C</x:v>
      </x:c>
      <x:c r="C43" s="144" t="str">
        <x:v>SerialNumber（CustomerDID_0xF18C_SerialNumber）</x:v>
      </x:c>
      <x:c r="D43" s="144" t="str">
        <x:v>30 Byte；1 Signal；固定长度=是</x:v>
      </x:c>
      <x:c r="E43" s="144" t="str">
        <x:v>访问=0x22 Read；ReadSession=0x01 Default, 0x02 Programming, 0x03 Extended, 0x60 BOSCH(0x17)；WriteSession=NONE(0x0)</x:v>
      </x:c>
      <x:c r="F43" s="144" t="str">
        <x:v>ReadSecurity=ALL/LOCKED+UNLOCKED(0xFFFFFFFF)；WriteSecurity=NONE(0x0)</x:v>
      </x:c>
      <x:c r="G43" s="144" t="str">
        <x:v>读输入=DID 0xF18C；读输出=30 Byte，由ReadFunc_0xF18C同步产生；0x2E不允许；数据口=USE_DATA_SYNCH_FNC; 类型=DCM_UINT8; fixedLength=TRUE</x:v>
      </x:c>
      <x:c r="H43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3" s="144" t="str">
        <x:v>东软自行实现DID配置、回调适配、数据Owner/更新源/NvM映射/端序说明和自动正负向用例；不得使用参考Dcm ARXML或生成代码。</x:v>
      </x:c>
      <x:c r="J43" s="144" t="str">
        <x:v>0x22/0x2E按访问能力逐项测试；精确30B、少1B、多1B、边界字节00/FF、各会话/安全级、回调E_NOT_OK/超时、复位/掉电持久化；48/48通过。</x:v>
      </x:c>
      <x:c r="K43" s="144" t="str">
        <x:v>coem/BYD_UKE/gen_bsw/Dcm/Dcm_Lcfg_DspUds.c:3375; coem/BYD_UKE/gen_bsw/Dcm/Dcm_Lcfg_DspUds.c:2049</x:v>
      </x:c>
    </x:row>
    <x:row r="44" ht="68" customHeight="1">
      <x:c r="A44" s="144" t="str">
        <x:v>DID</x:v>
      </x:c>
      <x:c r="B44" s="144" t="str">
        <x:v>0xF190</x:v>
      </x:c>
      <x:c r="C44" s="144" t="str">
        <x:v>VIN（CustomerDID_0xF190_VIN）</x:v>
      </x:c>
      <x:c r="D44" s="144" t="str">
        <x:v>17 Byte；1 Signal；固定长度=是</x:v>
      </x:c>
      <x:c r="E44" s="144" t="str">
        <x:v>访问=0x22 Read + 0x2E Write；ReadSession=0x01 Default, 0x02 Programming, 0x03 Extended(0x7)；WriteSession=0x03 Extended(0x4)</x:v>
      </x:c>
      <x:c r="F44" s="144" t="str">
        <x:v>ReadSecurity=ALL/LOCKED+UNLOCKED(0xFFFFFFFF)；WriteSecurity=L31(0x2)</x:v>
      </x:c>
      <x:c r="G44" s="144" t="str">
        <x:v>读输入=DID 0xF190；读输出=17 Byte，由ReadFunc_0xF190同步产生；写输入=DID+17 Byte；写回调=WriteFunc_0xF190；成功响应回显DID；数据口=USE_DATA_SYNCH_FNC; 类型=DCM_UINT8; fixedLength=TRUE</x:v>
      </x:c>
      <x:c r="H44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4" s="144" t="str">
        <x:v>东软自行实现DID配置、回调适配、数据Owner/更新源/NvM映射/端序说明和自动正负向用例；不得使用参考Dcm ARXML或生成代码。</x:v>
      </x:c>
      <x:c r="J44" s="144" t="str">
        <x:v>0x22/0x2E按访问能力逐项测试；精确17B、少1B、多1B、边界字节00/FF、各会话/安全级、回调E_NOT_OK/超时、复位/掉电持久化；48/48通过。</x:v>
      </x:c>
      <x:c r="K44" s="144" t="str">
        <x:v>coem/BYD_UKE/gen_bsw/Dcm/Dcm_Lcfg_DspUds.c:3398; coem/BYD_UKE/gen_bsw/Dcm/Dcm_Lcfg_DspUds.c:2074</x:v>
      </x:c>
    </x:row>
    <x:row r="45" ht="68" customHeight="1">
      <x:c r="A45" s="144" t="str">
        <x:v>DID</x:v>
      </x:c>
      <x:c r="B45" s="144" t="str">
        <x:v>0xF193</x:v>
      </x:c>
      <x:c r="C45" s="144" t="str">
        <x:v>HWVersion（CustomerDID_0xF193_HWVersion）</x:v>
      </x:c>
      <x:c r="D45" s="144" t="str">
        <x:v>5 Byte；1 Signal；固定长度=是</x:v>
      </x:c>
      <x:c r="E45" s="144" t="str">
        <x:v>访问=0x22 Read；ReadSession=0x01 Default, 0x02 Programming, 0x03 Extended, 0x60 BOSCH(0x17)；WriteSession=NONE(0x0)</x:v>
      </x:c>
      <x:c r="F45" s="144" t="str">
        <x:v>ReadSecurity=ALL/LOCKED+UNLOCKED(0xFFFFFFFF)；WriteSecurity=NONE(0x0)</x:v>
      </x:c>
      <x:c r="G45" s="144" t="str">
        <x:v>读输入=DID 0xF193；读输出=5 Byte，由ReadFunc_0xF193同步产生；0x2E不允许；数据口=USE_DATA_SYNCH_FNC; 类型=DCM_UINT8; fixedLength=TRUE</x:v>
      </x:c>
      <x:c r="H45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5" s="144" t="str">
        <x:v>东软自行实现DID配置、回调适配、数据Owner/更新源/NvM映射/端序说明和自动正负向用例；不得使用参考Dcm ARXML或生成代码。</x:v>
      </x:c>
      <x:c r="J45" s="144" t="str">
        <x:v>0x22/0x2E按访问能力逐项测试；精确5B、少1B、多1B、边界字节00/FF、各会话/安全级、回调E_NOT_OK/超时、复位/掉电持久化；48/48通过。</x:v>
      </x:c>
      <x:c r="K45" s="144" t="str">
        <x:v>coem/BYD_UKE/gen_bsw/Dcm/Dcm_Lcfg_DspUds.c:3421; coem/BYD_UKE/gen_bsw/Dcm/Dcm_Lcfg_DspUds.c:2099</x:v>
      </x:c>
    </x:row>
    <x:row r="46" ht="68" customHeight="1">
      <x:c r="A46" s="144" t="str">
        <x:v>DID</x:v>
      </x:c>
      <x:c r="B46" s="144" t="str">
        <x:v>0xF194</x:v>
      </x:c>
      <x:c r="C46" s="144" t="str">
        <x:v>ECUSoftwareCode（CustomerDID_0xF194_ECUSoftwareCode）</x:v>
      </x:c>
      <x:c r="D46" s="144" t="str">
        <x:v>9 Byte；1 Signal；固定长度=是</x:v>
      </x:c>
      <x:c r="E46" s="144" t="str">
        <x:v>访问=0x22 Read；ReadSession=0x01 Default, 0x02 Programming, 0x03 Extended, 0x60 BOSCH(0x17)；WriteSession=NONE(0x0)</x:v>
      </x:c>
      <x:c r="F46" s="144" t="str">
        <x:v>ReadSecurity=ALL/LOCKED+UNLOCKED(0xFFFFFFFF)；WriteSecurity=NONE(0x0)</x:v>
      </x:c>
      <x:c r="G46" s="144" t="str">
        <x:v>读输入=DID 0xF194；读输出=9 Byte，由ReadFunc_0xF194同步产生；0x2E不允许；数据口=USE_DATA_SYNCH_FNC; 类型=DCM_UINT8; fixedLength=TRUE</x:v>
      </x:c>
      <x:c r="H46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6" s="144" t="str">
        <x:v>东软自行实现DID配置、回调适配、数据Owner/更新源/NvM映射/端序说明和自动正负向用例；不得使用参考Dcm ARXML或生成代码。</x:v>
      </x:c>
      <x:c r="J46" s="144" t="str">
        <x:v>0x22/0x2E按访问能力逐项测试；精确9B、少1B、多1B、边界字节00/FF、各会话/安全级、回调E_NOT_OK/超时、复位/掉电持久化；48/48通过。</x:v>
      </x:c>
      <x:c r="K46" s="144" t="str">
        <x:v>coem/BYD_UKE/gen_bsw/Dcm/Dcm_Lcfg_DspUds.c:3444; coem/BYD_UKE/gen_bsw/Dcm/Dcm_Lcfg_DspUds.c:2124</x:v>
      </x:c>
    </x:row>
    <x:row r="47" ht="68" customHeight="1">
      <x:c r="A47" s="144" t="str">
        <x:v>DID</x:v>
      </x:c>
      <x:c r="B47" s="144" t="str">
        <x:v>0xF195</x:v>
      </x:c>
      <x:c r="C47" s="144" t="str">
        <x:v>SWVersion（CustomerDID_0xF195_SWVersion）</x:v>
      </x:c>
      <x:c r="D47" s="144" t="str">
        <x:v>6 Byte；1 Signal；固定长度=是</x:v>
      </x:c>
      <x:c r="E47" s="144" t="str">
        <x:v>访问=0x22 Read；ReadSession=0x01 Default, 0x02 Programming, 0x03 Extended, 0x60 BOSCH(0x17)；WriteSession=NONE(0x0)</x:v>
      </x:c>
      <x:c r="F47" s="144" t="str">
        <x:v>ReadSecurity=ALL/LOCKED+UNLOCKED(0xFFFFFFFF)；WriteSecurity=NONE(0x0)</x:v>
      </x:c>
      <x:c r="G47" s="144" t="str">
        <x:v>读输入=DID 0xF195；读输出=6 Byte，由ReadFunc_0xF195同步产生；0x2E不允许；数据口=USE_DATA_SYNCH_FNC; 类型=DCM_UINT8; fixedLength=TRUE</x:v>
      </x:c>
      <x:c r="H47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7" s="144" t="str">
        <x:v>东软自行实现DID配置、回调适配、数据Owner/更新源/NvM映射/端序说明和自动正负向用例；不得使用参考Dcm ARXML或生成代码。</x:v>
      </x:c>
      <x:c r="J47" s="144" t="str">
        <x:v>0x22/0x2E按访问能力逐项测试；精确6B、少1B、多1B、边界字节00/FF、各会话/安全级、回调E_NOT_OK/超时、复位/掉电持久化；48/48通过。</x:v>
      </x:c>
      <x:c r="K47" s="144" t="str">
        <x:v>coem/BYD_UKE/gen_bsw/Dcm/Dcm_Lcfg_DspUds.c:3467; coem/BYD_UKE/gen_bsw/Dcm/Dcm_Lcfg_DspUds.c:2149</x:v>
      </x:c>
    </x:row>
    <x:row r="48" ht="68" customHeight="1">
      <x:c r="A48" s="144" t="str">
        <x:v>DID</x:v>
      </x:c>
      <x:c r="B48" s="144" t="str">
        <x:v>0xF199</x:v>
      </x:c>
      <x:c r="C48" s="144" t="str">
        <x:v>ProgramDate（CustomerDID_0xF199_ProgramDate）</x:v>
      </x:c>
      <x:c r="D48" s="144" t="str">
        <x:v>4 Byte；1 Signal；固定长度=是</x:v>
      </x:c>
      <x:c r="E48" s="144" t="str">
        <x:v>访问=0x22 Read；ReadSession=0x01 Default, 0x02 Programming, 0x03 Extended, 0x60 BOSCH(0x17)；WriteSession=NONE(0x0)</x:v>
      </x:c>
      <x:c r="F48" s="144" t="str">
        <x:v>ReadSecurity=ALL/LOCKED+UNLOCKED(0xFFFFFFFF)；WriteSecurity=NONE(0x0)</x:v>
      </x:c>
      <x:c r="G48" s="144" t="str">
        <x:v>读输入=DID 0xF199；读输出=4 Byte，由ReadFunc_0xF199同步产生；0x2E不允许；数据口=USE_DATA_SYNCH_FNC; 类型=DCM_UINT8; fixedLength=TRUE</x:v>
      </x:c>
      <x:c r="H48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8" s="144" t="str">
        <x:v>东软自行实现DID配置、回调适配、数据Owner/更新源/NvM映射/端序说明和自动正负向用例；不得使用参考Dcm ARXML或生成代码。</x:v>
      </x:c>
      <x:c r="J48" s="144" t="str">
        <x:v>0x22/0x2E按访问能力逐项测试；精确4B、少1B、多1B、边界字节00/FF、各会话/安全级、回调E_NOT_OK/超时、复位/掉电持久化；48/48通过。</x:v>
      </x:c>
      <x:c r="K48" s="144" t="str">
        <x:v>coem/BYD_UKE/gen_bsw/Dcm/Dcm_Lcfg_DspUds.c:3490; coem/BYD_UKE/gen_bsw/Dcm/Dcm_Lcfg_DspUds.c:2174</x:v>
      </x:c>
    </x:row>
    <x:row r="49" ht="68" customHeight="1">
      <x:c r="A49" s="144" t="str">
        <x:v>DID</x:v>
      </x:c>
      <x:c r="B49" s="144" t="str">
        <x:v>0xF1A1</x:v>
      </x:c>
      <x:c r="C49" s="144" t="str">
        <x:v>VariantCodingErase（CustomerDID_0xF1A1_VariantCodingErase）</x:v>
      </x:c>
      <x:c r="D49" s="144" t="str">
        <x:v>8 Byte；1 Signal；固定长度=是</x:v>
      </x:c>
      <x:c r="E49" s="144" t="str">
        <x:v>访问=0x2E Write；ReadSession=NONE(0x0)；WriteSession=ALL(0xFFFFFFFF)</x:v>
      </x:c>
      <x:c r="F49" s="144" t="str">
        <x:v>ReadSecurity=NONE(0x0)；WriteSecurity=L31(0x2)</x:v>
      </x:c>
      <x:c r="G49" s="144" t="str">
        <x:v>0x22不允许；写输入=DID+8 Byte；写回调=WriteFunc_0xF1A1；成功响应回显DID；数据口=USE_DATA_SYNCH_FNC; 类型=DCM_UINT8; fixedLength=TRUE</x:v>
      </x:c>
      <x:c r="H49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9" s="144" t="str">
        <x:v>东软自行实现DID配置、回调适配、数据Owner/更新源/NvM映射/端序说明和自动正负向用例；不得使用参考Dcm ARXML或生成代码。</x:v>
      </x:c>
      <x:c r="J49" s="144" t="str">
        <x:v>0x22/0x2E按访问能力逐项测试；精确8B、少1B、多1B、边界字节00/FF、各会话/安全级、回调E_NOT_OK/超时、复位/掉电持久化；48/48通过。</x:v>
      </x:c>
      <x:c r="K49" s="144" t="str">
        <x:v>coem/BYD_UKE/gen_bsw/Dcm/Dcm_Lcfg_DspUds.c:3513; coem/BYD_UKE/gen_bsw/Dcm/Dcm_Lcfg_DspUds.c:2199</x:v>
      </x:c>
    </x:row>
    <x:row r="50" ht="68" customHeight="1">
      <x:c r="A50" s="144" t="str">
        <x:v>DID</x:v>
      </x:c>
      <x:c r="B50" s="144" t="str">
        <x:v>0xF1C2</x:v>
      </x:c>
      <x:c r="C50" s="144" t="str">
        <x:v>ProductionMode（CustomerDID_0xF1C2_ProductionMode）</x:v>
      </x:c>
      <x:c r="D50" s="144" t="str">
        <x:v>1 Byte；1 Signal；固定长度=是</x:v>
      </x:c>
      <x:c r="E50" s="144" t="str">
        <x:v>访问=0x22 Read + 0x2E Write；ReadSession=0x01 Default, 0x02 Programming, 0x03 Extended(0x7)；WriteSession=0x03 Extended(0x4)</x:v>
      </x:c>
      <x:c r="F50" s="144" t="str">
        <x:v>ReadSecurity=ALL/LOCKED+UNLOCKED(0xFFFFFFFF)；WriteSecurity=L31(0x2)</x:v>
      </x:c>
      <x:c r="G50" s="144" t="str">
        <x:v>读输入=DID 0xF1C2；读输出=1 Byte，由ReadFunc_0xF1C2同步产生；写输入=DID+1 Byte；写回调=WriteFunc_0xF1C2；成功响应回显DID；数据口=USE_DATA_SYNCH_FNC; 类型=DCM_UINT8; fixedLength=TRUE</x:v>
      </x:c>
      <x:c r="H50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0" s="144" t="str">
        <x:v>东软自行实现DID配置、回调适配、数据Owner/更新源/NvM映射/端序说明和自动正负向用例；不得使用参考Dcm ARXML或生成代码。</x:v>
      </x:c>
      <x:c r="J50" s="144" t="str">
        <x:v>0x22/0x2E按访问能力逐项测试；精确1B、少1B、多1B、边界字节00/FF、各会话/安全级、回调E_NOT_OK/超时、复位/掉电持久化；48/48通过。</x:v>
      </x:c>
      <x:c r="K50" s="144" t="str">
        <x:v>coem/BYD_UKE/gen_bsw/Dcm/Dcm_Lcfg_DspUds.c:3536; coem/BYD_UKE/gen_bsw/Dcm/Dcm_Lcfg_DspUds.c:2223</x:v>
      </x:c>
    </x:row>
    <x:row r="51" ht="68" customHeight="1">
      <x:c r="A51" s="144" t="str">
        <x:v>DID</x:v>
      </x:c>
      <x:c r="B51" s="144" t="str">
        <x:v>0xFA13</x:v>
      </x:c>
      <x:c r="C51" s="144" t="str">
        <x:v>EDR0（CustomerDID_0xFA13_EDR0）</x:v>
      </x:c>
      <x:c r="D51" s="144" t="str">
        <x:v>65 Byte；1 Signal；固定长度=是</x:v>
      </x:c>
      <x:c r="E51" s="144" t="str">
        <x:v>访问=0x22 Read；ReadSession=0x01 Default, 0x02 Programming, 0x03 Extended, 0x60 BOSCH(0x17)；WriteSession=NONE(0x0)</x:v>
      </x:c>
      <x:c r="F51" s="144" t="str">
        <x:v>ReadSecurity=ALL/LOCKED+UNLOCKED(0xFFFFFFFF)；WriteSecurity=NONE(0x0)</x:v>
      </x:c>
      <x:c r="G51" s="144" t="str">
        <x:v>读输入=DID 0xFA13；读输出=65 Byte，由ReadFunc_0xFA13同步产生；0x2E不允许；数据口=USE_DATA_SYNCH_FNC; 类型=DCM_UINT8; fixedLength=TRUE</x:v>
      </x:c>
      <x:c r="H51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1" s="144" t="str">
        <x:v>东软自行实现DID配置、回调适配、数据Owner/更新源/NvM映射/端序说明和自动正负向用例；不得使用参考Dcm ARXML或生成代码。</x:v>
      </x:c>
      <x:c r="J51" s="144" t="str">
        <x:v>0x22/0x2E按访问能力逐项测试；精确65B、少1B、多1B、边界字节00/FF、各会话/安全级、回调E_NOT_OK/超时、复位/掉电持久化；48/48通过。</x:v>
      </x:c>
      <x:c r="K51" s="144" t="str">
        <x:v>coem/BYD_UKE/gen_bsw/Dcm/Dcm_Lcfg_DspUds.c:3559; coem/BYD_UKE/gen_bsw/Dcm/Dcm_Lcfg_DspUds.c:2248</x:v>
      </x:c>
    </x:row>
    <x:row r="52" ht="68" customHeight="1">
      <x:c r="A52" s="144" t="str">
        <x:v>DID</x:v>
      </x:c>
      <x:c r="B52" s="144" t="str">
        <x:v>0xFA14</x:v>
      </x:c>
      <x:c r="C52" s="144" t="str">
        <x:v>EDR1（CustomerDID_0xFA14_EDR1）</x:v>
      </x:c>
      <x:c r="D52" s="144" t="str">
        <x:v>65 Byte；1 Signal；固定长度=是</x:v>
      </x:c>
      <x:c r="E52" s="144" t="str">
        <x:v>访问=0x22 Read；ReadSession=0x01 Default, 0x02 Programming, 0x03 Extended, 0x60 BOSCH(0x17)；WriteSession=NONE(0x0)</x:v>
      </x:c>
      <x:c r="F52" s="144" t="str">
        <x:v>ReadSecurity=ALL/LOCKED+UNLOCKED(0xFFFFFFFF)；WriteSecurity=NONE(0x0)</x:v>
      </x:c>
      <x:c r="G52" s="144" t="str">
        <x:v>读输入=DID 0xFA14；读输出=65 Byte，由ReadFunc_0xFA14同步产生；0x2E不允许；数据口=USE_DATA_SYNCH_FNC; 类型=DCM_UINT8; fixedLength=TRUE</x:v>
      </x:c>
      <x:c r="H52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2" s="144" t="str">
        <x:v>东软自行实现DID配置、回调适配、数据Owner/更新源/NvM映射/端序说明和自动正负向用例；不得使用参考Dcm ARXML或生成代码。</x:v>
      </x:c>
      <x:c r="J52" s="144" t="str">
        <x:v>0x22/0x2E按访问能力逐项测试；精确65B、少1B、多1B、边界字节00/FF、各会话/安全级、回调E_NOT_OK/超时、复位/掉电持久化；48/48通过。</x:v>
      </x:c>
      <x:c r="K52" s="144" t="str">
        <x:v>coem/BYD_UKE/gen_bsw/Dcm/Dcm_Lcfg_DspUds.c:3582; coem/BYD_UKE/gen_bsw/Dcm/Dcm_Lcfg_DspUds.c:2273</x:v>
      </x:c>
    </x:row>
    <x:row r="53" ht="68" customHeight="1">
      <x:c r="A53" s="144" t="str">
        <x:v>DID</x:v>
      </x:c>
      <x:c r="B53" s="144" t="str">
        <x:v>0xFD12</x:v>
      </x:c>
      <x:c r="C53" s="144" t="str">
        <x:v>VersionInfo（BoschDID_0xFD12_VersionInfo）</x:v>
      </x:c>
      <x:c r="D53" s="144" t="str">
        <x:v>100 Byte；1 Signal；固定长度=是</x:v>
      </x:c>
      <x:c r="E53" s="144" t="str">
        <x:v>访问=0x22 Read；ReadSession=0x60 BOSCH(0x10)；WriteSession=NONE(0x0)</x:v>
      </x:c>
      <x:c r="F53" s="144" t="str">
        <x:v>ReadSecurity=ALL/LOCKED+UNLOCKED(0xFFFFFFFF)；WriteSecurity=NONE(0x0)</x:v>
      </x:c>
      <x:c r="G53" s="144" t="str">
        <x:v>读输入=DID 0xFD12；读输出=100 Byte，由BoschDID_0xFD12_VersionInfo_Read同步产生；0x2E不允许；数据口=USE_DATA_SYNCH_FNC; 类型=DCM_UINT8; fixedLength=TRUE</x:v>
      </x:c>
      <x:c r="H53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3" s="144" t="str">
        <x:v>东软自行实现DID配置、回调适配、数据Owner/更新源/NvM映射/端序说明和自动正负向用例；不得使用参考Dcm ARXML或生成代码。</x:v>
      </x:c>
      <x:c r="J53" s="144" t="str">
        <x:v>0x22/0x2E按访问能力逐项测试；精确100B、少1B、多1B、边界字节00/FF、各会话/安全级、回调E_NOT_OK/超时、复位/掉电持久化；48/48通过。</x:v>
      </x:c>
      <x:c r="K53" s="144" t="str">
        <x:v>coem/BYD_UKE/gen_bsw/Dcm/Dcm_Lcfg_DspUds.c:3605; coem/BYD_UKE/gen_bsw/Dcm/Dcm_Lcfg_DspUds.c:1177</x:v>
      </x:c>
    </x:row>
    <x:row r="54" ht="68" customHeight="1">
      <x:c r="A54" s="144" t="str">
        <x:v>DID</x:v>
      </x:c>
      <x:c r="B54" s="144" t="str">
        <x:v>0xFD13</x:v>
      </x:c>
      <x:c r="C54" s="144" t="str">
        <x:v>ErrorLog（BoschDID_0xFD13_ErrorLog）</x:v>
      </x:c>
      <x:c r="D54" s="144" t="str">
        <x:v>150 Byte；1 Signal；固定长度=是</x:v>
      </x:c>
      <x:c r="E54" s="144" t="str">
        <x:v>访问=0x22 Read；ReadSession=0x60 BOSCH(0x10)；WriteSession=NONE(0x0)</x:v>
      </x:c>
      <x:c r="F54" s="144" t="str">
        <x:v>ReadSecurity=ALL/LOCKED+UNLOCKED(0xFFFFFFFF)；WriteSecurity=NONE(0x0)</x:v>
      </x:c>
      <x:c r="G54" s="144" t="str">
        <x:v>读输入=DID 0xFD13；读输出=150 Byte，由BoschDID_0xFD13_ErrorLog_Read同步产生；0x2E不允许；数据口=USE_DATA_SYNCH_FNC; 类型=DCM_UINT8; fixedLength=TRUE</x:v>
      </x:c>
      <x:c r="H54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4" s="144" t="str">
        <x:v>东软自行实现DID配置、回调适配、数据Owner/更新源/NvM映射/端序说明和自动正负向用例；不得使用参考Dcm ARXML或生成代码。</x:v>
      </x:c>
      <x:c r="J54" s="144" t="str">
        <x:v>0x22/0x2E按访问能力逐项测试；精确150B、少1B、多1B、边界字节00/FF、各会话/安全级、回调E_NOT_OK/超时、复位/掉电持久化；48/48通过。</x:v>
      </x:c>
      <x:c r="K54" s="144" t="str">
        <x:v>coem/BYD_UKE/gen_bsw/Dcm/Dcm_Lcfg_DspUds.c:3628; coem/BYD_UKE/gen_bsw/Dcm/Dcm_Lcfg_DspUds.c:1202</x:v>
      </x:c>
    </x:row>
    <x:row r="55" ht="68" customHeight="1">
      <x:c r="A55" s="144" t="str">
        <x:v>DID</x:v>
      </x:c>
      <x:c r="B55" s="144" t="str">
        <x:v>0xFD14</x:v>
      </x:c>
      <x:c r="C55" s="144" t="str">
        <x:v>FaultMask（BoschDID_0xFD14_FaultMask）</x:v>
      </x:c>
      <x:c r="D55" s="144" t="str">
        <x:v>32 Byte；1 Signal；固定长度=是</x:v>
      </x:c>
      <x:c r="E55" s="144" t="str">
        <x:v>访问=0x22 Read + 0x2E Write；ReadSession=0x60 BOSCH(0x10)；WriteSession=0x60 BOSCH(0x10)</x:v>
      </x:c>
      <x:c r="F55" s="144" t="str">
        <x:v>ReadSecurity=ALL/LOCKED+UNLOCKED(0xFFFFFFFF)；WriteSecurity=L32(0x4)</x:v>
      </x:c>
      <x:c r="G55" s="144" t="str">
        <x:v>读输入=DID 0xFD14；读输出=32 Byte，由BoschDID_0xFD14_FaultMask_Read同步产生；写输入=DID+32 Byte；写回调=BoschDID_0xFD14_FaultMask_Write；成功响应回显DID；数据口=USE_DATA_SYNCH_FNC; 类型=DCM_UINT8; fixedLength=TRUE</x:v>
      </x:c>
      <x:c r="H55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5" s="144" t="str">
        <x:v>东软自行实现DID配置、回调适配、数据Owner/更新源/NvM映射/端序说明和自动正负向用例；不得使用参考Dcm ARXML或生成代码。</x:v>
      </x:c>
      <x:c r="J55" s="144" t="str">
        <x:v>0x22/0x2E按访问能力逐项测试；精确32B、少1B、多1B、边界字节00/FF、各会话/安全级、回调E_NOT_OK/超时、复位/掉电持久化；48/48通过。</x:v>
      </x:c>
      <x:c r="K55" s="144" t="str">
        <x:v>coem/BYD_UKE/gen_bsw/Dcm/Dcm_Lcfg_DspUds.c:3651; coem/BYD_UKE/gen_bsw/Dcm/Dcm_Lcfg_DspUds.c:1227</x:v>
      </x:c>
    </x:row>
    <x:row r="56" ht="68" customHeight="1">
      <x:c r="A56" s="144" t="str">
        <x:v>DID</x:v>
      </x:c>
      <x:c r="B56" s="144" t="str">
        <x:v>0xFD15</x:v>
      </x:c>
      <x:c r="C56" s="144" t="str">
        <x:v>LifeCycleSwitch（BoschDID_0xFD15_LifeCycleSwitch）</x:v>
      </x:c>
      <x:c r="D56" s="144" t="str">
        <x:v>2 Byte；1 Signal；固定长度=是</x:v>
      </x:c>
      <x:c r="E56" s="144" t="str">
        <x:v>访问=0x22 Read + 0x2E Write；ReadSession=0x60 BOSCH(0x10)；WriteSession=0x60 BOSCH(0x10)</x:v>
      </x:c>
      <x:c r="F56" s="144" t="str">
        <x:v>ReadSecurity=ALL/LOCKED+UNLOCKED(0xFFFFFFFF)；WriteSecurity=L32(0x4)</x:v>
      </x:c>
      <x:c r="G56" s="144" t="str">
        <x:v>读输入=DID 0xFD15；读输出=2 Byte，由BoschDID_0xFD15_LifeCycleSwitch_Read同步产生；写输入=DID+2 Byte；写回调=BoschDID_0xFD15_LifeCycleSwitch_Write；成功响应回显DID；数据口=USE_DATA_SYNCH_FNC; 类型=DCM_UINT8; fixedLength=TRUE</x:v>
      </x:c>
      <x:c r="H56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6" s="144" t="str">
        <x:v>东软自行实现DID配置、回调适配、数据Owner/更新源/NvM映射/端序说明和自动正负向用例；不得使用参考Dcm ARXML或生成代码。</x:v>
      </x:c>
      <x:c r="J56" s="144" t="str">
        <x:v>0x22/0x2E按访问能力逐项测试；精确2B、少1B、多1B、边界字节00/FF、各会话/安全级、回调E_NOT_OK/超时、复位/掉电持久化；48/48通过。</x:v>
      </x:c>
      <x:c r="K56" s="144" t="str">
        <x:v>coem/BYD_UKE/gen_bsw/Dcm/Dcm_Lcfg_DspUds.c:3674; coem/BYD_UKE/gen_bsw/Dcm/Dcm_Lcfg_DspUds.c:1252</x:v>
      </x:c>
    </x:row>
    <x:row r="57" ht="68" customHeight="1">
      <x:c r="A57" s="144" t="str">
        <x:v>DID</x:v>
      </x:c>
      <x:c r="B57" s="144" t="str">
        <x:v>0xFD16</x:v>
      </x:c>
      <x:c r="C57" s="144" t="str">
        <x:v>SecurityKey（BoschDID_0xFD16_SecurityKey）</x:v>
      </x:c>
      <x:c r="D57" s="144" t="str">
        <x:v>1536 Byte；1 Signal；固定长度=是</x:v>
      </x:c>
      <x:c r="E57" s="144" t="str">
        <x:v>访问=0x2E Write；ReadSession=NONE(0x0)；WriteSession=0x60 BOSCH(0x10)</x:v>
      </x:c>
      <x:c r="F57" s="144" t="str">
        <x:v>ReadSecurity=NONE(0x0)；WriteSecurity=L32(0x4)</x:v>
      </x:c>
      <x:c r="G57" s="144" t="str">
        <x:v>0x22不允许；写输入=DID+1536 Byte；写回调=BoschDID_0xFD16_SecurityKey_Write；成功响应回显DID；数据口=USE_DATA_SYNCH_FNC; 类型=DCM_UINT8; fixedLength=TRUE</x:v>
      </x:c>
      <x:c r="H57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7" s="144" t="str">
        <x:v>东软自行实现DID配置、回调适配、数据Owner/更新源/NvM映射/端序说明和自动正负向用例；不得使用参考Dcm ARXML或生成代码。</x:v>
      </x:c>
      <x:c r="J57" s="144" t="str">
        <x:v>0x22/0x2E按访问能力逐项测试；精确1536B、少1B、多1B、边界字节00/FF、各会话/安全级、回调E_NOT_OK/超时、复位/掉电持久化；48/48通过。</x:v>
      </x:c>
      <x:c r="K57" s="144" t="str">
        <x:v>coem/BYD_UKE/gen_bsw/Dcm/Dcm_Lcfg_DspUds.c:3697; coem/BYD_UKE/gen_bsw/Dcm/Dcm_Lcfg_DspUds.c:1277</x:v>
      </x:c>
    </x:row>
    <x:row r="58" ht="68" customHeight="1">
      <x:c r="A58" s="144" t="str">
        <x:v>DID</x:v>
      </x:c>
      <x:c r="B58" s="144" t="str">
        <x:v>0xFD17</x:v>
      </x:c>
      <x:c r="C58" s="144" t="str">
        <x:v>RadarPosition_ETHOnly（BoschDID_0xFD17_RadarPosition_ETHOnly）</x:v>
      </x:c>
      <x:c r="D58" s="144" t="str">
        <x:v>1 Byte；1 Signal；固定长度=是</x:v>
      </x:c>
      <x:c r="E58" s="144" t="str">
        <x:v>访问=0x22 Read + 0x2E Write；ReadSession=0x60 BOSCH(0x10)；WriteSession=0x60 BOSCH(0x10)</x:v>
      </x:c>
      <x:c r="F58" s="144" t="str">
        <x:v>ReadSecurity=ALL/LOCKED+UNLOCKED(0xFFFFFFFF)；WriteSecurity=L32(0x4)</x:v>
      </x:c>
      <x:c r="G58" s="144" t="str">
        <x:v>读输入=DID 0xFD17；读输出=1 Byte，由BoschDID_0xFD17_RadarPosition_Read同步产生；写输入=DID+1 Byte；写回调=BoschDID_0xFD17_RadarPosition_Write；成功响应回显DID；数据口=USE_DATA_SYNCH_FNC; 类型=DCM_UINT8; fixedLength=TRUE</x:v>
      </x:c>
      <x:c r="H58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8" s="144" t="str">
        <x:v>东软自行实现DID配置、回调适配、数据Owner/更新源/NvM映射/端序说明和自动正负向用例；不得使用参考Dcm ARXML或生成代码。</x:v>
      </x:c>
      <x:c r="J58" s="144" t="str">
        <x:v>0x22/0x2E按访问能力逐项测试；精确1B、少1B、多1B、边界字节00/FF、各会话/安全级、回调E_NOT_OK/超时、复位/掉电持久化；48/48通过。</x:v>
      </x:c>
      <x:c r="K58" s="144" t="str">
        <x:v>coem/BYD_UKE/gen_bsw/Dcm/Dcm_Lcfg_DspUds.c:3720; coem/BYD_UKE/gen_bsw/Dcm/Dcm_Lcfg_DspUds.c:1301</x:v>
      </x:c>
    </x:row>
    <x:row r="59" ht="68" customHeight="1">
      <x:c r="A59" s="144" t="str">
        <x:v>DID</x:v>
      </x:c>
      <x:c r="B59" s="144" t="str">
        <x:v>0xFD18</x:v>
      </x:c>
      <x:c r="C59" s="144" t="str">
        <x:v>SecurityKey（BoschDID_0xFD18_SecurityKey）</x:v>
      </x:c>
      <x:c r="D59" s="144" t="str">
        <x:v>36 Byte；1 Signal；固定长度=是</x:v>
      </x:c>
      <x:c r="E59" s="144" t="str">
        <x:v>访问=0x2E Write；ReadSession=NONE(0x0)；WriteSession=0x60 BOSCH(0x10)</x:v>
      </x:c>
      <x:c r="F59" s="144" t="str">
        <x:v>ReadSecurity=NONE(0x0)；WriteSecurity=L32(0x4)</x:v>
      </x:c>
      <x:c r="G59" s="144" t="str">
        <x:v>0x22不允许；写输入=DID+36 Byte；写回调=BoschDID_0xFD18_SecurityKey_Write；成功响应回显DID；数据口=USE_DATA_SYNCH_FNC; 类型=DCM_UINT8; fixedLength=TRUE</x:v>
      </x:c>
      <x:c r="H59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9" s="144" t="str">
        <x:v>东软自行实现DID配置、回调适配、数据Owner/更新源/NvM映射/端序说明和自动正负向用例；不得使用参考Dcm ARXML或生成代码。</x:v>
      </x:c>
      <x:c r="J59" s="144" t="str">
        <x:v>0x22/0x2E按访问能力逐项测试；精确36B、少1B、多1B、边界字节00/FF、各会话/安全级、回调E_NOT_OK/超时、复位/掉电持久化；48/48通过。</x:v>
      </x:c>
      <x:c r="K59" s="144" t="str">
        <x:v>coem/BYD_UKE/gen_bsw/Dcm/Dcm_Lcfg_DspUds.c:3743; coem/BYD_UKE/gen_bsw/Dcm/Dcm_Lcfg_DspUds.c:1326</x:v>
      </x:c>
    </x:row>
    <x:row r="60" ht="68" customHeight="1">
      <x:c r="A60" s="144" t="str">
        <x:v>DID</x:v>
      </x:c>
      <x:c r="B60" s="144" t="str">
        <x:v>0xFD19</x:v>
      </x:c>
      <x:c r="C60" s="144" t="str">
        <x:v>SecurityKey（BoschDID_0xFD19_SecurityKey）</x:v>
      </x:c>
      <x:c r="D60" s="144" t="str">
        <x:v>544 Byte；1 Signal；固定长度=是</x:v>
      </x:c>
      <x:c r="E60" s="144" t="str">
        <x:v>访问=0x2E Write；ReadSession=NONE(0x0)；WriteSession=0x60 BOSCH(0x10)</x:v>
      </x:c>
      <x:c r="F60" s="144" t="str">
        <x:v>ReadSecurity=NONE(0x0)；WriteSecurity=L32(0x4)</x:v>
      </x:c>
      <x:c r="G60" s="144" t="str">
        <x:v>0x22不允许；写输入=DID+544 Byte；写回调=BoschDID_0xFD19_SecurityKey_Write；成功响应回显DID；数据口=USE_DATA_SYNCH_FNC; 类型=DCM_UINT8; fixedLength=TRUE</x:v>
      </x:c>
      <x:c r="H60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0" s="144" t="str">
        <x:v>东软自行实现DID配置、回调适配、数据Owner/更新源/NvM映射/端序说明和自动正负向用例；不得使用参考Dcm ARXML或生成代码。</x:v>
      </x:c>
      <x:c r="J60" s="144" t="str">
        <x:v>0x22/0x2E按访问能力逐项测试；精确544B、少1B、多1B、边界字节00/FF、各会话/安全级、回调E_NOT_OK/超时、复位/掉电持久化；48/48通过。</x:v>
      </x:c>
      <x:c r="K60" s="144" t="str">
        <x:v>coem/BYD_UKE/gen_bsw/Dcm/Dcm_Lcfg_DspUds.c:3766; coem/BYD_UKE/gen_bsw/Dcm/Dcm_Lcfg_DspUds.c:1350</x:v>
      </x:c>
    </x:row>
    <x:row r="61" ht="68" customHeight="1">
      <x:c r="A61" s="144" t="str">
        <x:v>DID</x:v>
      </x:c>
      <x:c r="B61" s="144" t="str">
        <x:v>0xFD20</x:v>
      </x:c>
      <x:c r="C61" s="144" t="str">
        <x:v>BoschDID_0xFD20（BoschDID_0xFD20）</x:v>
      </x:c>
      <x:c r="D61" s="144" t="str">
        <x:v>64 Byte；1 Signal；固定长度=是</x:v>
      </x:c>
      <x:c r="E61" s="144" t="str">
        <x:v>访问=0x22 Read；ReadSession=0x60 BOSCH(0x10)；WriteSession=NONE(0x0)</x:v>
      </x:c>
      <x:c r="F61" s="144" t="str">
        <x:v>ReadSecurity=ALL/LOCKED+UNLOCKED(0xFFFFFFFF)；WriteSecurity=NONE(0x0)</x:v>
      </x:c>
      <x:c r="G61" s="144" t="str">
        <x:v>读输入=DID 0xFD20；读输出=64 Byte，由BoschDID_0xFD20_Read同步产生；0x2E不允许；数据口=USE_DATA_SYNCH_FNC; 类型=DCM_UINT8; fixedLength=TRUE</x:v>
      </x:c>
      <x:c r="H61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1" s="144" t="str">
        <x:v>东软自行实现DID配置、回调适配、数据Owner/更新源/NvM映射/端序说明和自动正负向用例；不得使用参考Dcm ARXML或生成代码。</x:v>
      </x:c>
      <x:c r="J61" s="144" t="str">
        <x:v>0x22/0x2E按访问能力逐项测试；精确64B、少1B、多1B、边界字节00/FF、各会话/安全级、回调E_NOT_OK/超时、复位/掉电持久化；48/48通过。</x:v>
      </x:c>
      <x:c r="K61" s="144" t="str">
        <x:v>coem/BYD_UKE/gen_bsw/Dcm/Dcm_Lcfg_DspUds.c:3789; coem/BYD_UKE/gen_bsw/Dcm/Dcm_Lcfg_DspUds.c:1374</x:v>
      </x:c>
    </x:row>
    <x:row r="62" ht="68" customHeight="1">
      <x:c r="A62" s="144" t="str">
        <x:v>DID</x:v>
      </x:c>
      <x:c r="B62" s="144" t="str">
        <x:v>0xFD21</x:v>
      </x:c>
      <x:c r="C62" s="144" t="str">
        <x:v>BoschDID_0xFD21（BoschDID_0xFD21）</x:v>
      </x:c>
      <x:c r="D62" s="144" t="str">
        <x:v>41 Byte；1 Signal；固定长度=是</x:v>
      </x:c>
      <x:c r="E62" s="144" t="str">
        <x:v>访问=0x22 Read；ReadSession=0x60 BOSCH(0x10)；WriteSession=NONE(0x0)</x:v>
      </x:c>
      <x:c r="F62" s="144" t="str">
        <x:v>ReadSecurity=ALL/LOCKED+UNLOCKED(0xFFFFFFFF)；WriteSecurity=NONE(0x0)</x:v>
      </x:c>
      <x:c r="G62" s="144" t="str">
        <x:v>读输入=DID 0xFD21；读输出=41 Byte，由BoschDID_0xFD21_Read同步产生；0x2E不允许；数据口=USE_DATA_SYNCH_FNC; 类型=DCM_UINT8; fixedLength=TRUE</x:v>
      </x:c>
      <x:c r="H62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2" s="144" t="str">
        <x:v>东软自行实现DID配置、回调适配、数据Owner/更新源/NvM映射/端序说明和自动正负向用例；不得使用参考Dcm ARXML或生成代码。</x:v>
      </x:c>
      <x:c r="J62" s="144" t="str">
        <x:v>0x22/0x2E按访问能力逐项测试；精确41B、少1B、多1B、边界字节00/FF、各会话/安全级、回调E_NOT_OK/超时、复位/掉电持久化；48/48通过。</x:v>
      </x:c>
      <x:c r="K62" s="144" t="str">
        <x:v>coem/BYD_UKE/gen_bsw/Dcm/Dcm_Lcfg_DspUds.c:3812; coem/BYD_UKE/gen_bsw/Dcm/Dcm_Lcfg_DspUds.c:1399</x:v>
      </x:c>
    </x:row>
    <x:row r="63" ht="68" customHeight="1">
      <x:c r="A63" s="144" t="str">
        <x:v>DID</x:v>
      </x:c>
      <x:c r="B63" s="144" t="str">
        <x:v>0xFD22</x:v>
      </x:c>
      <x:c r="C63" s="144" t="str">
        <x:v>BoschDID_0xFD22（BoschDID_0xFD22）</x:v>
      </x:c>
      <x:c r="D63" s="144" t="str">
        <x:v>16 Byte；1 Signal；固定长度=是</x:v>
      </x:c>
      <x:c r="E63" s="144" t="str">
        <x:v>访问=0x22 Read；ReadSession=0x60 BOSCH(0x10)；WriteSession=NONE(0x0)</x:v>
      </x:c>
      <x:c r="F63" s="144" t="str">
        <x:v>ReadSecurity=ALL/LOCKED+UNLOCKED(0xFFFFFFFF)；WriteSecurity=NONE(0x0)</x:v>
      </x:c>
      <x:c r="G63" s="144" t="str">
        <x:v>读输入=DID 0xFD22；读输出=16 Byte，由BoschDID_0xFD22_Read同步产生；0x2E不允许；数据口=USE_DATA_SYNCH_FNC; 类型=DCM_UINT8; fixedLength=TRUE</x:v>
      </x:c>
      <x:c r="H63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3" s="144" t="str">
        <x:v>东软自行实现DID配置、回调适配、数据Owner/更新源/NvM映射/端序说明和自动正负向用例；不得使用参考Dcm ARXML或生成代码。</x:v>
      </x:c>
      <x:c r="J63" s="144" t="str">
        <x:v>0x22/0x2E按访问能力逐项测试；精确16B、少1B、多1B、边界字节00/FF、各会话/安全级、回调E_NOT_OK/超时、复位/掉电持久化；48/48通过。</x:v>
      </x:c>
      <x:c r="K63" s="144" t="str">
        <x:v>coem/BYD_UKE/gen_bsw/Dcm/Dcm_Lcfg_DspUds.c:3835; coem/BYD_UKE/gen_bsw/Dcm/Dcm_Lcfg_DspUds.c:1424</x:v>
      </x:c>
    </x:row>
    <x:row r="64" ht="68" customHeight="1">
      <x:c r="A64" s="144" t="str">
        <x:v>DID</x:v>
      </x:c>
      <x:c r="B64" s="144" t="str">
        <x:v>0xFD23</x:v>
      </x:c>
      <x:c r="C64" s="144" t="str">
        <x:v>BoschDID_0xFD23（BoschDID_0xFD23）</x:v>
      </x:c>
      <x:c r="D64" s="144" t="str">
        <x:v>66 Byte；1 Signal；固定长度=是</x:v>
      </x:c>
      <x:c r="E64" s="144" t="str">
        <x:v>访问=0x22 Read；ReadSession=0x60 BOSCH(0x10)；WriteSession=NONE(0x0)</x:v>
      </x:c>
      <x:c r="F64" s="144" t="str">
        <x:v>ReadSecurity=ALL/LOCKED+UNLOCKED(0xFFFFFFFF)；WriteSecurity=NONE(0x0)</x:v>
      </x:c>
      <x:c r="G64" s="144" t="str">
        <x:v>读输入=DID 0xFD23；读输出=66 Byte，由BoschDID_0xFD23_Read同步产生；0x2E不允许；数据口=USE_DATA_SYNCH_FNC; 类型=DCM_UINT8; fixedLength=TRUE</x:v>
      </x:c>
      <x:c r="H64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4" s="144" t="str">
        <x:v>东软自行实现DID配置、回调适配、数据Owner/更新源/NvM映射/端序说明和自动正负向用例；不得使用参考Dcm ARXML或生成代码。</x:v>
      </x:c>
      <x:c r="J64" s="144" t="str">
        <x:v>0x22/0x2E按访问能力逐项测试；精确66B、少1B、多1B、边界字节00/FF、各会话/安全级、回调E_NOT_OK/超时、复位/掉电持久化；48/48通过。</x:v>
      </x:c>
      <x:c r="K64" s="144" t="str">
        <x:v>coem/BYD_UKE/gen_bsw/Dcm/Dcm_Lcfg_DspUds.c:3858; coem/BYD_UKE/gen_bsw/Dcm/Dcm_Lcfg_DspUds.c:1449</x:v>
      </x:c>
    </x:row>
    <x:row r="65" ht="68" customHeight="1">
      <x:c r="A65" s="144" t="str">
        <x:v>DID</x:v>
      </x:c>
      <x:c r="B65" s="144" t="str">
        <x:v>0xFD24</x:v>
      </x:c>
      <x:c r="C65" s="144" t="str">
        <x:v>BoschDID_0xFD24（BoschDID_0xFD24）</x:v>
      </x:c>
      <x:c r="D65" s="144" t="str">
        <x:v>66 Byte；1 Signal；固定长度=是</x:v>
      </x:c>
      <x:c r="E65" s="144" t="str">
        <x:v>访问=0x22 Read；ReadSession=0x60 BOSCH(0x10)；WriteSession=NONE(0x0)</x:v>
      </x:c>
      <x:c r="F65" s="144" t="str">
        <x:v>ReadSecurity=ALL/LOCKED+UNLOCKED(0xFFFFFFFF)；WriteSecurity=NONE(0x0)</x:v>
      </x:c>
      <x:c r="G65" s="144" t="str">
        <x:v>读输入=DID 0xFD24；读输出=66 Byte，由BoschDID_0xFD24_Read同步产生；0x2E不允许；数据口=USE_DATA_SYNCH_FNC; 类型=DCM_UINT8; fixedLength=TRUE</x:v>
      </x:c>
      <x:c r="H65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5" s="144" t="str">
        <x:v>东软自行实现DID配置、回调适配、数据Owner/更新源/NvM映射/端序说明和自动正负向用例；不得使用参考Dcm ARXML或生成代码。</x:v>
      </x:c>
      <x:c r="J65" s="144" t="str">
        <x:v>0x22/0x2E按访问能力逐项测试；精确66B、少1B、多1B、边界字节00/FF、各会话/安全级、回调E_NOT_OK/超时、复位/掉电持久化；48/48通过。</x:v>
      </x:c>
      <x:c r="K65" s="144" t="str">
        <x:v>coem/BYD_UKE/gen_bsw/Dcm/Dcm_Lcfg_DspUds.c:3881; coem/BYD_UKE/gen_bsw/Dcm/Dcm_Lcfg_DspUds.c:1474</x:v>
      </x:c>
    </x:row>
    <x:row r="66" ht="68" customHeight="1">
      <x:c r="A66" s="144" t="str">
        <x:v>DID</x:v>
      </x:c>
      <x:c r="B66" s="144" t="str">
        <x:v>0xFD25</x:v>
      </x:c>
      <x:c r="C66" s="144" t="str">
        <x:v>BoschDID_0xFD25（BoschDID_0xFD25）</x:v>
      </x:c>
      <x:c r="D66" s="144" t="str">
        <x:v>66 Byte；1 Signal；固定长度=是</x:v>
      </x:c>
      <x:c r="E66" s="144" t="str">
        <x:v>访问=0x22 Read；ReadSession=0x60 BOSCH(0x10)；WriteSession=NONE(0x0)</x:v>
      </x:c>
      <x:c r="F66" s="144" t="str">
        <x:v>ReadSecurity=ALL/LOCKED+UNLOCKED(0xFFFFFFFF)；WriteSecurity=NONE(0x0)</x:v>
      </x:c>
      <x:c r="G66" s="144" t="str">
        <x:v>读输入=DID 0xFD25；读输出=66 Byte，由BoschDID_0xFD25_Read同步产生；0x2E不允许；数据口=USE_DATA_SYNCH_FNC; 类型=DCM_UINT8; fixedLength=TRUE</x:v>
      </x:c>
      <x:c r="H66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6" s="144" t="str">
        <x:v>东软自行实现DID配置、回调适配、数据Owner/更新源/NvM映射/端序说明和自动正负向用例；不得使用参考Dcm ARXML或生成代码。</x:v>
      </x:c>
      <x:c r="J66" s="144" t="str">
        <x:v>0x22/0x2E按访问能力逐项测试；精确66B、少1B、多1B、边界字节00/FF、各会话/安全级、回调E_NOT_OK/超时、复位/掉电持久化；48/48通过。</x:v>
      </x:c>
      <x:c r="K66" s="144" t="str">
        <x:v>coem/BYD_UKE/gen_bsw/Dcm/Dcm_Lcfg_DspUds.c:3904; coem/BYD_UKE/gen_bsw/Dcm/Dcm_Lcfg_DspUds.c:1499</x:v>
      </x:c>
    </x:row>
    <x:row r="67" ht="68" customHeight="1">
      <x:c r="A67" s="144" t="str">
        <x:v>DID</x:v>
      </x:c>
      <x:c r="B67" s="144" t="str">
        <x:v>0xFD26</x:v>
      </x:c>
      <x:c r="C67" s="144" t="str">
        <x:v>BoschDID_0xFD26（BoschDID_0xFD26）</x:v>
      </x:c>
      <x:c r="D67" s="144" t="str">
        <x:v>66 Byte；1 Signal；固定长度=是</x:v>
      </x:c>
      <x:c r="E67" s="144" t="str">
        <x:v>访问=0x22 Read；ReadSession=0x60 BOSCH(0x10)；WriteSession=NONE(0x0)</x:v>
      </x:c>
      <x:c r="F67" s="144" t="str">
        <x:v>ReadSecurity=ALL/LOCKED+UNLOCKED(0xFFFFFFFF)；WriteSecurity=NONE(0x0)</x:v>
      </x:c>
      <x:c r="G67" s="144" t="str">
        <x:v>读输入=DID 0xFD26；读输出=66 Byte，由BoschDID_0xFD26_Read同步产生；0x2E不允许；数据口=USE_DATA_SYNCH_FNC; 类型=DCM_UINT8; fixedLength=TRUE</x:v>
      </x:c>
      <x:c r="H67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7" s="144" t="str">
        <x:v>东软自行实现DID配置、回调适配、数据Owner/更新源/NvM映射/端序说明和自动正负向用例；不得使用参考Dcm ARXML或生成代码。</x:v>
      </x:c>
      <x:c r="J67" s="144" t="str">
        <x:v>0x22/0x2E按访问能力逐项测试；精确66B、少1B、多1B、边界字节00/FF、各会话/安全级、回调E_NOT_OK/超时、复位/掉电持久化；48/48通过。</x:v>
      </x:c>
      <x:c r="K67" s="144" t="str">
        <x:v>coem/BYD_UKE/gen_bsw/Dcm/Dcm_Lcfg_DspUds.c:3927; coem/BYD_UKE/gen_bsw/Dcm/Dcm_Lcfg_DspUds.c:1524</x:v>
      </x:c>
    </x:row>
    <x:row r="68" ht="68" customHeight="1">
      <x:c r="A68" s="144" t="str">
        <x:v>DID</x:v>
      </x:c>
      <x:c r="B68" s="144" t="str">
        <x:v>0xFD27</x:v>
      </x:c>
      <x:c r="C68" s="144" t="str">
        <x:v>BoschDID_0xFD27（BoschDID_0xFD27）</x:v>
      </x:c>
      <x:c r="D68" s="144" t="str">
        <x:v>66 Byte；1 Signal；固定长度=是</x:v>
      </x:c>
      <x:c r="E68" s="144" t="str">
        <x:v>访问=0x22 Read；ReadSession=0x60 BOSCH(0x10)；WriteSession=NONE(0x0)</x:v>
      </x:c>
      <x:c r="F68" s="144" t="str">
        <x:v>ReadSecurity=ALL/LOCKED+UNLOCKED(0xFFFFFFFF)；WriteSecurity=NONE(0x0)</x:v>
      </x:c>
      <x:c r="G68" s="144" t="str">
        <x:v>读输入=DID 0xFD27；读输出=66 Byte，由BoschDID_0xFD27_Read同步产生；0x2E不允许；数据口=USE_DATA_SYNCH_FNC; 类型=DCM_UINT8; fixedLength=TRUE</x:v>
      </x:c>
      <x:c r="H68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8" s="144" t="str">
        <x:v>东软自行实现DID配置、回调适配、数据Owner/更新源/NvM映射/端序说明和自动正负向用例；不得使用参考Dcm ARXML或生成代码。</x:v>
      </x:c>
      <x:c r="J68" s="144" t="str">
        <x:v>0x22/0x2E按访问能力逐项测试；精确66B、少1B、多1B、边界字节00/FF、各会话/安全级、回调E_NOT_OK/超时、复位/掉电持久化；48/48通过。</x:v>
      </x:c>
      <x:c r="K68" s="144" t="str">
        <x:v>coem/BYD_UKE/gen_bsw/Dcm/Dcm_Lcfg_DspUds.c:3950; coem/BYD_UKE/gen_bsw/Dcm/Dcm_Lcfg_DspUds.c:1549</x:v>
      </x:c>
    </x:row>
    <x:row r="69" ht="68" customHeight="1">
      <x:c r="A69" s="144" t="str">
        <x:v>DID</x:v>
      </x:c>
      <x:c r="B69" s="144" t="str">
        <x:v>0xFD28</x:v>
      </x:c>
      <x:c r="C69" s="144" t="str">
        <x:v>BoschDID_0xFD28（BoschDID_0xFD28）</x:v>
      </x:c>
      <x:c r="D69" s="144" t="str">
        <x:v>66 Byte；1 Signal；固定长度=是</x:v>
      </x:c>
      <x:c r="E69" s="144" t="str">
        <x:v>访问=0x22 Read；ReadSession=0x60 BOSCH(0x10)；WriteSession=NONE(0x0)</x:v>
      </x:c>
      <x:c r="F69" s="144" t="str">
        <x:v>ReadSecurity=ALL/LOCKED+UNLOCKED(0xFFFFFFFF)；WriteSecurity=NONE(0x0)</x:v>
      </x:c>
      <x:c r="G69" s="144" t="str">
        <x:v>读输入=DID 0xFD28；读输出=66 Byte，由BoschDID_0xFD28_Read同步产生；0x2E不允许；数据口=USE_DATA_SYNCH_FNC; 类型=DCM_UINT8; fixedLength=TRUE</x:v>
      </x:c>
      <x:c r="H69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9" s="144" t="str">
        <x:v>东软自行实现DID配置、回调适配、数据Owner/更新源/NvM映射/端序说明和自动正负向用例；不得使用参考Dcm ARXML或生成代码。</x:v>
      </x:c>
      <x:c r="J69" s="144" t="str">
        <x:v>0x22/0x2E按访问能力逐项测试；精确66B、少1B、多1B、边界字节00/FF、各会话/安全级、回调E_NOT_OK/超时、复位/掉电持久化；48/48通过。</x:v>
      </x:c>
      <x:c r="K69" s="144" t="str">
        <x:v>coem/BYD_UKE/gen_bsw/Dcm/Dcm_Lcfg_DspUds.c:3973; coem/BYD_UKE/gen_bsw/Dcm/Dcm_Lcfg_DspUds.c:1574</x:v>
      </x:c>
    </x:row>
    <x:row r="70" ht="68" customHeight="1">
      <x:c r="A70" s="144" t="str">
        <x:v>DID</x:v>
      </x:c>
      <x:c r="B70" s="144" t="str">
        <x:v>0xFD30</x:v>
      </x:c>
      <x:c r="C70" s="144" t="str">
        <x:v>InjectFault（BoschDID_0xFD30_InjectFault）</x:v>
      </x:c>
      <x:c r="D70" s="144" t="str">
        <x:v>4 Byte；1 Signal；固定长度=是</x:v>
      </x:c>
      <x:c r="E70" s="144" t="str">
        <x:v>访问=0x22 Read + 0x2E Write；ReadSession=0x60 BOSCH(0x10)；WriteSession=0x60 BOSCH(0x10)</x:v>
      </x:c>
      <x:c r="F70" s="144" t="str">
        <x:v>ReadSecurity=ALL/LOCKED+UNLOCKED(0xFFFFFFFF)；WriteSecurity=L32(0x4)</x:v>
      </x:c>
      <x:c r="G70" s="144" t="str">
        <x:v>读输入=DID 0xFD30；读输出=4 Byte，由BoschDID_0xFD30_InjectFault_Read同步产生；写输入=DID+4 Byte；写回调=BoschDID_0xFD30_InjectFault_Write；成功响应回显DID；数据口=USE_DATA_SYNCH_FNC; 类型=DCM_UINT8; fixedLength=TRUE</x:v>
      </x:c>
      <x:c r="H70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0" s="144" t="str">
        <x:v>东软自行实现DID配置、回调适配、数据Owner/更新源/NvM映射/端序说明和自动正负向用例；不得使用参考Dcm ARXML或生成代码。</x:v>
      </x:c>
      <x:c r="J70" s="144" t="str">
        <x:v>0x22/0x2E按访问能力逐项测试；精确4B、少1B、多1B、边界字节00/FF、各会话/安全级、回调E_NOT_OK/超时、复位/掉电持久化；48/48通过。</x:v>
      </x:c>
      <x:c r="K70" s="144" t="str">
        <x:v>coem/BYD_UKE/gen_bsw/Dcm/Dcm_Lcfg_DspUds.c:3996; coem/BYD_UKE/gen_bsw/Dcm/Dcm_Lcfg_DspUds.c:1599</x:v>
      </x:c>
    </x:row>
    <x:row r="71" ht="68" customHeight="1">
      <x:c r="A71" s="144" t="str">
        <x:v>DID</x:v>
      </x:c>
      <x:c r="B71" s="144" t="str">
        <x:v>0xFD31</x:v>
      </x:c>
      <x:c r="C71" s="144" t="str">
        <x:v>VKI（BoschDID_0xFD31_VKI）</x:v>
      </x:c>
      <x:c r="D71" s="144" t="str">
        <x:v>90 Byte；1 Signal；固定长度=是</x:v>
      </x:c>
      <x:c r="E71" s="144" t="str">
        <x:v>访问=配置无可用读写接口；ReadSession=0x60 BOSCH(0x10)；WriteSession=NONE(0x0)</x:v>
      </x:c>
      <x:c r="F71" s="144" t="str">
        <x:v>ReadSecurity=ALL/LOCKED+UNLOCKED(0xFFFFFFFF)；WriteSecurity=NONE(0x0)</x:v>
      </x:c>
      <x:c r="G71" s="144" t="str">
        <x:v>0x22不允许；0x2E不允许；数据口=USE_DATA_SYNCH_FNC; 类型=DCM_UINT8; fixedLength=TRUE</x:v>
      </x:c>
      <x:c r="H71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1" s="144" t="str">
        <x:v>东软自行实现DID配置、回调适配、数据Owner/更新源/NvM映射/端序说明和自动正负向用例；不得使用参考Dcm ARXML或生成代码。</x:v>
      </x:c>
      <x:c r="J71" s="144" t="str">
        <x:v>0x22/0x2E按访问能力逐项测试；精确90B、少1B、多1B、边界字节00/FF、各会话/安全级、回调E_NOT_OK/超时、复位/掉电持久化；48/48通过。</x:v>
      </x:c>
      <x:c r="K71" s="144" t="str">
        <x:v>coem/BYD_UKE/gen_bsw/Dcm/Dcm_Lcfg_DspUds.c:4019; coem/BYD_UKE/gen_bsw/Dcm/Dcm_Lcfg_DspUds.c</x:v>
      </x:c>
    </x:row>
    <x:row r="72" ht="68" customHeight="1">
      <x:c r="A72" s="144" t="str">
        <x:v>DID</x:v>
      </x:c>
      <x:c r="B72" s="144" t="str">
        <x:v>0xFDAA</x:v>
      </x:c>
      <x:c r="C72" s="144" t="str">
        <x:v>BoschDID_0xFDAA（BoschDID_0xFDAA）</x:v>
      </x:c>
      <x:c r="D72" s="144" t="str">
        <x:v>640 Byte；1 Signal；固定长度=是</x:v>
      </x:c>
      <x:c r="E72" s="144" t="str">
        <x:v>访问=0x22 Read；ReadSession=0x60 BOSCH(0x10)；WriteSession=NONE(0x0)</x:v>
      </x:c>
      <x:c r="F72" s="144" t="str">
        <x:v>ReadSecurity=ALL/LOCKED+UNLOCKED(0xFFFFFFFF)；WriteSecurity=NONE(0x0)</x:v>
      </x:c>
      <x:c r="G72" s="144" t="str">
        <x:v>读输入=DID 0xFDAA；读输出=640 Byte，由ReadFunc_BFM_Record同步产生；0x2E不允许；数据口=USE_DATA_SYNCH_FNC; 类型=DCM_UINT8; fixedLength=TRUE</x:v>
      </x:c>
      <x:c r="H72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2" s="144" t="str">
        <x:v>东软自行实现DID配置、回调适配、数据Owner/更新源/NvM映射/端序说明和自动正负向用例；不得使用参考Dcm ARXML或生成代码。</x:v>
      </x:c>
      <x:c r="J72" s="144" t="str">
        <x:v>0x22/0x2E按访问能力逐项测试；精确640B、少1B、多1B、边界字节00/FF、各会话/安全级、回调E_NOT_OK/超时、复位/掉电持久化；48/48通过。</x:v>
      </x:c>
      <x:c r="K72" s="144" t="str">
        <x:v>coem/BYD_UKE/gen_bsw/Dcm/Dcm_Lcfg_DspUds.c:4042; coem/BYD_UKE/gen_bsw/Dcm/Dcm_Lcfg_DspUds.c:1649</x:v>
      </x:c>
    </x:row>
    <x:row r="73" ht="68" customHeight="1">
      <x:c r="A73" s="144" t="str">
        <x:v>DID</x:v>
      </x:c>
      <x:c r="B73" s="144" t="str">
        <x:v>0xFF94</x:v>
      </x:c>
      <x:c r="C73" s="144" t="str">
        <x:v>DataSet（CustomerDID_0xFF94_DataSet）</x:v>
      </x:c>
      <x:c r="D73" s="144" t="str">
        <x:v>9 Byte；1 Signal；固定长度=是</x:v>
      </x:c>
      <x:c r="E73" s="144" t="str">
        <x:v>访问=0x22 Read；ReadSession=0x01 Default, 0x02 Programming, 0x03 Extended, 0x60 BOSCH(0x17)；WriteSession=NONE(0x0)</x:v>
      </x:c>
      <x:c r="F73" s="144" t="str">
        <x:v>ReadSecurity=ALL/LOCKED+UNLOCKED(0xFFFFFFFF)；WriteSecurity=NONE(0x0)</x:v>
      </x:c>
      <x:c r="G73" s="144" t="str">
        <x:v>读输入=DID 0xFF94；读输出=9 Byte，由ReadFunc_0xFF94同步产生；0x2E不允许；数据口=USE_DATA_SYNCH_FNC; 类型=DCM_UINT8; fixedLength=TRUE</x:v>
      </x:c>
      <x:c r="H73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3" s="144" t="str">
        <x:v>东软自行实现DID配置、回调适配、数据Owner/更新源/NvM映射/端序说明和自动正负向用例；不得使用参考Dcm ARXML或生成代码。</x:v>
      </x:c>
      <x:c r="J73" s="144" t="str">
        <x:v>0x22/0x2E按访问能力逐项测试；精确9B、少1B、多1B、边界字节00/FF、各会话/安全级、回调E_NOT_OK/超时、复位/掉电持久化；48/48通过。</x:v>
      </x:c>
      <x:c r="K73" s="144" t="str">
        <x:v>coem/BYD_UKE/gen_bsw/Dcm/Dcm_Lcfg_DspUds.c:4065; coem/BYD_UKE/gen_bsw/Dcm/Dcm_Lcfg_DspUds.c:2298</x:v>
      </x:c>
    </x:row>
    <x:row r="74" ht="68" customHeight="1">
      <x:c r="A74" s="144" t="str">
        <x:v>DID</x:v>
      </x:c>
      <x:c r="B74" s="144" t="str">
        <x:v>0xFF95</x:v>
      </x:c>
      <x:c r="C74" s="144" t="str">
        <x:v>DataSetVersion（CustomerDID_0xFF95_DataSetVersion）</x:v>
      </x:c>
      <x:c r="D74" s="144" t="str">
        <x:v>6 Byte；1 Signal；固定长度=是</x:v>
      </x:c>
      <x:c r="E74" s="144" t="str">
        <x:v>访问=0x22 Read；ReadSession=0x01 Default, 0x02 Programming, 0x03 Extended, 0x60 BOSCH(0x17)；WriteSession=NONE(0x0)</x:v>
      </x:c>
      <x:c r="F74" s="144" t="str">
        <x:v>ReadSecurity=ALL/LOCKED+UNLOCKED(0xFFFFFFFF)；WriteSecurity=NONE(0x0)</x:v>
      </x:c>
      <x:c r="G74" s="144" t="str">
        <x:v>读输入=DID 0xFF95；读输出=6 Byte，由ReadFunc_0xFF95同步产生；0x2E不允许；数据口=USE_DATA_SYNCH_FNC; 类型=DCM_UINT8; fixedLength=TRUE</x:v>
      </x:c>
      <x:c r="H74" s="144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4" s="144" t="str">
        <x:v>东软自行实现DID配置、回调适配、数据Owner/更新源/NvM映射/端序说明和自动正负向用例；不得使用参考Dcm ARXML或生成代码。</x:v>
      </x:c>
      <x:c r="J74" s="144" t="str">
        <x:v>0x22/0x2E按访问能力逐项测试；精确6B、少1B、多1B、边界字节00/FF、各会话/安全级、回调E_NOT_OK/超时、复位/掉电持久化；48/48通过。</x:v>
      </x:c>
      <x:c r="K74" s="144" t="str">
        <x:v>coem/BYD_UKE/gen_bsw/Dcm/Dcm_Lcfg_DspUds.c:4088; coem/BYD_UKE/gen_bsw/Dcm/Dcm_Lcfg_DspUds.c:2323</x:v>
      </x:c>
    </x:row>
    <x:row r="75" ht="68" customHeight="1">
      <x:c r="A75" s="144" t="str">
        <x:v>Routine</x:v>
      </x:c>
      <x:c r="B75" s="144" t="str">
        <x:v>0x0203</x:v>
      </x:c>
      <x:c r="C75" s="144" t="str">
        <x:v>FBL_PreConditionCheck</x:v>
      </x:c>
      <x:c r="D75" s="144" t="str">
        <x:v>SubFunction=Start; ControlOptionRecord=0 Byte；StatusOptionRecord=1 Byte</x:v>
      </x:c>
      <x:c r="E75" s="144" t="str">
        <x:v>Session=0x03 Extended(0x4); stopOnSessionChange=FALSE</x:v>
      </x:c>
      <x:c r="F75" s="144" t="str">
        <x:v>Security=ALL/LOCKED+UNLOCKED(0xFFFFFFFF)</x:v>
      </x:c>
      <x:c r="G75" s="144" t="str">
        <x:v>handler=Dia_Check_FBL_PreCondition_StartRoutine; precondition=Dia_RID_0x0203_PreconditionCheck; sequenceErrorSupported=TRUE; 使用OpStatus异步状态与NRC输出。</x:v>
      </x:c>
      <x:c r="H75" s="144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5" s="144" t="str">
        <x:v>东软实现Routine状态机、precondition、异步PENDING/CANCEL、NRC、会话切换和副作用回滚；交付接口设计和自动测试。</x:v>
      </x:c>
      <x:c r="J75" s="144" t="str">
        <x:v>逐Start、重复Start、未Start直接Result/Stop、会话切换、错误安全级、少/多1B、PENDING/timeout/CANCEL、复位/掉电；输出严格1B。</x:v>
      </x:c>
      <x:c r="K75" s="144" t="str">
        <x:v>coem/BYD_UKE/gen_bsw/Dcm/Dcm_Lcfg_DspUds.c:362</x:v>
      </x:c>
    </x:row>
    <x:row r="76" ht="68" customHeight="1">
      <x:c r="A76" s="144" t="str">
        <x:v>Routine</x:v>
      </x:c>
      <x:c r="B76" s="144" t="str">
        <x:v>0x0302</x:v>
      </x:c>
      <x:c r="C76" s="144" t="str">
        <x:v>Calibration_SDA</x:v>
      </x:c>
      <x:c r="D76" s="144" t="str">
        <x:v>SubFunction=Start/Stop/RequestResults; ControlOptionRecord=0 Byte；StatusOptionRecord=7 Byte</x:v>
      </x:c>
      <x:c r="E76" s="144" t="str">
        <x:v>Session=0x03 Extended(0x4); stopOnSessionChange=FALSE</x:v>
      </x:c>
      <x:c r="F76" s="144" t="str">
        <x:v>Security=L31(0x2)</x:v>
      </x:c>
      <x:c r="G76" s="144" t="str">
        <x:v>handler=Dia_Calibration_SDA_Start/Stop/ResultRoutine; precondition=Dia_RID_SDA_PreconditionCheck; sequenceErrorSupported=TRUE; 使用OpStatus异步状态与NRC输出。</x:v>
      </x:c>
      <x:c r="H76" s="144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6" s="144" t="str">
        <x:v>东软实现Routine状态机、precondition、异步PENDING/CANCEL、NRC、会话切换和副作用回滚；交付接口设计和自动测试。</x:v>
      </x:c>
      <x:c r="J76" s="144" t="str">
        <x:v>逐Start/Stop/RequestResults、重复Start、未Start直接Result/Stop、会话切换、错误安全级、少/多1B、PENDING/timeout/CANCEL、复位/掉电；输出严格7B。</x:v>
      </x:c>
      <x:c r="K76" s="144" t="str">
        <x:v>coem/BYD_UKE/gen_bsw/Dcm/Dcm_Lcfg_DspUds.c:371</x:v>
      </x:c>
    </x:row>
    <x:row r="77" ht="68" customHeight="1">
      <x:c r="A77" s="144" t="str">
        <x:v>Routine</x:v>
      </x:c>
      <x:c r="B77" s="144" t="str">
        <x:v>0x54DF</x:v>
      </x:c>
      <x:c r="C77" s="144" t="str">
        <x:v>Calibration_EOL_Static</x:v>
      </x:c>
      <x:c r="D77" s="144" t="str">
        <x:v>SubFunction=Start/Stop/RequestResults; ControlOptionRecord=0 Byte；StatusOptionRecord=5 Byte</x:v>
      </x:c>
      <x:c r="E77" s="144" t="str">
        <x:v>Session=0x03 Extended(0x4); stopOnSessionChange=FALSE</x:v>
      </x:c>
      <x:c r="F77" s="144" t="str">
        <x:v>Security=L31(0x2)</x:v>
      </x:c>
      <x:c r="G77" s="144" t="str">
        <x:v>handler=Dia_Calibration_EOL_Static_Start/Stop/ResultRoutine; precondition=Dia_RID_EOL_PreconditionCheck; sequenceErrorSupported=TRUE; 使用OpStatus异步状态与NRC输出。</x:v>
      </x:c>
      <x:c r="H77" s="144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7" s="144" t="str">
        <x:v>东软实现Routine状态机、precondition、异步PENDING/CANCEL、NRC、会话切换和副作用回滚；交付接口设计和自动测试。</x:v>
      </x:c>
      <x:c r="J77" s="144" t="str">
        <x:v>逐Start/Stop/RequestResults、重复Start、未Start直接Result/Stop、会话切换、错误安全级、少/多1B、PENDING/timeout/CANCEL、复位/掉电；输出严格5B。</x:v>
      </x:c>
      <x:c r="K77" s="144" t="str">
        <x:v>coem/BYD_UKE/gen_bsw/Dcm/Dcm_Lcfg_DspUds.c:380</x:v>
      </x:c>
    </x:row>
    <x:row r="78" ht="68" customHeight="1">
      <x:c r="A78" s="144" t="str">
        <x:v>Routine</x:v>
      </x:c>
      <x:c r="B78" s="144" t="str">
        <x:v>0xFD00</x:v>
      </x:c>
      <x:c r="C78" s="144" t="str">
        <x:v>Bosch_Security</x:v>
      </x:c>
      <x:c r="D78" s="144" t="str">
        <x:v>SubFunction=Start; ControlOptionRecord=0 Byte；StatusOptionRecord=0 Byte</x:v>
      </x:c>
      <x:c r="E78" s="144" t="str">
        <x:v>Session=0x60 BOSCH(0x10); stopOnSessionChange=FALSE</x:v>
      </x:c>
      <x:c r="F78" s="144" t="str">
        <x:v>Security=L32(0x4)</x:v>
      </x:c>
      <x:c r="G78" s="144" t="str">
        <x:v>handler=Bosch_RID_Security_0xFD00; precondition=NONE; sequenceErrorSupported=TRUE; 使用OpStatus异步状态与NRC输出。</x:v>
      </x:c>
      <x:c r="H78" s="144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8" s="144" t="str">
        <x:v>东软实现Routine状态机、precondition、异步PENDING/CANCEL、NRC、会话切换和副作用回滚；交付接口设计和自动测试。</x:v>
      </x:c>
      <x:c r="J78" s="144" t="str">
        <x:v>逐Start、重复Start、未Start直接Result/Stop、会话切换、错误安全级、少/多1B、PENDING/timeout/CANCEL、复位/掉电；输出严格0B。</x:v>
      </x:c>
      <x:c r="K78" s="144" t="str">
        <x:v>coem/BYD_UKE/gen_bsw/Dcm/Dcm_Lcfg_DspUds.c:389</x:v>
      </x:c>
    </x:row>
    <x:row r="79" ht="68" customHeight="1">
      <x:c r="A79" s="144" t="str">
        <x:v>Routine</x:v>
      </x:c>
      <x:c r="B79" s="144" t="str">
        <x:v>0xFD01</x:v>
      </x:c>
      <x:c r="C79" s="144" t="str">
        <x:v>Bosch_ClearITC</x:v>
      </x:c>
      <x:c r="D79" s="144" t="str">
        <x:v>SubFunction=Start; ControlOptionRecord=0 Byte；StatusOptionRecord=0 Byte</x:v>
      </x:c>
      <x:c r="E79" s="144" t="str">
        <x:v>Session=0x60 BOSCH(0x10); stopOnSessionChange=FALSE</x:v>
      </x:c>
      <x:c r="F79" s="144" t="str">
        <x:v>Security=L32(0x4)</x:v>
      </x:c>
      <x:c r="G79" s="144" t="str">
        <x:v>handler=Bosch_RID_ClearITC_0xFD01; precondition=NONE; sequenceErrorSupported=TRUE; 使用OpStatus异步状态与NRC输出。</x:v>
      </x:c>
      <x:c r="H79" s="144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9" s="144" t="str">
        <x:v>东软实现Routine状态机、precondition、异步PENDING/CANCEL、NRC、会话切换和副作用回滚；交付接口设计和自动测试。</x:v>
      </x:c>
      <x:c r="J79" s="144" t="str">
        <x:v>逐Start、重复Start、未Start直接Result/Stop、会话切换、错误安全级、少/多1B、PENDING/timeout/CANCEL、复位/掉电；输出严格0B。</x:v>
      </x:c>
      <x:c r="K79" s="144" t="str">
        <x:v>coem/BYD_UKE/gen_bsw/Dcm/Dcm_Lcfg_DspUds.c:398</x:v>
      </x:c>
    </x:row>
    <x:row r="80" ht="68" customHeight="1">
      <x:c r="A80" s="144" t="str">
        <x:v>CanTp</x:v>
      </x:c>
      <x:c r="B80" s="144" t="str">
        <x:v>物理Rx</x:v>
      </x:c>
      <x:c r="C80" s="144" t="str">
        <x:v>Diagnostic Physical</x:v>
      </x:c>
      <x:c r="D80" s="144" t="str">
        <x:v>STmin20ms；BS8；WFTmax0；Ncr180ms；Nar/Nbr70ms</x:v>
      </x:c>
      <x:c r="E80" s="144" t="str">
        <x:v>Standard addressing</x:v>
      </x:c>
      <x:c r="F80" s="144" t="str">
        <x:v>-</x:v>
      </x:c>
      <x:c r="G80" s="144" t="str">
        <x:v>padding开启；DLC 8；padding 0xAA</x:v>
      </x:c>
      <x:c r="H80" s="144" t="str">
        <x:v>与CAN-FD能力口径需明确。</x:v>
      </x:c>
      <x:c r="I80" s="144" t="str">
        <x:v>CanTp/PduR路由表与参数矩阵。</x:v>
      </x:c>
      <x:c r="J80" s="144" t="str">
        <x:v>SF/FF/CF/FC、超时、padding、Bus-Off。</x:v>
      </x:c>
      <x:c r="K80" s="144" t="str">
        <x:v>MCU_Project_Diag_CanTp_EcucValues.arxml:20-182</x:v>
      </x:c>
    </x:row>
    <x:row r="81" ht="68" customHeight="1">
      <x:c r="A81" s="144" t="str">
        <x:v>CanTp</x:v>
      </x:c>
      <x:c r="B81" s="144" t="str">
        <x:v>功能Rx</x:v>
      </x:c>
      <x:c r="C81" s="144" t="str">
        <x:v>Diagnostic Functional</x:v>
      </x:c>
      <x:c r="D81" s="144" t="str">
        <x:v>同物理Rx</x:v>
      </x:c>
      <x:c r="E81" s="144" t="str">
        <x:v>Standard addressing</x:v>
      </x:c>
      <x:c r="F81" s="144" t="str">
        <x:v>-</x:v>
      </x:c>
      <x:c r="G81" s="144" t="str">
        <x:v>2 Rx/1 Tx</x:v>
      </x:c>
      <x:c r="H81" s="144" t="str">
        <x:v>功能寻址禁止响应NRC列表需冻结。</x:v>
      </x:c>
      <x:c r="I81" s="144" t="str">
        <x:v>功能寻址响应策略。</x:v>
      </x:c>
      <x:c r="J81" s="144" t="str">
        <x:v>功能寻址服务/NRC/suppress response。</x:v>
      </x:c>
      <x:c r="K81" s="144" t="str">
        <x:v>CanTp_Cfg.c:169-216</x:v>
      </x:c>
    </x:row>
    <x:row r="82" ht="68" customHeight="1">
      <x:c r="A82" s="144" t="str">
        <x:v>CanTp</x:v>
      </x:c>
      <x:c r="B82" s="144" t="str">
        <x:v>Tx</x:v>
      </x:c>
      <x:c r="C82" s="144" t="str">
        <x:v>Diagnostic Response</x:v>
      </x:c>
      <x:c r="D82" s="144" t="str">
        <x:v>Nas70/Nbs180/Ncs70ms</x:v>
      </x:c>
      <x:c r="E82" s="144" t="str">
        <x:v>-</x:v>
      </x:c>
      <x:c r="F82" s="144" t="str">
        <x:v>-</x:v>
      </x:c>
      <x:c r="G82" s="144" t="str">
        <x:v>padding开启；CanTpTc=true</x:v>
      </x:c>
      <x:c r="H82" s="144" t="str">
        <x:v>显式值。</x:v>
      </x:c>
      <x:c r="I82" s="144" t="str">
        <x:v>Tx参数和PduR路由。</x:v>
      </x:c>
      <x:c r="J82" s="144" t="str">
        <x:v>多帧4095边界、FC与timeout。</x:v>
      </x:c>
      <x:c r="K82" s="144" t="str">
        <x:v>CanTp配置ARXML；CanTp_Cfg.h</x:v>
      </x:c>
    </x:row>
    <x:row r="83" ht="68" customHeight="1">
      <x:c r="A83" s="144" t="str">
        <x:v>Dem</x:v>
      </x:c>
      <x:c r="B83" s="144" t="str">
        <x:v>217 Events</x:v>
      </x:c>
      <x:c r="C83" s="144" t="str">
        <x:v>事件总量</x:v>
      </x:c>
      <x:c r="D83" s="144" t="str">
        <x:v>Main 10ms</x:v>
      </x:c>
      <x:c r="E83" s="144" t="str">
        <x:v>POWER operation cycle</x:v>
      </x:c>
      <x:c r="F83" s="144" t="str">
        <x:v>-</x:v>
      </x:c>
      <x:c r="G83" s="144" t="str">
        <x:v>217 events</x:v>
      </x:c>
      <x:c r="H83" s="144" t="str">
        <x:v>必须交Event级矩阵，不能只交59 DTC。</x:v>
      </x:c>
      <x:c r="I83" s="144" t="str">
        <x:v>Event↔DTC/debounce/priority/aging/conditions/FF/Ext/NvM。</x:v>
      </x:c>
      <x:c r="J83" s="144" t="str">
        <x:v>逐事件或批准等价类故障注入。</x:v>
      </x:c>
      <x:c r="K83" s="144" t="str">
        <x:v>Dem_Cfg_EventId.h:24-25</x:v>
      </x:c>
    </x:row>
    <x:row r="84" ht="68" customHeight="1">
      <x:c r="A84" s="144" t="str">
        <x:v>Dem</x:v>
      </x:c>
      <x:c r="B84" s="144" t="str">
        <x:v>59 DTC</x:v>
      </x:c>
      <x:c r="C84" s="144" t="str">
        <x:v>UDS DTC</x:v>
      </x:c>
      <x:c r="D84" s="144" t="str">
        <x:v>59 codes</x:v>
      </x:c>
      <x:c r="E84" s="144" t="str">
        <x:v>-</x:v>
      </x:c>
      <x:c r="F84" s="144" t="str">
        <x:v>-</x:v>
      </x:c>
      <x:c r="G84" s="144" t="str">
        <x:v>storage event combination开启；severity均NO_SEVERITY</x:v>
      </x:c>
      <x:c r="H84" s="144" t="str">
        <x:v>severity/priority是否符合OEM需确认。</x:v>
      </x:c>
      <x:c r="I84" s="144" t="str">
        <x:v>DTC矩阵与0x19映射。</x:v>
      </x:c>
      <x:c r="J84" s="144" t="str">
        <x:v>status mask、优先级、组合、清除。</x:v>
      </x:c>
      <x:c r="K84" s="144" t="str">
        <x:v>Dem_Cfg_DtcId.h:31,36；Dem_Cfg_DTC_DataStructures.c:24-149</x:v>
      </x:c>
    </x:row>
    <x:row r="85" ht="68" customHeight="1">
      <x:c r="A85" s="144" t="str">
        <x:v>Dem</x:v>
      </x:c>
      <x:c r="B85" s="144" t="str">
        <x:v>Primary Memory</x:v>
      </x:c>
      <x:c r="C85" s="144" t="str">
        <x:v>事件存储</x:v>
      </x:c>
      <x:c r="D85" s="144" t="str">
        <x:v>40 entries</x:v>
      </x:c>
      <x:c r="E85" s="144" t="str">
        <x:v>POWER cycle</x:v>
      </x:c>
      <x:c r="F85" s="144" t="str">
        <x:v>-</x:v>
      </x:c>
      <x:c r="G85" s="144" t="str">
        <x:v>无displacement；aging/occurrence支持</x:v>
      </x:c>
      <x:c r="H85" s="144" t="str">
        <x:v>满载策略必须写清。</x:v>
      </x:c>
      <x:c r="I85" s="144" t="str">
        <x:v>存储/淘汰/断电规则。</x:v>
      </x:c>
      <x:c r="J85" s="144" t="str">
        <x:v>41st事件、掉电、恢复、ClearDTC。</x:v>
      </x:c>
      <x:c r="K85" s="144" t="str">
        <x:v>Dem_Cfg_EvMem.h:39-143</x:v>
      </x:c>
    </x:row>
    <x:row r="86" ht="68" customHeight="1">
      <x:c r="A86" s="144" t="str">
        <x:v>Dem</x:v>
      </x:c>
      <x:c r="B86" s="144" t="str">
        <x:v>Env Data</x:v>
      </x:c>
      <x:c r="C86" s="144" t="str">
        <x:v>FF/Extended</x:v>
      </x:c>
      <x:c r="D86" s="144" t="str">
        <x:v>8 element；5 DID；2 Ext record；2 FF record</x:v>
      </x:c>
      <x:c r="E86" s="144" t="str">
        <x:v>-</x:v>
      </x:c>
      <x:c r="F86" s="144" t="str">
        <x:v>-</x:v>
      </x:c>
      <x:c r="G86" s="144" t="str">
        <x:v>时间/里程/电压/外温/车速等回调</x:v>
      </x:c>
      <x:c r="H86" s="144" t="str">
        <x:v>回调owner/单位/采样时点需冻结。</x:v>
      </x:c>
      <x:c r="I86" s="144" t="str">
        <x:v>环境数据矩阵和接口。</x:v>
      </x:c>
      <x:c r="J86" s="144" t="str">
        <x:v>故障瞬间值、边界、回调失败。</x:v>
      </x:c>
      <x:c r="K86" s="144" t="str">
        <x:v>Dem_Cfg_EnvDataElement.h:34-84</x:v>
      </x:c>
    </x:row>
    <x:row r="87" ht="68" customHeight="1">
      <x:c r="A87" s="144" t="str">
        <x:v>Dem</x:v>
      </x:c>
      <x:c r="B87" s="144" t="str">
        <x:v>NvM</x:v>
      </x:c>
      <x:c r="C87" s="144" t="str">
        <x:v>故障持久化</x:v>
      </x:c>
      <x:c r="D87" s="144" t="str">
        <x:v>42 blocks；41 extended/sync</x:v>
      </x:c>
      <x:c r="E87" s="144" t="str">
        <x:v>-</x:v>
      </x:c>
      <x:c r="F87" s="144" t="str">
        <x:v>-</x:v>
      </x:c>
      <x:c r="G87" s="144" t="str">
        <x:v>generic+40 entries+status</x:v>
      </x:c>
      <x:c r="H87" s="144" t="str">
        <x:v>与05页ID29..90/102映射逐项核对。</x:v>
      </x:c>
      <x:c r="I87" s="144" t="str">
        <x:v>Dem↔NvM mapping。</x:v>
      </x:c>
      <x:c r="J87" s="144" t="str">
        <x:v>并发/断电/0x19一致性。</x:v>
      </x:c>
      <x:c r="K87" s="144" t="str">
        <x:v>Dem_Cfg_Nvm.h:23-68</x:v>
      </x:c>
    </x:row>
    <x:row r="88" ht="68" customHeight="1">
      <x:c r="A88" s="144" t="str">
        <x:v>DemEvent</x:v>
      </x:c>
      <x:c r="B88" s="144" t="str">
        <x:v>EVT-001</x:v>
      </x:c>
      <x:c r="C88" s="144" t="str">
        <x:v>DTC_Event_AlignmentNeverDone</x:v>
      </x:c>
      <x:c r="D88" s="144" t="str">
        <x:v>DTC=0xACD178; Priority=64; Aging=40; Confirm=1; FFmax=2</x:v>
      </x:c>
      <x:c r="E88" s="144" t="str">
        <x:v>OperationCycle=POWER; Storage=NONE; Enable=NONE</x:v>
      </x:c>
      <x:c r="F88" s="144" t="str">
        <x:v>诊断权限不适用；事件可用性由 Enable/Storage Condition 控制</x:v>
      </x:c>
      <x:c r="G88" s="144" t="str">
        <x:v>DTC_ID=8 DTC_ALIGNMENT_NEVER_DONE; debounce=ARCTRBASECLASS/FREEZE; recoverable=是; primary=是; agingAllowed=是; initialUnavailable=否</x:v>
      </x:c>
      <x:c r="H8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88" s="144" t="str">
        <x:v>交付 Event→DTC→Debounce→Aging→Memory→NvM 的可编辑配置、回调清单与自动测试 ID；禁止用参考 ARXML/生成代码作为输入。</x:v>
      </x:c>
      <x:c r="J88" s="144" t="str">
        <x:v>逐项注入 FAILED/PASSED、确认阈值、老化40周期、掉电恢复、ClearDTC、满40 Entry、回调失败；0x19 结果与内部状态一致。</x:v>
      </x:c>
      <x:c r="K88" s="144" t="str">
        <x:v>coem/BYD_UKE/gen_bsw/Dem/Dem_Cfg_EventId.h:27; coem/BYD_UKE/gen_bsw/Dem/Dem_Cfg_Events_DataStructures.c:27; coem/BYD_UKE/gen_bsw/Dem/Dem_Cfg_Events_DataStructures.c:246; coem/BYD_UKE/gen_bsw/Dem/Dem_Cfg_DtcId.h:127</x:v>
      </x:c>
    </x:row>
    <x:row r="89" ht="68" customHeight="1">
      <x:c r="A89" s="144" t="str">
        <x:v>DemEvent</x:v>
      </x:c>
      <x:c r="B89" s="144" t="str">
        <x:v>EVT-002</x:v>
      </x:c>
      <x:c r="C89" s="144" t="str">
        <x:v>DTC_Event_AlignmentNotOK</x:v>
      </x:c>
      <x:c r="D89" s="144" t="str">
        <x:v>DTC=0xACD278; Priority=64; Aging=40; Confirm=1; FFmax=2</x:v>
      </x:c>
      <x:c r="E89" s="144" t="str">
        <x:v>OperationCycle=POWER; Storage=NONE; Enable=NONE</x:v>
      </x:c>
      <x:c r="F89" s="144" t="str">
        <x:v>诊断权限不适用；事件可用性由 Enable/Storage Condition 控制</x:v>
      </x:c>
      <x:c r="G89" s="144" t="str">
        <x:v>DTC_ID=9 DTC_ALIGNMENT_NOT_OK; debounce=ARCTRBASECLASS/FREEZE; recoverable=是; primary=是; agingAllowed=是; initialUnavailable=否</x:v>
      </x:c>
      <x:c r="H8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89" s="144" t="str">
        <x:v>交付 Event→DTC→Debounce→Aging→Memory→NvM 的可编辑配置、回调清单与自动测试 ID；禁止用参考 ARXML/生成代码作为输入。</x:v>
      </x:c>
      <x:c r="J89" s="144" t="str">
        <x:v>逐项注入 FAILED/PASSED、确认阈值、老化40周期、掉电恢复、ClearDTC、满40 Entry、回调失败；0x19 结果与内部状态一致。</x:v>
      </x:c>
      <x:c r="K89" s="144" t="str">
        <x:v>coem/BYD_UKE/gen_bsw/Dem/Dem_Cfg_EventId.h:28; coem/BYD_UKE/gen_bsw/Dem/Dem_Cfg_Events_DataStructures.c:28; coem/BYD_UKE/gen_bsw/Dem/Dem_Cfg_Events_DataStructures.c:250; coem/BYD_UKE/gen_bsw/Dem/Dem_Cfg_DtcId.h:128</x:v>
      </x:c>
    </x:row>
    <x:row r="90" ht="68" customHeight="1">
      <x:c r="A90" s="144" t="str">
        <x:v>DemEvent</x:v>
      </x:c>
      <x:c r="B90" s="144" t="str">
        <x:v>EVT-003</x:v>
      </x:c>
      <x:c r="C90" s="144" t="str">
        <x:v>DTC_Event_MisAlignment</x:v>
      </x:c>
      <x:c r="D90" s="144" t="str">
        <x:v>DTC=0xACEB94; Priority=64; Aging=40; Confirm=1; FFmax=2</x:v>
      </x:c>
      <x:c r="E90" s="144" t="str">
        <x:v>OperationCycle=POWER; Storage=NONE; Enable=EC_Group_Misalignment</x:v>
      </x:c>
      <x:c r="F90" s="144" t="str">
        <x:v>诊断权限不适用；事件可用性由 Enable/Storage Condition 控制</x:v>
      </x:c>
      <x:c r="G90" s="144" t="str">
        <x:v>DTC_ID=33 DTC_HORIZONTAL_MISALIGNED; debounce=ARCTRBASECLASS/FREEZE; recoverable=是; primary=是; agingAllowed=是; initialUnavailable=否</x:v>
      </x:c>
      <x:c r="H9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0" s="144" t="str">
        <x:v>交付 Event→DTC→Debounce→Aging→Memory→NvM 的可编辑配置、回调清单与自动测试 ID；禁止用参考 ARXML/生成代码作为输入。</x:v>
      </x:c>
      <x:c r="J90" s="144" t="str">
        <x:v>逐项注入 FAILED/PASSED、确认阈值、老化40周期、掉电恢复、ClearDTC、满40 Entry、回调失败；0x19 结果与内部状态一致。</x:v>
      </x:c>
      <x:c r="K90" s="144" t="str">
        <x:v>coem/BYD_UKE/gen_bsw/Dem/Dem_Cfg_EventId.h:29; coem/BYD_UKE/gen_bsw/Dem/Dem_Cfg_Events_DataStructures.c:29; coem/BYD_UKE/gen_bsw/Dem/Dem_Cfg_Events_DataStructures.c:251; coem/BYD_UKE/gen_bsw/Dem/Dem_Cfg_DtcId.h:129</x:v>
      </x:c>
    </x:row>
    <x:row r="91" ht="68" customHeight="1">
      <x:c r="A91" s="144" t="str">
        <x:v>DemEvent</x:v>
      </x:c>
      <x:c r="B91" s="144" t="str">
        <x:v>EVT-004</x:v>
      </x:c>
      <x:c r="C91" s="144" t="str">
        <x:v>DTC_Event_PCAN_BUSOFF</x:v>
      </x:c>
      <x:c r="D91" s="144" t="str">
        <x:v>DTC=0xC07388; Priority=128; Aging=40; Confirm=1; FFmax=2</x:v>
      </x:c>
      <x:c r="E91" s="144" t="str">
        <x:v>OperationCycle=POWER; Storage=NONE; Enable=EC_Group_Busoff</x:v>
      </x:c>
      <x:c r="F91" s="144" t="str">
        <x:v>诊断权限不适用；事件可用性由 Enable/Storage Condition 控制</x:v>
      </x:c>
      <x:c r="G91" s="144" t="str">
        <x:v>DTC_ID=37 DTC_PCAN_BUSOFF; debounce=ARCTRBASECLASS/FREEZE; recoverable=是; primary=是; agingAllowed=是; initialUnavailable=否</x:v>
      </x:c>
      <x:c r="H9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1" s="144" t="str">
        <x:v>交付 Event→DTC→Debounce→Aging→Memory→NvM 的可编辑配置、回调清单与自动测试 ID；禁止用参考 ARXML/生成代码作为输入。</x:v>
      </x:c>
      <x:c r="J91" s="144" t="str">
        <x:v>逐项注入 FAILED/PASSED、确认阈值、老化40周期、掉电恢复、ClearDTC、满40 Entry、回调失败；0x19 结果与内部状态一致。</x:v>
      </x:c>
      <x:c r="K91" s="144" t="str">
        <x:v>coem/BYD_UKE/gen_bsw/Dem/Dem_Cfg_EventId.h:30; coem/BYD_UKE/gen_bsw/Dem/Dem_Cfg_Events_DataStructures.c:30; coem/BYD_UKE/gen_bsw/Dem/Dem_Cfg_Events_DataStructures.c:252; coem/BYD_UKE/gen_bsw/Dem/Dem_Cfg_DtcId.h:130</x:v>
      </x:c>
    </x:row>
    <x:row r="92" ht="68" customHeight="1">
      <x:c r="A92" s="144" t="str">
        <x:v>DemEvent</x:v>
      </x:c>
      <x:c r="B92" s="144" t="str">
        <x:v>EVT-005</x:v>
      </x:c>
      <x:c r="C92" s="144" t="str">
        <x:v>DTC_Event_ProductionMode</x:v>
      </x:c>
      <x:c r="D92" s="144" t="str">
        <x:v>DTC=0xACD000; Priority=64; Aging=40; Confirm=1; FFmax=2</x:v>
      </x:c>
      <x:c r="E92" s="144" t="str">
        <x:v>OperationCycle=POWER; Storage=NONE; Enable=NONE</x:v>
      </x:c>
      <x:c r="F92" s="144" t="str">
        <x:v>诊断权限不适用；事件可用性由 Enable/Storage Condition 控制</x:v>
      </x:c>
      <x:c r="G92" s="144" t="str">
        <x:v>DTC_ID=7 DTC_PRODUCTION_MODE_ACTIVE; debounce=ARCTRBASECLASS/FREEZE; recoverable=是; primary=是; agingAllowed=是; initialUnavailable=否</x:v>
      </x:c>
      <x:c r="H9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2" s="144" t="str">
        <x:v>交付 Event→DTC→Debounce→Aging→Memory→NvM 的可编辑配置、回调清单与自动测试 ID；禁止用参考 ARXML/生成代码作为输入。</x:v>
      </x:c>
      <x:c r="J92" s="144" t="str">
        <x:v>逐项注入 FAILED/PASSED、确认阈值、老化40周期、掉电恢复、ClearDTC、满40 Entry、回调失败；0x19 结果与内部状态一致。</x:v>
      </x:c>
      <x:c r="K92" s="144" t="str">
        <x:v>coem/BYD_UKE/gen_bsw/Dem/Dem_Cfg_EventId.h:31; coem/BYD_UKE/gen_bsw/Dem/Dem_Cfg_Events_DataStructures.c:31; coem/BYD_UKE/gen_bsw/Dem/Dem_Cfg_Events_DataStructures.c:253; coem/BYD_UKE/gen_bsw/Dem/Dem_Cfg_DtcId.h:131</x:v>
      </x:c>
    </x:row>
    <x:row r="93" ht="68" customHeight="1">
      <x:c r="A93" s="144" t="str">
        <x:v>DemEvent</x:v>
      </x:c>
      <x:c r="B93" s="144" t="str">
        <x:v>EVT-006</x:v>
      </x:c>
      <x:c r="C93" s="144" t="str">
        <x:v>DTC_Event_SIDE_MISMATCH</x:v>
      </x:c>
      <x:c r="D93" s="144" t="str">
        <x:v>DTC=0xACD278; Priority=64; Aging=40; Confirm=1; FFmax=2</x:v>
      </x:c>
      <x:c r="E93" s="144" t="str">
        <x:v>OperationCycle=POWER; Storage=NONE; Enable=NONE</x:v>
      </x:c>
      <x:c r="F93" s="144" t="str">
        <x:v>诊断权限不适用；事件可用性由 Enable/Storage Condition 控制</x:v>
      </x:c>
      <x:c r="G93" s="144" t="str">
        <x:v>DTC_ID=9 DTC_ALIGNMENT_NOT_OK; debounce=ARCTRBASECLASS/FREEZE; recoverable=是; primary=是; agingAllowed=是; initialUnavailable=否</x:v>
      </x:c>
      <x:c r="H9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3" s="144" t="str">
        <x:v>交付 Event→DTC→Debounce→Aging→Memory→NvM 的可编辑配置、回调清单与自动测试 ID；禁止用参考 ARXML/生成代码作为输入。</x:v>
      </x:c>
      <x:c r="J93" s="144" t="str">
        <x:v>逐项注入 FAILED/PASSED、确认阈值、老化40周期、掉电恢复、ClearDTC、满40 Entry、回调失败；0x19 结果与内部状态一致。</x:v>
      </x:c>
      <x:c r="K93" s="144" t="str">
        <x:v>coem/BYD_UKE/gen_bsw/Dem/Dem_Cfg_EventId.h:32; coem/BYD_UKE/gen_bsw/Dem/Dem_Cfg_Events_DataStructures.c:32; coem/BYD_UKE/gen_bsw/Dem/Dem_Cfg_Events_DataStructures.c:254; coem/BYD_UKE/gen_bsw/Dem/Dem_Cfg_DtcId.h:132</x:v>
      </x:c>
    </x:row>
    <x:row r="94" ht="68" customHeight="1">
      <x:c r="A94" s="144" t="str">
        <x:v>DemEvent</x:v>
      </x:c>
      <x:c r="B94" s="144" t="str">
        <x:v>EVT-007</x:v>
      </x:c>
      <x:c r="C94" s="144" t="str">
        <x:v>DTC_Event_VCAN_BUSOFF</x:v>
      </x:c>
      <x:c r="D94" s="144" t="str">
        <x:v>DTC=0xC1D788; Priority=64; Aging=40; Confirm=1; FFmax=2</x:v>
      </x:c>
      <x:c r="E94" s="144" t="str">
        <x:v>OperationCycle=POWER; Storage=NONE; Enable=EC_Group_Busoff</x:v>
      </x:c>
      <x:c r="F94" s="144" t="str">
        <x:v>诊断权限不适用；事件可用性由 Enable/Storage Condition 控制</x:v>
      </x:c>
      <x:c r="G94" s="144" t="str">
        <x:v>DTC_ID=42 DTC_SFCAN_BUSOFF; debounce=ARCTRBASECLASS/FREEZE; recoverable=是; primary=是; agingAllowed=是; initialUnavailable=否</x:v>
      </x:c>
      <x:c r="H9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4" s="144" t="str">
        <x:v>交付 Event→DTC→Debounce→Aging→Memory→NvM 的可编辑配置、回调清单与自动测试 ID；禁止用参考 ARXML/生成代码作为输入。</x:v>
      </x:c>
      <x:c r="J94" s="144" t="str">
        <x:v>逐项注入 FAILED/PASSED、确认阈值、老化40周期、掉电恢复、ClearDTC、满40 Entry、回调失败；0x19 结果与内部状态一致。</x:v>
      </x:c>
      <x:c r="K94" s="144" t="str">
        <x:v>coem/BYD_UKE/gen_bsw/Dem/Dem_Cfg_EventId.h:33; coem/BYD_UKE/gen_bsw/Dem/Dem_Cfg_Events_DataStructures.c:33; coem/BYD_UKE/gen_bsw/Dem/Dem_Cfg_Events_DataStructures.c:255; coem/BYD_UKE/gen_bsw/Dem/Dem_Cfg_DtcId.h:133</x:v>
      </x:c>
    </x:row>
    <x:row r="95" ht="68" customHeight="1">
      <x:c r="A95" s="144" t="str">
        <x:v>DemEvent</x:v>
      </x:c>
      <x:c r="B95" s="144" t="str">
        <x:v>EVT-008</x:v>
      </x:c>
      <x:c r="C95" s="144" t="str">
        <x:v>FAULT_EOL_NVM_NO_VAR</x:v>
      </x:c>
      <x:c r="D95" s="144" t="str">
        <x:v>DTC=0xACE655; Priority=64; Aging=40; Confirm=1; FFmax=2</x:v>
      </x:c>
      <x:c r="E95" s="144" t="str">
        <x:v>OperationCycle=POWER; Storage=NONE; Enable=NONE</x:v>
      </x:c>
      <x:c r="F95" s="144" t="str">
        <x:v>诊断权限不适用；事件可用性由 Enable/Storage Condition 控制</x:v>
      </x:c>
      <x:c r="G95" s="144" t="str">
        <x:v>DTC_ID=29 DTC_NVM_EOL_NO_VAR; debounce=ARCTRBASECLASS/FREEZE; recoverable=是; primary=是; agingAllowed=是; initialUnavailable=否</x:v>
      </x:c>
      <x:c r="H9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5" s="144" t="str">
        <x:v>交付 Event→DTC→Debounce→Aging→Memory→NvM 的可编辑配置、回调清单与自动测试 ID；禁止用参考 ARXML/生成代码作为输入。</x:v>
      </x:c>
      <x:c r="J95" s="144" t="str">
        <x:v>逐项注入 FAILED/PASSED、确认阈值、老化40周期、掉电恢复、ClearDTC、满40 Entry、回调失败；0x19 结果与内部状态一致。</x:v>
      </x:c>
      <x:c r="K95" s="144" t="str">
        <x:v>coem/BYD_UKE/gen_bsw/Dem/Dem_Cfg_EventId.h:34; coem/BYD_UKE/gen_bsw/Dem/Dem_Cfg_Events_DataStructures.c:34; coem/BYD_UKE/gen_bsw/Dem/Dem_Cfg_Events_DataStructures.c:256; coem/BYD_UKE/gen_bsw/Dem/Dem_Cfg_DtcId.h:134</x:v>
      </x:c>
    </x:row>
    <x:row r="96" ht="68" customHeight="1">
      <x:c r="A96" s="144" t="str">
        <x:v>DemEvent</x:v>
      </x:c>
      <x:c r="B96" s="144" t="str">
        <x:v>EVT-009</x:v>
      </x:c>
      <x:c r="C96" s="144" t="str">
        <x:v>FAULT_EPS_0x11F_ALC</x:v>
      </x:c>
      <x:c r="D96" s="144" t="str">
        <x:v>DTC=0xC42082; Priority=64; Aging=40; Confirm=1; FFmax=2</x:v>
      </x:c>
      <x:c r="E96" s="144" t="str">
        <x:v>OperationCycle=POWER; Storage=NONE; Enable=EC_Group_Network</x:v>
      </x:c>
      <x:c r="F96" s="144" t="str">
        <x:v>诊断权限不适用；事件可用性由 Enable/Storage Condition 控制</x:v>
      </x:c>
      <x:c r="G96" s="144" t="str">
        <x:v>DTC_ID=49 DTC_EPS_ALC; debounce=ARCTRBASECLASS/FREEZE; recoverable=是; primary=是; agingAllowed=是; initialUnavailable=否</x:v>
      </x:c>
      <x:c r="H9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6" s="144" t="str">
        <x:v>交付 Event→DTC→Debounce→Aging→Memory→NvM 的可编辑配置、回调清单与自动测试 ID；禁止用参考 ARXML/生成代码作为输入。</x:v>
      </x:c>
      <x:c r="J96" s="144" t="str">
        <x:v>逐项注入 FAILED/PASSED、确认阈值、老化40周期、掉电恢复、ClearDTC、满40 Entry、回调失败；0x19 结果与内部状态一致。</x:v>
      </x:c>
      <x:c r="K96" s="144" t="str">
        <x:v>coem/BYD_UKE/gen_bsw/Dem/Dem_Cfg_EventId.h:35; coem/BYD_UKE/gen_bsw/Dem/Dem_Cfg_Events_DataStructures.c:35; coem/BYD_UKE/gen_bsw/Dem/Dem_Cfg_Events_DataStructures.c:257; coem/BYD_UKE/gen_bsw/Dem/Dem_Cfg_DtcId.h:135</x:v>
      </x:c>
    </x:row>
    <x:row r="97" ht="68" customHeight="1">
      <x:c r="A97" s="144" t="str">
        <x:v>DemEvent</x:v>
      </x:c>
      <x:c r="B97" s="144" t="str">
        <x:v>EVT-010</x:v>
      </x:c>
      <x:c r="C97" s="144" t="str">
        <x:v>FAULT_EPS_0x11F_CRC</x:v>
      </x:c>
      <x:c r="D97" s="144" t="str">
        <x:v>DTC=0xC42083; Priority=64; Aging=40; Confirm=1; FFmax=2</x:v>
      </x:c>
      <x:c r="E97" s="144" t="str">
        <x:v>OperationCycle=POWER; Storage=NONE; Enable=EC_Group_Network</x:v>
      </x:c>
      <x:c r="F97" s="144" t="str">
        <x:v>诊断权限不适用；事件可用性由 Enable/Storage Condition 控制</x:v>
      </x:c>
      <x:c r="G97" s="144" t="str">
        <x:v>DTC_ID=50 DTC_EPS_CRC; debounce=ARCTRBASECLASS/FREEZE; recoverable=是; primary=是; agingAllowed=是; initialUnavailable=否</x:v>
      </x:c>
      <x:c r="H9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7" s="144" t="str">
        <x:v>交付 Event→DTC→Debounce→Aging→Memory→NvM 的可编辑配置、回调清单与自动测试 ID；禁止用参考 ARXML/生成代码作为输入。</x:v>
      </x:c>
      <x:c r="J97" s="144" t="str">
        <x:v>逐项注入 FAILED/PASSED、确认阈值、老化40周期、掉电恢复、ClearDTC、满40 Entry、回调失败；0x19 结果与内部状态一致。</x:v>
      </x:c>
      <x:c r="K97" s="144" t="str">
        <x:v>coem/BYD_UKE/gen_bsw/Dem/Dem_Cfg_EventId.h:36; coem/BYD_UKE/gen_bsw/Dem/Dem_Cfg_Events_DataStructures.c:36; coem/BYD_UKE/gen_bsw/Dem/Dem_Cfg_Events_DataStructures.c:258; coem/BYD_UKE/gen_bsw/Dem/Dem_Cfg_DtcId.h:136</x:v>
      </x:c>
    </x:row>
    <x:row r="98" ht="68" customHeight="1">
      <x:c r="A98" s="144" t="str">
        <x:v>DemEvent</x:v>
      </x:c>
      <x:c r="B98" s="144" t="str">
        <x:v>EVT-011</x:v>
      </x:c>
      <x:c r="C98" s="144" t="str">
        <x:v>FAULT_EPS_0x11F_TIMEOUT</x:v>
      </x:c>
      <x:c r="D98" s="144" t="str">
        <x:v>DTC=0xC13187; Priority=64; Aging=40; Confirm=1; FFmax=2</x:v>
      </x:c>
      <x:c r="E98" s="144" t="str">
        <x:v>OperationCycle=POWER; Storage=NONE; Enable=EC_Group_Network</x:v>
      </x:c>
      <x:c r="F98" s="144" t="str">
        <x:v>诊断权限不适用；事件可用性由 Enable/Storage Condition 控制</x:v>
      </x:c>
      <x:c r="G98" s="144" t="str">
        <x:v>DTC_ID=38 DTC_EPS_TIMEOUT; debounce=ARCTRBASECLASS/FREEZE; recoverable=是; primary=是; agingAllowed=是; initialUnavailable=否</x:v>
      </x:c>
      <x:c r="H9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8" s="144" t="str">
        <x:v>交付 Event→DTC→Debounce→Aging→Memory→NvM 的可编辑配置、回调清单与自动测试 ID；禁止用参考 ARXML/生成代码作为输入。</x:v>
      </x:c>
      <x:c r="J98" s="144" t="str">
        <x:v>逐项注入 FAILED/PASSED、确认阈值、老化40周期、掉电恢复、ClearDTC、满40 Entry、回调失败；0x19 结果与内部状态一致。</x:v>
      </x:c>
      <x:c r="K98" s="144" t="str">
        <x:v>coem/BYD_UKE/gen_bsw/Dem/Dem_Cfg_EventId.h:37; coem/BYD_UKE/gen_bsw/Dem/Dem_Cfg_Events_DataStructures.c:37; coem/BYD_UKE/gen_bsw/Dem/Dem_Cfg_Events_DataStructures.c:259; coem/BYD_UKE/gen_bsw/Dem/Dem_Cfg_DtcId.h:137</x:v>
      </x:c>
    </x:row>
    <x:row r="99" ht="68" customHeight="1">
      <x:c r="A99" s="144" t="str">
        <x:v>DemEvent</x:v>
      </x:c>
      <x:c r="B99" s="144" t="str">
        <x:v>EVT-012</x:v>
      </x:c>
      <x:c r="C99" s="144" t="str">
        <x:v>FAULT_IPB_0x121_ALC</x:v>
      </x:c>
      <x:c r="D99" s="144" t="str">
        <x:v>DTC=0x5C6302; Priority=64; Aging=40; Confirm=1; FFmax=2</x:v>
      </x:c>
      <x:c r="E99" s="144" t="str">
        <x:v>OperationCycle=POWER; Storage=NONE; Enable=EC_Group_Network</x:v>
      </x:c>
      <x:c r="F99" s="144" t="str">
        <x:v>诊断权限不适用；事件可用性由 Enable/Storage Condition 控制</x:v>
      </x:c>
      <x:c r="G99" s="144" t="str">
        <x:v>DTC_ID=2 DTC_IPB_ALC; debounce=ARCTRBASECLASS/FREEZE; recoverable=是; primary=是; agingAllowed=是; initialUnavailable=否</x:v>
      </x:c>
      <x:c r="H9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9" s="144" t="str">
        <x:v>交付 Event→DTC→Debounce→Aging→Memory→NvM 的可编辑配置、回调清单与自动测试 ID；禁止用参考 ARXML/生成代码作为输入。</x:v>
      </x:c>
      <x:c r="J99" s="144" t="str">
        <x:v>逐项注入 FAILED/PASSED、确认阈值、老化40周期、掉电恢复、ClearDTC、满40 Entry、回调失败；0x19 结果与内部状态一致。</x:v>
      </x:c>
      <x:c r="K99" s="144" t="str">
        <x:v>coem/BYD_UKE/gen_bsw/Dem/Dem_Cfg_EventId.h:38; coem/BYD_UKE/gen_bsw/Dem/Dem_Cfg_Events_DataStructures.c:38; coem/BYD_UKE/gen_bsw/Dem/Dem_Cfg_Events_DataStructures.c:260; coem/BYD_UKE/gen_bsw/Dem/Dem_Cfg_DtcId.h:138</x:v>
      </x:c>
    </x:row>
    <x:row r="100" ht="68" customHeight="1">
      <x:c r="A100" s="144" t="str">
        <x:v>DemEvent</x:v>
      </x:c>
      <x:c r="B100" s="144" t="str">
        <x:v>EVT-013</x:v>
      </x:c>
      <x:c r="C100" s="144" t="str">
        <x:v>FAULT_IPB_0x121_CRC</x:v>
      </x:c>
      <x:c r="D100" s="144" t="str">
        <x:v>DTC=0x5C6462; Priority=64; Aging=40; Confirm=1; FFmax=2</x:v>
      </x:c>
      <x:c r="E100" s="144" t="str">
        <x:v>OperationCycle=POWER; Storage=NONE; Enable=EC_Group_Network</x:v>
      </x:c>
      <x:c r="F100" s="144" t="str">
        <x:v>诊断权限不适用；事件可用性由 Enable/Storage Condition 控制</x:v>
      </x:c>
      <x:c r="G100" s="144" t="str">
        <x:v>DTC_ID=3 DTC_IPB_CRC; debounce=ARCTRBASECLASS/FREEZE; recoverable=是; primary=是; agingAllowed=是; initialUnavailable=否</x:v>
      </x:c>
      <x:c r="H10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0" s="144" t="str">
        <x:v>交付 Event→DTC→Debounce→Aging→Memory→NvM 的可编辑配置、回调清单与自动测试 ID；禁止用参考 ARXML/生成代码作为输入。</x:v>
      </x:c>
      <x:c r="J100" s="144" t="str">
        <x:v>逐项注入 FAILED/PASSED、确认阈值、老化40周期、掉电恢复、ClearDTC、满40 Entry、回调失败；0x19 结果与内部状态一致。</x:v>
      </x:c>
      <x:c r="K100" s="144" t="str">
        <x:v>coem/BYD_UKE/gen_bsw/Dem/Dem_Cfg_EventId.h:39; coem/BYD_UKE/gen_bsw/Dem/Dem_Cfg_Events_DataStructures.c:39; coem/BYD_UKE/gen_bsw/Dem/Dem_Cfg_Events_DataStructures.c:261; coem/BYD_UKE/gen_bsw/Dem/Dem_Cfg_DtcId.h:139</x:v>
      </x:c>
    </x:row>
    <x:row r="101" ht="68" customHeight="1">
      <x:c r="A101" s="144" t="str">
        <x:v>DemEvent</x:v>
      </x:c>
      <x:c r="B101" s="144" t="str">
        <x:v>EVT-014</x:v>
      </x:c>
      <x:c r="C101" s="144" t="str">
        <x:v>FAULT_IPB_0x121_TIMEOUT</x:v>
      </x:c>
      <x:c r="D101" s="144" t="str">
        <x:v>DTC=0xC19780; Priority=64; Aging=40; Confirm=1; FFmax=2</x:v>
      </x:c>
      <x:c r="E101" s="144" t="str">
        <x:v>OperationCycle=POWER; Storage=NONE; Enable=EC_Group_Network</x:v>
      </x:c>
      <x:c r="F101" s="144" t="str">
        <x:v>诊断权限不适用；事件可用性由 Enable/Storage Condition 控制</x:v>
      </x:c>
      <x:c r="G101" s="144" t="str">
        <x:v>DTC_ID=39 DTC_IPB_TIMEOUT; debounce=ARCTRBASECLASS/FREEZE; recoverable=是; primary=是; agingAllowed=是; initialUnavailable=否</x:v>
      </x:c>
      <x:c r="H10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1" s="144" t="str">
        <x:v>交付 Event→DTC→Debounce→Aging→Memory→NvM 的可编辑配置、回调清单与自动测试 ID；禁止用参考 ARXML/生成代码作为输入。</x:v>
      </x:c>
      <x:c r="J101" s="144" t="str">
        <x:v>逐项注入 FAILED/PASSED、确认阈值、老化40周期、掉电恢复、ClearDTC、满40 Entry、回调失败；0x19 结果与内部状态一致。</x:v>
      </x:c>
      <x:c r="K101" s="144" t="str">
        <x:v>coem/BYD_UKE/gen_bsw/Dem/Dem_Cfg_EventId.h:40; coem/BYD_UKE/gen_bsw/Dem/Dem_Cfg_Events_DataStructures.c:40; coem/BYD_UKE/gen_bsw/Dem/Dem_Cfg_Events_DataStructures.c:262; coem/BYD_UKE/gen_bsw/Dem/Dem_Cfg_DtcId.h:140</x:v>
      </x:c>
    </x:row>
    <x:row r="102" ht="68" customHeight="1">
      <x:c r="A102" s="144" t="str">
        <x:v>DemEvent</x:v>
      </x:c>
      <x:c r="B102" s="144" t="str">
        <x:v>EVT-015</x:v>
      </x:c>
      <x:c r="C102" s="144" t="str">
        <x:v>FAULT_IPB_0x123_ALC</x:v>
      </x:c>
      <x:c r="D102" s="144" t="str">
        <x:v>DTC=0x5C6302; Priority=64; Aging=40; Confirm=1; FFmax=2</x:v>
      </x:c>
      <x:c r="E102" s="144" t="str">
        <x:v>OperationCycle=POWER; Storage=NONE; Enable=EC_Group_Network</x:v>
      </x:c>
      <x:c r="F102" s="144" t="str">
        <x:v>诊断权限不适用；事件可用性由 Enable/Storage Condition 控制</x:v>
      </x:c>
      <x:c r="G102" s="144" t="str">
        <x:v>DTC_ID=2 DTC_IPB_ALC; debounce=ARCTRBASECLASS/FREEZE; recoverable=是; primary=是; agingAllowed=是; initialUnavailable=否</x:v>
      </x:c>
      <x:c r="H10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2" s="144" t="str">
        <x:v>交付 Event→DTC→Debounce→Aging→Memory→NvM 的可编辑配置、回调清单与自动测试 ID；禁止用参考 ARXML/生成代码作为输入。</x:v>
      </x:c>
      <x:c r="J102" s="144" t="str">
        <x:v>逐项注入 FAILED/PASSED、确认阈值、老化40周期、掉电恢复、ClearDTC、满40 Entry、回调失败；0x19 结果与内部状态一致。</x:v>
      </x:c>
      <x:c r="K102" s="144" t="str">
        <x:v>coem/BYD_UKE/gen_bsw/Dem/Dem_Cfg_EventId.h:41; coem/BYD_UKE/gen_bsw/Dem/Dem_Cfg_Events_DataStructures.c:41; coem/BYD_UKE/gen_bsw/Dem/Dem_Cfg_Events_DataStructures.c:263; coem/BYD_UKE/gen_bsw/Dem/Dem_Cfg_DtcId.h:141</x:v>
      </x:c>
    </x:row>
    <x:row r="103" ht="68" customHeight="1">
      <x:c r="A103" s="144" t="str">
        <x:v>DemEvent</x:v>
      </x:c>
      <x:c r="B103" s="144" t="str">
        <x:v>EVT-016</x:v>
      </x:c>
      <x:c r="C103" s="144" t="str">
        <x:v>FAULT_IPB_0x123_CRC</x:v>
      </x:c>
      <x:c r="D103" s="144" t="str">
        <x:v>DTC=0x5C6462; Priority=64; Aging=40; Confirm=1; FFmax=2</x:v>
      </x:c>
      <x:c r="E103" s="144" t="str">
        <x:v>OperationCycle=POWER; Storage=NONE; Enable=EC_Group_Network</x:v>
      </x:c>
      <x:c r="F103" s="144" t="str">
        <x:v>诊断权限不适用；事件可用性由 Enable/Storage Condition 控制</x:v>
      </x:c>
      <x:c r="G103" s="144" t="str">
        <x:v>DTC_ID=3 DTC_IPB_CRC; debounce=ARCTRBASECLASS/FREEZE; recoverable=是; primary=是; agingAllowed=是; initialUnavailable=否</x:v>
      </x:c>
      <x:c r="H10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3" s="144" t="str">
        <x:v>交付 Event→DTC→Debounce→Aging→Memory→NvM 的可编辑配置、回调清单与自动测试 ID；禁止用参考 ARXML/生成代码作为输入。</x:v>
      </x:c>
      <x:c r="J103" s="144" t="str">
        <x:v>逐项注入 FAILED/PASSED、确认阈值、老化40周期、掉电恢复、ClearDTC、满40 Entry、回调失败；0x19 结果与内部状态一致。</x:v>
      </x:c>
      <x:c r="K103" s="144" t="str">
        <x:v>coem/BYD_UKE/gen_bsw/Dem/Dem_Cfg_EventId.h:42; coem/BYD_UKE/gen_bsw/Dem/Dem_Cfg_Events_DataStructures.c:42; coem/BYD_UKE/gen_bsw/Dem/Dem_Cfg_Events_DataStructures.c:264; coem/BYD_UKE/gen_bsw/Dem/Dem_Cfg_DtcId.h:142</x:v>
      </x:c>
    </x:row>
    <x:row r="104" ht="68" customHeight="1">
      <x:c r="A104" s="144" t="str">
        <x:v>DemEvent</x:v>
      </x:c>
      <x:c r="B104" s="144" t="str">
        <x:v>EVT-017</x:v>
      </x:c>
      <x:c r="C104" s="144" t="str">
        <x:v>FAULT_IPB_0x123_TIMEOUT</x:v>
      </x:c>
      <x:c r="D104" s="144" t="str">
        <x:v>DTC=0xC19780; Priority=64; Aging=40; Confirm=1; FFmax=2</x:v>
      </x:c>
      <x:c r="E104" s="144" t="str">
        <x:v>OperationCycle=POWER; Storage=NONE; Enable=EC_Group_Network</x:v>
      </x:c>
      <x:c r="F104" s="144" t="str">
        <x:v>诊断权限不适用；事件可用性由 Enable/Storage Condition 控制</x:v>
      </x:c>
      <x:c r="G104" s="144" t="str">
        <x:v>DTC_ID=39 DTC_IPB_TIMEOUT; debounce=ARCTRBASECLASS/FREEZE; recoverable=是; primary=是; agingAllowed=是; initialUnavailable=否</x:v>
      </x:c>
      <x:c r="H10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4" s="144" t="str">
        <x:v>交付 Event→DTC→Debounce→Aging→Memory→NvM 的可编辑配置、回调清单与自动测试 ID；禁止用参考 ARXML/生成代码作为输入。</x:v>
      </x:c>
      <x:c r="J104" s="144" t="str">
        <x:v>逐项注入 FAILED/PASSED、确认阈值、老化40周期、掉电恢复、ClearDTC、满40 Entry、回调失败；0x19 结果与内部状态一致。</x:v>
      </x:c>
      <x:c r="K104" s="144" t="str">
        <x:v>coem/BYD_UKE/gen_bsw/Dem/Dem_Cfg_EventId.h:43; coem/BYD_UKE/gen_bsw/Dem/Dem_Cfg_Events_DataStructures.c:43; coem/BYD_UKE/gen_bsw/Dem/Dem_Cfg_Events_DataStructures.c:265; coem/BYD_UKE/gen_bsw/Dem/Dem_Cfg_DtcId.h:143</x:v>
      </x:c>
    </x:row>
    <x:row r="105" ht="68" customHeight="1">
      <x:c r="A105" s="144" t="str">
        <x:v>DemEvent</x:v>
      </x:c>
      <x:c r="B105" s="144" t="str">
        <x:v>EVT-018</x:v>
      </x:c>
      <x:c r="C105" s="144" t="str">
        <x:v>FAULT_IPB_0x1F0_ALC</x:v>
      </x:c>
      <x:c r="D105" s="144" t="str">
        <x:v>DTC=0x5C6302; Priority=64; Aging=40; Confirm=1; FFmax=2</x:v>
      </x:c>
      <x:c r="E105" s="144" t="str">
        <x:v>OperationCycle=POWER; Storage=NONE; Enable=EC_Group_Network</x:v>
      </x:c>
      <x:c r="F105" s="144" t="str">
        <x:v>诊断权限不适用；事件可用性由 Enable/Storage Condition 控制</x:v>
      </x:c>
      <x:c r="G105" s="144" t="str">
        <x:v>DTC_ID=2 DTC_IPB_ALC; debounce=ARCTRBASECLASS/FREEZE; recoverable=是; primary=是; agingAllowed=是; initialUnavailable=否</x:v>
      </x:c>
      <x:c r="H10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5" s="144" t="str">
        <x:v>交付 Event→DTC→Debounce→Aging→Memory→NvM 的可编辑配置、回调清单与自动测试 ID；禁止用参考 ARXML/生成代码作为输入。</x:v>
      </x:c>
      <x:c r="J105" s="144" t="str">
        <x:v>逐项注入 FAILED/PASSED、确认阈值、老化40周期、掉电恢复、ClearDTC、满40 Entry、回调失败；0x19 结果与内部状态一致。</x:v>
      </x:c>
      <x:c r="K105" s="144" t="str">
        <x:v>coem/BYD_UKE/gen_bsw/Dem/Dem_Cfg_EventId.h:44; coem/BYD_UKE/gen_bsw/Dem/Dem_Cfg_Events_DataStructures.c:44; coem/BYD_UKE/gen_bsw/Dem/Dem_Cfg_Events_DataStructures.c:266; coem/BYD_UKE/gen_bsw/Dem/Dem_Cfg_DtcId.h:144</x:v>
      </x:c>
    </x:row>
    <x:row r="106" ht="68" customHeight="1">
      <x:c r="A106" s="144" t="str">
        <x:v>DemEvent</x:v>
      </x:c>
      <x:c r="B106" s="144" t="str">
        <x:v>EVT-019</x:v>
      </x:c>
      <x:c r="C106" s="144" t="str">
        <x:v>FAULT_IPB_0x1F0_CRC</x:v>
      </x:c>
      <x:c r="D106" s="144" t="str">
        <x:v>DTC=0x5C6462; Priority=64; Aging=40; Confirm=1; FFmax=2</x:v>
      </x:c>
      <x:c r="E106" s="144" t="str">
        <x:v>OperationCycle=POWER; Storage=NONE; Enable=EC_Group_Network</x:v>
      </x:c>
      <x:c r="F106" s="144" t="str">
        <x:v>诊断权限不适用；事件可用性由 Enable/Storage Condition 控制</x:v>
      </x:c>
      <x:c r="G106" s="144" t="str">
        <x:v>DTC_ID=3 DTC_IPB_CRC; debounce=ARCTRBASECLASS/FREEZE; recoverable=是; primary=是; agingAllowed=是; initialUnavailable=否</x:v>
      </x:c>
      <x:c r="H10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6" s="144" t="str">
        <x:v>交付 Event→DTC→Debounce→Aging→Memory→NvM 的可编辑配置、回调清单与自动测试 ID；禁止用参考 ARXML/生成代码作为输入。</x:v>
      </x:c>
      <x:c r="J106" s="144" t="str">
        <x:v>逐项注入 FAILED/PASSED、确认阈值、老化40周期、掉电恢复、ClearDTC、满40 Entry、回调失败；0x19 结果与内部状态一致。</x:v>
      </x:c>
      <x:c r="K106" s="144" t="str">
        <x:v>coem/BYD_UKE/gen_bsw/Dem/Dem_Cfg_EventId.h:45; coem/BYD_UKE/gen_bsw/Dem/Dem_Cfg_Events_DataStructures.c:45; coem/BYD_UKE/gen_bsw/Dem/Dem_Cfg_Events_DataStructures.c:267; coem/BYD_UKE/gen_bsw/Dem/Dem_Cfg_DtcId.h:145</x:v>
      </x:c>
    </x:row>
    <x:row r="107" ht="68" customHeight="1">
      <x:c r="A107" s="144" t="str">
        <x:v>DemEvent</x:v>
      </x:c>
      <x:c r="B107" s="144" t="str">
        <x:v>EVT-020</x:v>
      </x:c>
      <x:c r="C107" s="144" t="str">
        <x:v>FAULT_IPB_0x1F0_TIMEOUT</x:v>
      </x:c>
      <x:c r="D107" s="144" t="str">
        <x:v>DTC=0xC19780; Priority=64; Aging=40; Confirm=1; FFmax=2</x:v>
      </x:c>
      <x:c r="E107" s="144" t="str">
        <x:v>OperationCycle=POWER; Storage=NONE; Enable=EC_Group_Network</x:v>
      </x:c>
      <x:c r="F107" s="144" t="str">
        <x:v>诊断权限不适用；事件可用性由 Enable/Storage Condition 控制</x:v>
      </x:c>
      <x:c r="G107" s="144" t="str">
        <x:v>DTC_ID=39 DTC_IPB_TIMEOUT; debounce=ARCTRBASECLASS/FREEZE; recoverable=是; primary=是; agingAllowed=是; initialUnavailable=否</x:v>
      </x:c>
      <x:c r="H10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7" s="144" t="str">
        <x:v>交付 Event→DTC→Debounce→Aging→Memory→NvM 的可编辑配置、回调清单与自动测试 ID；禁止用参考 ARXML/生成代码作为输入。</x:v>
      </x:c>
      <x:c r="J107" s="144" t="str">
        <x:v>逐项注入 FAILED/PASSED、确认阈值、老化40周期、掉电恢复、ClearDTC、满40 Entry、回调失败；0x19 结果与内部状态一致。</x:v>
      </x:c>
      <x:c r="K107" s="144" t="str">
        <x:v>coem/BYD_UKE/gen_bsw/Dem/Dem_Cfg_EventId.h:46; coem/BYD_UKE/gen_bsw/Dem/Dem_Cfg_Events_DataStructures.c:46; coem/BYD_UKE/gen_bsw/Dem/Dem_Cfg_Events_DataStructures.c:268; coem/BYD_UKE/gen_bsw/Dem/Dem_Cfg_DtcId.h:146</x:v>
      </x:c>
    </x:row>
    <x:row r="108" ht="68" customHeight="1">
      <x:c r="A108" s="144" t="str">
        <x:v>DemEvent</x:v>
      </x:c>
      <x:c r="B108" s="144" t="str">
        <x:v>EVT-021</x:v>
      </x:c>
      <x:c r="C108" s="144" t="str">
        <x:v>FAULT_IPB_0x220_ALC</x:v>
      </x:c>
      <x:c r="D108" s="144" t="str">
        <x:v>DTC=0x5C6302; Priority=64; Aging=40; Confirm=1; FFmax=2</x:v>
      </x:c>
      <x:c r="E108" s="144" t="str">
        <x:v>OperationCycle=POWER; Storage=NONE; Enable=EC_Group_Network</x:v>
      </x:c>
      <x:c r="F108" s="144" t="str">
        <x:v>诊断权限不适用；事件可用性由 Enable/Storage Condition 控制</x:v>
      </x:c>
      <x:c r="G108" s="144" t="str">
        <x:v>DTC_ID=2 DTC_IPB_ALC; debounce=ARCTRBASECLASS/FREEZE; recoverable=是; primary=是; agingAllowed=是; initialUnavailable=否</x:v>
      </x:c>
      <x:c r="H10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8" s="144" t="str">
        <x:v>交付 Event→DTC→Debounce→Aging→Memory→NvM 的可编辑配置、回调清单与自动测试 ID；禁止用参考 ARXML/生成代码作为输入。</x:v>
      </x:c>
      <x:c r="J108" s="144" t="str">
        <x:v>逐项注入 FAILED/PASSED、确认阈值、老化40周期、掉电恢复、ClearDTC、满40 Entry、回调失败；0x19 结果与内部状态一致。</x:v>
      </x:c>
      <x:c r="K108" s="144" t="str">
        <x:v>coem/BYD_UKE/gen_bsw/Dem/Dem_Cfg_EventId.h:47; coem/BYD_UKE/gen_bsw/Dem/Dem_Cfg_Events_DataStructures.c:47; coem/BYD_UKE/gen_bsw/Dem/Dem_Cfg_Events_DataStructures.c:269; coem/BYD_UKE/gen_bsw/Dem/Dem_Cfg_DtcId.h:147</x:v>
      </x:c>
    </x:row>
    <x:row r="109" ht="68" customHeight="1">
      <x:c r="A109" s="144" t="str">
        <x:v>DemEvent</x:v>
      </x:c>
      <x:c r="B109" s="144" t="str">
        <x:v>EVT-022</x:v>
      </x:c>
      <x:c r="C109" s="144" t="str">
        <x:v>FAULT_IPB_0x220_CRC</x:v>
      </x:c>
      <x:c r="D109" s="144" t="str">
        <x:v>DTC=0x5C6462; Priority=64; Aging=40; Confirm=1; FFmax=2</x:v>
      </x:c>
      <x:c r="E109" s="144" t="str">
        <x:v>OperationCycle=POWER; Storage=NONE; Enable=EC_Group_Network</x:v>
      </x:c>
      <x:c r="F109" s="144" t="str">
        <x:v>诊断权限不适用；事件可用性由 Enable/Storage Condition 控制</x:v>
      </x:c>
      <x:c r="G109" s="144" t="str">
        <x:v>DTC_ID=3 DTC_IPB_CRC; debounce=ARCTRBASECLASS/FREEZE; recoverable=是; primary=是; agingAllowed=是; initialUnavailable=否</x:v>
      </x:c>
      <x:c r="H10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9" s="144" t="str">
        <x:v>交付 Event→DTC→Debounce→Aging→Memory→NvM 的可编辑配置、回调清单与自动测试 ID；禁止用参考 ARXML/生成代码作为输入。</x:v>
      </x:c>
      <x:c r="J109" s="144" t="str">
        <x:v>逐项注入 FAILED/PASSED、确认阈值、老化40周期、掉电恢复、ClearDTC、满40 Entry、回调失败；0x19 结果与内部状态一致。</x:v>
      </x:c>
      <x:c r="K109" s="144" t="str">
        <x:v>coem/BYD_UKE/gen_bsw/Dem/Dem_Cfg_EventId.h:48; coem/BYD_UKE/gen_bsw/Dem/Dem_Cfg_Events_DataStructures.c:48; coem/BYD_UKE/gen_bsw/Dem/Dem_Cfg_Events_DataStructures.c:270; coem/BYD_UKE/gen_bsw/Dem/Dem_Cfg_DtcId.h:148</x:v>
      </x:c>
    </x:row>
    <x:row r="110" ht="68" customHeight="1">
      <x:c r="A110" s="144" t="str">
        <x:v>DemEvent</x:v>
      </x:c>
      <x:c r="B110" s="144" t="str">
        <x:v>EVT-023</x:v>
      </x:c>
      <x:c r="C110" s="144" t="str">
        <x:v>FAULT_IPB_0x220_TIMEOUT</x:v>
      </x:c>
      <x:c r="D110" s="144" t="str">
        <x:v>DTC=0xC19780; Priority=64; Aging=40; Confirm=1; FFmax=2</x:v>
      </x:c>
      <x:c r="E110" s="144" t="str">
        <x:v>OperationCycle=POWER; Storage=NONE; Enable=EC_Group_Network</x:v>
      </x:c>
      <x:c r="F110" s="144" t="str">
        <x:v>诊断权限不适用；事件可用性由 Enable/Storage Condition 控制</x:v>
      </x:c>
      <x:c r="G110" s="144" t="str">
        <x:v>DTC_ID=39 DTC_IPB_TIMEOUT; debounce=ARCTRBASECLASS/FREEZE; recoverable=是; primary=是; agingAllowed=是; initialUnavailable=否</x:v>
      </x:c>
      <x:c r="H11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0" s="144" t="str">
        <x:v>交付 Event→DTC→Debounce→Aging→Memory→NvM 的可编辑配置、回调清单与自动测试 ID；禁止用参考 ARXML/生成代码作为输入。</x:v>
      </x:c>
      <x:c r="J110" s="144" t="str">
        <x:v>逐项注入 FAILED/PASSED、确认阈值、老化40周期、掉电恢复、ClearDTC、满40 Entry、回调失败；0x19 结果与内部状态一致。</x:v>
      </x:c>
      <x:c r="K110" s="144" t="str">
        <x:v>coem/BYD_UKE/gen_bsw/Dem/Dem_Cfg_EventId.h:49; coem/BYD_UKE/gen_bsw/Dem/Dem_Cfg_Events_DataStructures.c:49; coem/BYD_UKE/gen_bsw/Dem/Dem_Cfg_Events_DataStructures.c:271; coem/BYD_UKE/gen_bsw/Dem/Dem_Cfg_DtcId.h:149</x:v>
      </x:c>
    </x:row>
    <x:row r="111" ht="68" customHeight="1">
      <x:c r="A111" s="144" t="str">
        <x:v>DemEvent</x:v>
      </x:c>
      <x:c r="B111" s="144" t="str">
        <x:v>EVT-024</x:v>
      </x:c>
      <x:c r="C111" s="144" t="str">
        <x:v>FAULT_IPB_0x222_ALC</x:v>
      </x:c>
      <x:c r="D111" s="144" t="str">
        <x:v>DTC=0x5C6302; Priority=64; Aging=40; Confirm=1; FFmax=2</x:v>
      </x:c>
      <x:c r="E111" s="144" t="str">
        <x:v>OperationCycle=POWER; Storage=NONE; Enable=EC_Group_Network</x:v>
      </x:c>
      <x:c r="F111" s="144" t="str">
        <x:v>诊断权限不适用；事件可用性由 Enable/Storage Condition 控制</x:v>
      </x:c>
      <x:c r="G111" s="144" t="str">
        <x:v>DTC_ID=2 DTC_IPB_ALC; debounce=ARCTRBASECLASS/FREEZE; recoverable=是; primary=是; agingAllowed=是; initialUnavailable=否</x:v>
      </x:c>
      <x:c r="H11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1" s="144" t="str">
        <x:v>交付 Event→DTC→Debounce→Aging→Memory→NvM 的可编辑配置、回调清单与自动测试 ID；禁止用参考 ARXML/生成代码作为输入。</x:v>
      </x:c>
      <x:c r="J111" s="144" t="str">
        <x:v>逐项注入 FAILED/PASSED、确认阈值、老化40周期、掉电恢复、ClearDTC、满40 Entry、回调失败；0x19 结果与内部状态一致。</x:v>
      </x:c>
      <x:c r="K111" s="144" t="str">
        <x:v>coem/BYD_UKE/gen_bsw/Dem/Dem_Cfg_EventId.h:50; coem/BYD_UKE/gen_bsw/Dem/Dem_Cfg_Events_DataStructures.c:50; coem/BYD_UKE/gen_bsw/Dem/Dem_Cfg_Events_DataStructures.c:272; coem/BYD_UKE/gen_bsw/Dem/Dem_Cfg_DtcId.h:150</x:v>
      </x:c>
    </x:row>
    <x:row r="112" ht="68" customHeight="1">
      <x:c r="A112" s="144" t="str">
        <x:v>DemEvent</x:v>
      </x:c>
      <x:c r="B112" s="144" t="str">
        <x:v>EVT-025</x:v>
      </x:c>
      <x:c r="C112" s="144" t="str">
        <x:v>FAULT_IPB_0x222_CRC</x:v>
      </x:c>
      <x:c r="D112" s="144" t="str">
        <x:v>DTC=0x5C6462; Priority=64; Aging=40; Confirm=1; FFmax=2</x:v>
      </x:c>
      <x:c r="E112" s="144" t="str">
        <x:v>OperationCycle=POWER; Storage=NONE; Enable=EC_Group_Network</x:v>
      </x:c>
      <x:c r="F112" s="144" t="str">
        <x:v>诊断权限不适用；事件可用性由 Enable/Storage Condition 控制</x:v>
      </x:c>
      <x:c r="G112" s="144" t="str">
        <x:v>DTC_ID=3 DTC_IPB_CRC; debounce=ARCTRBASECLASS/FREEZE; recoverable=是; primary=是; agingAllowed=是; initialUnavailable=否</x:v>
      </x:c>
      <x:c r="H11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2" s="144" t="str">
        <x:v>交付 Event→DTC→Debounce→Aging→Memory→NvM 的可编辑配置、回调清单与自动测试 ID；禁止用参考 ARXML/生成代码作为输入。</x:v>
      </x:c>
      <x:c r="J112" s="144" t="str">
        <x:v>逐项注入 FAILED/PASSED、确认阈值、老化40周期、掉电恢复、ClearDTC、满40 Entry、回调失败；0x19 结果与内部状态一致。</x:v>
      </x:c>
      <x:c r="K112" s="144" t="str">
        <x:v>coem/BYD_UKE/gen_bsw/Dem/Dem_Cfg_EventId.h:51; coem/BYD_UKE/gen_bsw/Dem/Dem_Cfg_Events_DataStructures.c:51; coem/BYD_UKE/gen_bsw/Dem/Dem_Cfg_Events_DataStructures.c:273; coem/BYD_UKE/gen_bsw/Dem/Dem_Cfg_DtcId.h:151</x:v>
      </x:c>
    </x:row>
    <x:row r="113" ht="68" customHeight="1">
      <x:c r="A113" s="144" t="str">
        <x:v>DemEvent</x:v>
      </x:c>
      <x:c r="B113" s="144" t="str">
        <x:v>EVT-026</x:v>
      </x:c>
      <x:c r="C113" s="144" t="str">
        <x:v>FAULT_IPB_0x222_TIMEOUT</x:v>
      </x:c>
      <x:c r="D113" s="144" t="str">
        <x:v>DTC=0xC19780; Priority=64; Aging=40; Confirm=1; FFmax=2</x:v>
      </x:c>
      <x:c r="E113" s="144" t="str">
        <x:v>OperationCycle=POWER; Storage=NONE; Enable=EC_Group_Network</x:v>
      </x:c>
      <x:c r="F113" s="144" t="str">
        <x:v>诊断权限不适用；事件可用性由 Enable/Storage Condition 控制</x:v>
      </x:c>
      <x:c r="G113" s="144" t="str">
        <x:v>DTC_ID=39 DTC_IPB_TIMEOUT; debounce=ARCTRBASECLASS/FREEZE; recoverable=是; primary=是; agingAllowed=是; initialUnavailable=否</x:v>
      </x:c>
      <x:c r="H11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3" s="144" t="str">
        <x:v>交付 Event→DTC→Debounce→Aging→Memory→NvM 的可编辑配置、回调清单与自动测试 ID；禁止用参考 ARXML/生成代码作为输入。</x:v>
      </x:c>
      <x:c r="J113" s="144" t="str">
        <x:v>逐项注入 FAILED/PASSED、确认阈值、老化40周期、掉电恢复、ClearDTC、满40 Entry、回调失败；0x19 结果与内部状态一致。</x:v>
      </x:c>
      <x:c r="K113" s="144" t="str">
        <x:v>coem/BYD_UKE/gen_bsw/Dem/Dem_Cfg_EventId.h:52; coem/BYD_UKE/gen_bsw/Dem/Dem_Cfg_Events_DataStructures.c:52; coem/BYD_UKE/gen_bsw/Dem/Dem_Cfg_Events_DataStructures.c:274; coem/BYD_UKE/gen_bsw/Dem/Dem_Cfg_DtcId.h:152</x:v>
      </x:c>
    </x:row>
    <x:row r="114" ht="68" customHeight="1">
      <x:c r="A114" s="144" t="str">
        <x:v>DemEvent</x:v>
      </x:c>
      <x:c r="B114" s="144" t="str">
        <x:v>EVT-027</x:v>
      </x:c>
      <x:c r="C114" s="144" t="str">
        <x:v>FAULT_IPB_0x223_ALC</x:v>
      </x:c>
      <x:c r="D114" s="144" t="str">
        <x:v>DTC=0x5C6302; Priority=64; Aging=40; Confirm=1; FFmax=2</x:v>
      </x:c>
      <x:c r="E114" s="144" t="str">
        <x:v>OperationCycle=POWER; Storage=NONE; Enable=EC_Group_Network</x:v>
      </x:c>
      <x:c r="F114" s="144" t="str">
        <x:v>诊断权限不适用；事件可用性由 Enable/Storage Condition 控制</x:v>
      </x:c>
      <x:c r="G114" s="144" t="str">
        <x:v>DTC_ID=2 DTC_IPB_ALC; debounce=ARCTRBASECLASS/FREEZE; recoverable=是; primary=是; agingAllowed=是; initialUnavailable=否</x:v>
      </x:c>
      <x:c r="H11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4" s="144" t="str">
        <x:v>交付 Event→DTC→Debounce→Aging→Memory→NvM 的可编辑配置、回调清单与自动测试 ID；禁止用参考 ARXML/生成代码作为输入。</x:v>
      </x:c>
      <x:c r="J114" s="144" t="str">
        <x:v>逐项注入 FAILED/PASSED、确认阈值、老化40周期、掉电恢复、ClearDTC、满40 Entry、回调失败；0x19 结果与内部状态一致。</x:v>
      </x:c>
      <x:c r="K114" s="144" t="str">
        <x:v>coem/BYD_UKE/gen_bsw/Dem/Dem_Cfg_EventId.h:53; coem/BYD_UKE/gen_bsw/Dem/Dem_Cfg_Events_DataStructures.c:53; coem/BYD_UKE/gen_bsw/Dem/Dem_Cfg_Events_DataStructures.c:275; coem/BYD_UKE/gen_bsw/Dem/Dem_Cfg_DtcId.h:153</x:v>
      </x:c>
    </x:row>
    <x:row r="115" ht="68" customHeight="1">
      <x:c r="A115" s="144" t="str">
        <x:v>DemEvent</x:v>
      </x:c>
      <x:c r="B115" s="144" t="str">
        <x:v>EVT-028</x:v>
      </x:c>
      <x:c r="C115" s="144" t="str">
        <x:v>FAULT_IPB_0x223_CRC</x:v>
      </x:c>
      <x:c r="D115" s="144" t="str">
        <x:v>DTC=0x5C6462; Priority=64; Aging=40; Confirm=1; FFmax=2</x:v>
      </x:c>
      <x:c r="E115" s="144" t="str">
        <x:v>OperationCycle=POWER; Storage=NONE; Enable=EC_Group_Network</x:v>
      </x:c>
      <x:c r="F115" s="144" t="str">
        <x:v>诊断权限不适用；事件可用性由 Enable/Storage Condition 控制</x:v>
      </x:c>
      <x:c r="G115" s="144" t="str">
        <x:v>DTC_ID=3 DTC_IPB_CRC; debounce=ARCTRBASECLASS/FREEZE; recoverable=是; primary=是; agingAllowed=是; initialUnavailable=否</x:v>
      </x:c>
      <x:c r="H11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5" s="144" t="str">
        <x:v>交付 Event→DTC→Debounce→Aging→Memory→NvM 的可编辑配置、回调清单与自动测试 ID；禁止用参考 ARXML/生成代码作为输入。</x:v>
      </x:c>
      <x:c r="J115" s="144" t="str">
        <x:v>逐项注入 FAILED/PASSED、确认阈值、老化40周期、掉电恢复、ClearDTC、满40 Entry、回调失败；0x19 结果与内部状态一致。</x:v>
      </x:c>
      <x:c r="K115" s="144" t="str">
        <x:v>coem/BYD_UKE/gen_bsw/Dem/Dem_Cfg_EventId.h:54; coem/BYD_UKE/gen_bsw/Dem/Dem_Cfg_Events_DataStructures.c:54; coem/BYD_UKE/gen_bsw/Dem/Dem_Cfg_Events_DataStructures.c:276; coem/BYD_UKE/gen_bsw/Dem/Dem_Cfg_DtcId.h:154</x:v>
      </x:c>
    </x:row>
    <x:row r="116" ht="68" customHeight="1">
      <x:c r="A116" s="144" t="str">
        <x:v>DemEvent</x:v>
      </x:c>
      <x:c r="B116" s="144" t="str">
        <x:v>EVT-029</x:v>
      </x:c>
      <x:c r="C116" s="144" t="str">
        <x:v>FAULT_IPB_0x223_TIMEOUT</x:v>
      </x:c>
      <x:c r="D116" s="144" t="str">
        <x:v>DTC=0xC19780; Priority=64; Aging=40; Confirm=1; FFmax=2</x:v>
      </x:c>
      <x:c r="E116" s="144" t="str">
        <x:v>OperationCycle=POWER; Storage=NONE; Enable=EC_Group_Network</x:v>
      </x:c>
      <x:c r="F116" s="144" t="str">
        <x:v>诊断权限不适用；事件可用性由 Enable/Storage Condition 控制</x:v>
      </x:c>
      <x:c r="G116" s="144" t="str">
        <x:v>DTC_ID=39 DTC_IPB_TIMEOUT; debounce=ARCTRBASECLASS/FREEZE; recoverable=是; primary=是; agingAllowed=是; initialUnavailable=否</x:v>
      </x:c>
      <x:c r="H11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6" s="144" t="str">
        <x:v>交付 Event→DTC→Debounce→Aging→Memory→NvM 的可编辑配置、回调清单与自动测试 ID；禁止用参考 ARXML/生成代码作为输入。</x:v>
      </x:c>
      <x:c r="J116" s="144" t="str">
        <x:v>逐项注入 FAILED/PASSED、确认阈值、老化40周期、掉电恢复、ClearDTC、满40 Entry、回调失败；0x19 结果与内部状态一致。</x:v>
      </x:c>
      <x:c r="K116" s="144" t="str">
        <x:v>coem/BYD_UKE/gen_bsw/Dem/Dem_Cfg_EventId.h:55; coem/BYD_UKE/gen_bsw/Dem/Dem_Cfg_Events_DataStructures.c:55; coem/BYD_UKE/gen_bsw/Dem/Dem_Cfg_Events_DataStructures.c:277; coem/BYD_UKE/gen_bsw/Dem/Dem_Cfg_DtcId.h:155</x:v>
      </x:c>
    </x:row>
    <x:row r="117" ht="68" customHeight="1">
      <x:c r="A117" s="144" t="str">
        <x:v>DemEvent</x:v>
      </x:c>
      <x:c r="B117" s="144" t="str">
        <x:v>EVT-030</x:v>
      </x:c>
      <x:c r="C117" s="144" t="str">
        <x:v>FAULT_IPB_BrkPedl_INVALID</x:v>
      </x:c>
      <x:c r="D117" s="144" t="str">
        <x:v>DTC=0x5C6286; Priority=64; Aging=40; Confirm=1; FFmax=2</x:v>
      </x:c>
      <x:c r="E117" s="144" t="str">
        <x:v>OperationCycle=POWER; Storage=NONE; Enable=EC_Group_Network</x:v>
      </x:c>
      <x:c r="F117" s="144" t="str">
        <x:v>诊断权限不适用；事件可用性由 Enable/Storage Condition 控制</x:v>
      </x:c>
      <x:c r="G117" s="144" t="str">
        <x:v>DTC_ID=1 DTC_IPB_SIGNAL_INVALID; debounce=ARCTRBASECLASS/FREEZE; recoverable=是; primary=是; agingAllowed=是; initialUnavailable=否</x:v>
      </x:c>
      <x:c r="H11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7" s="144" t="str">
        <x:v>交付 Event→DTC→Debounce→Aging→Memory→NvM 的可编辑配置、回调清单与自动测试 ID；禁止用参考 ARXML/生成代码作为输入。</x:v>
      </x:c>
      <x:c r="J117" s="144" t="str">
        <x:v>逐项注入 FAILED/PASSED、确认阈值、老化40周期、掉电恢复、ClearDTC、满40 Entry、回调失败；0x19 结果与内部状态一致。</x:v>
      </x:c>
      <x:c r="K117" s="144" t="str">
        <x:v>coem/BYD_UKE/gen_bsw/Dem/Dem_Cfg_EventId.h:56; coem/BYD_UKE/gen_bsw/Dem/Dem_Cfg_Events_DataStructures.c:56; coem/BYD_UKE/gen_bsw/Dem/Dem_Cfg_Events_DataStructures.c:278; coem/BYD_UKE/gen_bsw/Dem/Dem_Cfg_DtcId.h:156</x:v>
      </x:c>
    </x:row>
    <x:row r="118" ht="68" customHeight="1">
      <x:c r="A118" s="144" t="str">
        <x:v>DemEvent</x:v>
      </x:c>
      <x:c r="B118" s="144" t="str">
        <x:v>EVT-031</x:v>
      </x:c>
      <x:c r="C118" s="144" t="str">
        <x:v>FAULT_IPB_FltIndcn_ABS_INVALID</x:v>
      </x:c>
      <x:c r="D118" s="144" t="str">
        <x:v>DTC=0x5C6286; Priority=64; Aging=40; Confirm=1; FFmax=2</x:v>
      </x:c>
      <x:c r="E118" s="144" t="str">
        <x:v>OperationCycle=POWER; Storage=NONE; Enable=EC_Group_Network</x:v>
      </x:c>
      <x:c r="F118" s="144" t="str">
        <x:v>诊断权限不适用；事件可用性由 Enable/Storage Condition 控制</x:v>
      </x:c>
      <x:c r="G118" s="144" t="str">
        <x:v>DTC_ID=1 DTC_IPB_SIGNAL_INVALID; debounce=ARCTRBASECLASS/FREEZE; recoverable=是; primary=是; agingAllowed=是; initialUnavailable=否</x:v>
      </x:c>
      <x:c r="H11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8" s="144" t="str">
        <x:v>交付 Event→DTC→Debounce→Aging→Memory→NvM 的可编辑配置、回调清单与自动测试 ID；禁止用参考 ARXML/生成代码作为输入。</x:v>
      </x:c>
      <x:c r="J118" s="144" t="str">
        <x:v>逐项注入 FAILED/PASSED、确认阈值、老化40周期、掉电恢复、ClearDTC、满40 Entry、回调失败；0x19 结果与内部状态一致。</x:v>
      </x:c>
      <x:c r="K118" s="144" t="str">
        <x:v>coem/BYD_UKE/gen_bsw/Dem/Dem_Cfg_EventId.h:57; coem/BYD_UKE/gen_bsw/Dem/Dem_Cfg_Events_DataStructures.c:57; coem/BYD_UKE/gen_bsw/Dem/Dem_Cfg_Events_DataStructures.c:279; coem/BYD_UKE/gen_bsw/Dem/Dem_Cfg_DtcId.h:157</x:v>
      </x:c>
    </x:row>
    <x:row r="119" ht="68" customHeight="1">
      <x:c r="A119" s="144" t="str">
        <x:v>DemEvent</x:v>
      </x:c>
      <x:c r="B119" s="144" t="str">
        <x:v>EVT-032</x:v>
      </x:c>
      <x:c r="C119" s="144" t="str">
        <x:v>FAULT_IPB_FltIndcn_INVALID</x:v>
      </x:c>
      <x:c r="D119" s="144" t="str">
        <x:v>DTC=0x5C6286; Priority=64; Aging=40; Confirm=1; FFmax=2</x:v>
      </x:c>
      <x:c r="E119" s="144" t="str">
        <x:v>OperationCycle=POWER; Storage=NONE; Enable=EC_Group_Network</x:v>
      </x:c>
      <x:c r="F119" s="144" t="str">
        <x:v>诊断权限不适用；事件可用性由 Enable/Storage Condition 控制</x:v>
      </x:c>
      <x:c r="G119" s="144" t="str">
        <x:v>DTC_ID=1 DTC_IPB_SIGNAL_INVALID; debounce=ARCTRBASECLASS/FREEZE; recoverable=是; primary=是; agingAllowed=是; initialUnavailable=否</x:v>
      </x:c>
      <x:c r="H11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9" s="144" t="str">
        <x:v>交付 Event→DTC→Debounce→Aging→Memory→NvM 的可编辑配置、回调清单与自动测试 ID；禁止用参考 ARXML/生成代码作为输入。</x:v>
      </x:c>
      <x:c r="J119" s="144" t="str">
        <x:v>逐项注入 FAILED/PASSED、确认阈值、老化40周期、掉电恢复、ClearDTC、满40 Entry、回调失败；0x19 结果与内部状态一致。</x:v>
      </x:c>
      <x:c r="K119" s="144" t="str">
        <x:v>coem/BYD_UKE/gen_bsw/Dem/Dem_Cfg_EventId.h:58; coem/BYD_UKE/gen_bsw/Dem/Dem_Cfg_Events_DataStructures.c:58; coem/BYD_UKE/gen_bsw/Dem/Dem_Cfg_Events_DataStructures.c:280; coem/BYD_UKE/gen_bsw/Dem/Dem_Cfg_DtcId.h:158</x:v>
      </x:c>
    </x:row>
    <x:row r="120" ht="68" customHeight="1">
      <x:c r="A120" s="144" t="str">
        <x:v>DemEvent</x:v>
      </x:c>
      <x:c r="B120" s="144" t="str">
        <x:v>EVT-033</x:v>
      </x:c>
      <x:c r="C120" s="144" t="str">
        <x:v>FAULT_IPB_FltIndcn_TCS_INVALID</x:v>
      </x:c>
      <x:c r="D120" s="144" t="str">
        <x:v>DTC=0x5C6286; Priority=64; Aging=40; Confirm=1; FFmax=2</x:v>
      </x:c>
      <x:c r="E120" s="144" t="str">
        <x:v>OperationCycle=POWER; Storage=NONE; Enable=EC_Group_Network</x:v>
      </x:c>
      <x:c r="F120" s="144" t="str">
        <x:v>诊断权限不适用；事件可用性由 Enable/Storage Condition 控制</x:v>
      </x:c>
      <x:c r="G120" s="144" t="str">
        <x:v>DTC_ID=1 DTC_IPB_SIGNAL_INVALID; debounce=ARCTRBASECLASS/FREEZE; recoverable=是; primary=是; agingAllowed=是; initialUnavailable=否</x:v>
      </x:c>
      <x:c r="H12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0" s="144" t="str">
        <x:v>交付 Event→DTC→Debounce→Aging→Memory→NvM 的可编辑配置、回调清单与自动测试 ID；禁止用参考 ARXML/生成代码作为输入。</x:v>
      </x:c>
      <x:c r="J120" s="144" t="str">
        <x:v>逐项注入 FAILED/PASSED、确认阈值、老化40周期、掉电恢复、ClearDTC、满40 Entry、回调失败；0x19 结果与内部状态一致。</x:v>
      </x:c>
      <x:c r="K120" s="144" t="str">
        <x:v>coem/BYD_UKE/gen_bsw/Dem/Dem_Cfg_EventId.h:59; coem/BYD_UKE/gen_bsw/Dem/Dem_Cfg_Events_DataStructures.c:59; coem/BYD_UKE/gen_bsw/Dem/Dem_Cfg_Events_DataStructures.c:281; coem/BYD_UKE/gen_bsw/Dem/Dem_Cfg_DtcId.h:159</x:v>
      </x:c>
    </x:row>
    <x:row r="121" ht="68" customHeight="1">
      <x:c r="A121" s="144" t="str">
        <x:v>DemEvent</x:v>
      </x:c>
      <x:c r="B121" s="144" t="str">
        <x:v>EVT-034</x:v>
      </x:c>
      <x:c r="C121" s="144" t="str">
        <x:v>FAULT_IPB_LatAcce_INVALID</x:v>
      </x:c>
      <x:c r="D121" s="144" t="str">
        <x:v>DTC=0x5C6286; Priority=64; Aging=40; Confirm=1; FFmax=2</x:v>
      </x:c>
      <x:c r="E121" s="144" t="str">
        <x:v>OperationCycle=POWER; Storage=NONE; Enable=EC_Group_Network</x:v>
      </x:c>
      <x:c r="F121" s="144" t="str">
        <x:v>诊断权限不适用；事件可用性由 Enable/Storage Condition 控制</x:v>
      </x:c>
      <x:c r="G121" s="144" t="str">
        <x:v>DTC_ID=1 DTC_IPB_SIGNAL_INVALID; debounce=ARCTRBASECLASS/FREEZE; recoverable=是; primary=是; agingAllowed=是; initialUnavailable=否</x:v>
      </x:c>
      <x:c r="H12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1" s="144" t="str">
        <x:v>交付 Event→DTC→Debounce→Aging→Memory→NvM 的可编辑配置、回调清单与自动测试 ID；禁止用参考 ARXML/生成代码作为输入。</x:v>
      </x:c>
      <x:c r="J121" s="144" t="str">
        <x:v>逐项注入 FAILED/PASSED、确认阈值、老化40周期、掉电恢复、ClearDTC、满40 Entry、回调失败；0x19 结果与内部状态一致。</x:v>
      </x:c>
      <x:c r="K121" s="144" t="str">
        <x:v>coem/BYD_UKE/gen_bsw/Dem/Dem_Cfg_EventId.h:60; coem/BYD_UKE/gen_bsw/Dem/Dem_Cfg_Events_DataStructures.c:60; coem/BYD_UKE/gen_bsw/Dem/Dem_Cfg_Events_DataStructures.c:282; coem/BYD_UKE/gen_bsw/Dem/Dem_Cfg_DtcId.h:160</x:v>
      </x:c>
    </x:row>
    <x:row r="122" ht="68" customHeight="1">
      <x:c r="A122" s="144" t="str">
        <x:v>DemEvent</x:v>
      </x:c>
      <x:c r="B122" s="144" t="str">
        <x:v>EVT-035</x:v>
      </x:c>
      <x:c r="C122" s="144" t="str">
        <x:v>FAULT_IPB_LgtAcce_INVALID</x:v>
      </x:c>
      <x:c r="D122" s="144" t="str">
        <x:v>DTC=0x5C6286; Priority=64; Aging=40; Confirm=1; FFmax=2</x:v>
      </x:c>
      <x:c r="E122" s="144" t="str">
        <x:v>OperationCycle=POWER; Storage=NONE; Enable=EC_Group_Network</x:v>
      </x:c>
      <x:c r="F122" s="144" t="str">
        <x:v>诊断权限不适用；事件可用性由 Enable/Storage Condition 控制</x:v>
      </x:c>
      <x:c r="G122" s="144" t="str">
        <x:v>DTC_ID=1 DTC_IPB_SIGNAL_INVALID; debounce=ARCTRBASECLASS/FREEZE; recoverable=是; primary=是; agingAllowed=是; initialUnavailable=否</x:v>
      </x:c>
      <x:c r="H12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2" s="144" t="str">
        <x:v>交付 Event→DTC→Debounce→Aging→Memory→NvM 的可编辑配置、回调清单与自动测试 ID；禁止用参考 ARXML/生成代码作为输入。</x:v>
      </x:c>
      <x:c r="J122" s="144" t="str">
        <x:v>逐项注入 FAILED/PASSED、确认阈值、老化40周期、掉电恢复、ClearDTC、满40 Entry、回调失败；0x19 结果与内部状态一致。</x:v>
      </x:c>
      <x:c r="K122" s="144" t="str">
        <x:v>coem/BYD_UKE/gen_bsw/Dem/Dem_Cfg_EventId.h:61; coem/BYD_UKE/gen_bsw/Dem/Dem_Cfg_Events_DataStructures.c:61; coem/BYD_UKE/gen_bsw/Dem/Dem_Cfg_Events_DataStructures.c:283; coem/BYD_UKE/gen_bsw/Dem/Dem_Cfg_DtcId.h:161</x:v>
      </x:c>
    </x:row>
    <x:row r="123" ht="68" customHeight="1">
      <x:c r="A123" s="144" t="str">
        <x:v>DemEvent</x:v>
      </x:c>
      <x:c r="B123" s="144" t="str">
        <x:v>EVT-036</x:v>
      </x:c>
      <x:c r="C123" s="144" t="str">
        <x:v>FAULT_IPB_VehSpd_INVALID</x:v>
      </x:c>
      <x:c r="D123" s="144" t="str">
        <x:v>DTC=0x5C6286; Priority=64; Aging=40; Confirm=1; FFmax=2</x:v>
      </x:c>
      <x:c r="E123" s="144" t="str">
        <x:v>OperationCycle=POWER; Storage=NONE; Enable=EC_Group_Network</x:v>
      </x:c>
      <x:c r="F123" s="144" t="str">
        <x:v>诊断权限不适用；事件可用性由 Enable/Storage Condition 控制</x:v>
      </x:c>
      <x:c r="G123" s="144" t="str">
        <x:v>DTC_ID=1 DTC_IPB_SIGNAL_INVALID; debounce=ARCTRBASECLASS/FREEZE; recoverable=是; primary=是; agingAllowed=是; initialUnavailable=否</x:v>
      </x:c>
      <x:c r="H12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3" s="144" t="str">
        <x:v>交付 Event→DTC→Debounce→Aging→Memory→NvM 的可编辑配置、回调清单与自动测试 ID；禁止用参考 ARXML/生成代码作为输入。</x:v>
      </x:c>
      <x:c r="J123" s="144" t="str">
        <x:v>逐项注入 FAILED/PASSED、确认阈值、老化40周期、掉电恢复、ClearDTC、满40 Entry、回调失败；0x19 结果与内部状态一致。</x:v>
      </x:c>
      <x:c r="K123" s="144" t="str">
        <x:v>coem/BYD_UKE/gen_bsw/Dem/Dem_Cfg_EventId.h:62; coem/BYD_UKE/gen_bsw/Dem/Dem_Cfg_Events_DataStructures.c:62; coem/BYD_UKE/gen_bsw/Dem/Dem_Cfg_Events_DataStructures.c:284; coem/BYD_UKE/gen_bsw/Dem/Dem_Cfg_DtcId.h:162</x:v>
      </x:c>
    </x:row>
    <x:row r="124" ht="68" customHeight="1">
      <x:c r="A124" s="144" t="str">
        <x:v>DemEvent</x:v>
      </x:c>
      <x:c r="B124" s="144" t="str">
        <x:v>EVT-037</x:v>
      </x:c>
      <x:c r="C124" s="144" t="str">
        <x:v>FAULT_IPB_VehStandstillIndcn_INVALID</x:v>
      </x:c>
      <x:c r="D124" s="144" t="str">
        <x:v>DTC=0x5C6286; Priority=64; Aging=40; Confirm=1; FFmax=2</x:v>
      </x:c>
      <x:c r="E124" s="144" t="str">
        <x:v>OperationCycle=POWER; Storage=NONE; Enable=EC_Group_Network</x:v>
      </x:c>
      <x:c r="F124" s="144" t="str">
        <x:v>诊断权限不适用；事件可用性由 Enable/Storage Condition 控制</x:v>
      </x:c>
      <x:c r="G124" s="144" t="str">
        <x:v>DTC_ID=1 DTC_IPB_SIGNAL_INVALID; debounce=ARCTRBASECLASS/FREEZE; recoverable=是; primary=是; agingAllowed=是; initialUnavailable=否</x:v>
      </x:c>
      <x:c r="H12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4" s="144" t="str">
        <x:v>交付 Event→DTC→Debounce→Aging→Memory→NvM 的可编辑配置、回调清单与自动测试 ID；禁止用参考 ARXML/生成代码作为输入。</x:v>
      </x:c>
      <x:c r="J124" s="144" t="str">
        <x:v>逐项注入 FAILED/PASSED、确认阈值、老化40周期、掉电恢复、ClearDTC、满40 Entry、回调失败；0x19 结果与内部状态一致。</x:v>
      </x:c>
      <x:c r="K124" s="144" t="str">
        <x:v>coem/BYD_UKE/gen_bsw/Dem/Dem_Cfg_EventId.h:63; coem/BYD_UKE/gen_bsw/Dem/Dem_Cfg_Events_DataStructures.c:63; coem/BYD_UKE/gen_bsw/Dem/Dem_Cfg_Events_DataStructures.c:285; coem/BYD_UKE/gen_bsw/Dem/Dem_Cfg_DtcId.h:163</x:v>
      </x:c>
    </x:row>
    <x:row r="125" ht="68" customHeight="1">
      <x:c r="A125" s="144" t="str">
        <x:v>DemEvent</x:v>
      </x:c>
      <x:c r="B125" s="144" t="str">
        <x:v>EVT-038</x:v>
      </x:c>
      <x:c r="C125" s="144" t="str">
        <x:v>FAULT_IPB_WhlMovgDir_FL_INVALID</x:v>
      </x:c>
      <x:c r="D125" s="144" t="str">
        <x:v>DTC=0x5C6286; Priority=64; Aging=40; Confirm=1; FFmax=2</x:v>
      </x:c>
      <x:c r="E125" s="144" t="str">
        <x:v>OperationCycle=POWER; Storage=NONE; Enable=EC_Group_Network</x:v>
      </x:c>
      <x:c r="F125" s="144" t="str">
        <x:v>诊断权限不适用；事件可用性由 Enable/Storage Condition 控制</x:v>
      </x:c>
      <x:c r="G125" s="144" t="str">
        <x:v>DTC_ID=1 DTC_IPB_SIGNAL_INVALID; debounce=ARCTRBASECLASS/FREEZE; recoverable=是; primary=是; agingAllowed=是; initialUnavailable=否</x:v>
      </x:c>
      <x:c r="H12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5" s="144" t="str">
        <x:v>交付 Event→DTC→Debounce→Aging→Memory→NvM 的可编辑配置、回调清单与自动测试 ID；禁止用参考 ARXML/生成代码作为输入。</x:v>
      </x:c>
      <x:c r="J125" s="144" t="str">
        <x:v>逐项注入 FAILED/PASSED、确认阈值、老化40周期、掉电恢复、ClearDTC、满40 Entry、回调失败；0x19 结果与内部状态一致。</x:v>
      </x:c>
      <x:c r="K125" s="144" t="str">
        <x:v>coem/BYD_UKE/gen_bsw/Dem/Dem_Cfg_EventId.h:64; coem/BYD_UKE/gen_bsw/Dem/Dem_Cfg_Events_DataStructures.c:64; coem/BYD_UKE/gen_bsw/Dem/Dem_Cfg_Events_DataStructures.c:286; coem/BYD_UKE/gen_bsw/Dem/Dem_Cfg_DtcId.h:164</x:v>
      </x:c>
    </x:row>
    <x:row r="126" ht="68" customHeight="1">
      <x:c r="A126" s="144" t="str">
        <x:v>DemEvent</x:v>
      </x:c>
      <x:c r="B126" s="144" t="str">
        <x:v>EVT-039</x:v>
      </x:c>
      <x:c r="C126" s="144" t="str">
        <x:v>FAULT_IPB_WhlMovgDir_RF_INVALID</x:v>
      </x:c>
      <x:c r="D126" s="144" t="str">
        <x:v>DTC=0x5C6286; Priority=64; Aging=40; Confirm=1; FFmax=2</x:v>
      </x:c>
      <x:c r="E126" s="144" t="str">
        <x:v>OperationCycle=POWER; Storage=NONE; Enable=EC_Group_Network</x:v>
      </x:c>
      <x:c r="F126" s="144" t="str">
        <x:v>诊断权限不适用；事件可用性由 Enable/Storage Condition 控制</x:v>
      </x:c>
      <x:c r="G126" s="144" t="str">
        <x:v>DTC_ID=1 DTC_IPB_SIGNAL_INVALID; debounce=ARCTRBASECLASS/FREEZE; recoverable=是; primary=是; agingAllowed=是; initialUnavailable=否</x:v>
      </x:c>
      <x:c r="H12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6" s="144" t="str">
        <x:v>交付 Event→DTC→Debounce→Aging→Memory→NvM 的可编辑配置、回调清单与自动测试 ID；禁止用参考 ARXML/生成代码作为输入。</x:v>
      </x:c>
      <x:c r="J126" s="144" t="str">
        <x:v>逐项注入 FAILED/PASSED、确认阈值、老化40周期、掉电恢复、ClearDTC、满40 Entry、回调失败；0x19 结果与内部状态一致。</x:v>
      </x:c>
      <x:c r="K126" s="144" t="str">
        <x:v>coem/BYD_UKE/gen_bsw/Dem/Dem_Cfg_EventId.h:65; coem/BYD_UKE/gen_bsw/Dem/Dem_Cfg_Events_DataStructures.c:65; coem/BYD_UKE/gen_bsw/Dem/Dem_Cfg_Events_DataStructures.c:287; coem/BYD_UKE/gen_bsw/Dem/Dem_Cfg_DtcId.h:165</x:v>
      </x:c>
    </x:row>
    <x:row r="127" ht="68" customHeight="1">
      <x:c r="A127" s="144" t="str">
        <x:v>DemEvent</x:v>
      </x:c>
      <x:c r="B127" s="144" t="str">
        <x:v>EVT-040</x:v>
      </x:c>
      <x:c r="C127" s="144" t="str">
        <x:v>FAULT_IPB_WhlMovgDir_RL_INVALID</x:v>
      </x:c>
      <x:c r="D127" s="144" t="str">
        <x:v>DTC=0x5C6286; Priority=64; Aging=40; Confirm=1; FFmax=2</x:v>
      </x:c>
      <x:c r="E127" s="144" t="str">
        <x:v>OperationCycle=POWER; Storage=NONE; Enable=EC_Group_Network</x:v>
      </x:c>
      <x:c r="F127" s="144" t="str">
        <x:v>诊断权限不适用；事件可用性由 Enable/Storage Condition 控制</x:v>
      </x:c>
      <x:c r="G127" s="144" t="str">
        <x:v>DTC_ID=1 DTC_IPB_SIGNAL_INVALID; debounce=ARCTRBASECLASS/FREEZE; recoverable=是; primary=是; agingAllowed=是; initialUnavailable=否</x:v>
      </x:c>
      <x:c r="H12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7" s="144" t="str">
        <x:v>交付 Event→DTC→Debounce→Aging→Memory→NvM 的可编辑配置、回调清单与自动测试 ID；禁止用参考 ARXML/生成代码作为输入。</x:v>
      </x:c>
      <x:c r="J127" s="144" t="str">
        <x:v>逐项注入 FAILED/PASSED、确认阈值、老化40周期、掉电恢复、ClearDTC、满40 Entry、回调失败；0x19 结果与内部状态一致。</x:v>
      </x:c>
      <x:c r="K127" s="144" t="str">
        <x:v>coem/BYD_UKE/gen_bsw/Dem/Dem_Cfg_EventId.h:66; coem/BYD_UKE/gen_bsw/Dem/Dem_Cfg_Events_DataStructures.c:66; coem/BYD_UKE/gen_bsw/Dem/Dem_Cfg_Events_DataStructures.c:288; coem/BYD_UKE/gen_bsw/Dem/Dem_Cfg_DtcId.h:166</x:v>
      </x:c>
    </x:row>
    <x:row r="128" ht="68" customHeight="1">
      <x:c r="A128" s="144" t="str">
        <x:v>DemEvent</x:v>
      </x:c>
      <x:c r="B128" s="144" t="str">
        <x:v>EVT-041</x:v>
      </x:c>
      <x:c r="C128" s="144" t="str">
        <x:v>FAULT_IPB_WhlMovgDir_RR_INVALID</x:v>
      </x:c>
      <x:c r="D128" s="144" t="str">
        <x:v>DTC=0x5C6286; Priority=64; Aging=40; Confirm=1; FFmax=2</x:v>
      </x:c>
      <x:c r="E128" s="144" t="str">
        <x:v>OperationCycle=POWER; Storage=NONE; Enable=EC_Group_Network</x:v>
      </x:c>
      <x:c r="F128" s="144" t="str">
        <x:v>诊断权限不适用；事件可用性由 Enable/Storage Condition 控制</x:v>
      </x:c>
      <x:c r="G128" s="144" t="str">
        <x:v>DTC_ID=1 DTC_IPB_SIGNAL_INVALID; debounce=ARCTRBASECLASS/FREEZE; recoverable=是; primary=是; agingAllowed=是; initialUnavailable=否</x:v>
      </x:c>
      <x:c r="H12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8" s="144" t="str">
        <x:v>交付 Event→DTC→Debounce→Aging→Memory→NvM 的可编辑配置、回调清单与自动测试 ID；禁止用参考 ARXML/生成代码作为输入。</x:v>
      </x:c>
      <x:c r="J128" s="144" t="str">
        <x:v>逐项注入 FAILED/PASSED、确认阈值、老化40周期、掉电恢复、ClearDTC、满40 Entry、回调失败；0x19 结果与内部状态一致。</x:v>
      </x:c>
      <x:c r="K128" s="144" t="str">
        <x:v>coem/BYD_UKE/gen_bsw/Dem/Dem_Cfg_EventId.h:67; coem/BYD_UKE/gen_bsw/Dem/Dem_Cfg_Events_DataStructures.c:67; coem/BYD_UKE/gen_bsw/Dem/Dem_Cfg_Events_DataStructures.c:289; coem/BYD_UKE/gen_bsw/Dem/Dem_Cfg_DtcId.h:167</x:v>
      </x:c>
    </x:row>
    <x:row r="129" ht="68" customHeight="1">
      <x:c r="A129" s="144" t="str">
        <x:v>DemEvent</x:v>
      </x:c>
      <x:c r="B129" s="144" t="str">
        <x:v>EVT-042</x:v>
      </x:c>
      <x:c r="C129" s="144" t="str">
        <x:v>FAULT_IPB_WhlSpd_FL_INVALID</x:v>
      </x:c>
      <x:c r="D129" s="144" t="str">
        <x:v>DTC=0x5C6286; Priority=64; Aging=40; Confirm=1; FFmax=2</x:v>
      </x:c>
      <x:c r="E129" s="144" t="str">
        <x:v>OperationCycle=POWER; Storage=NONE; Enable=EC_Group_Network</x:v>
      </x:c>
      <x:c r="F129" s="144" t="str">
        <x:v>诊断权限不适用；事件可用性由 Enable/Storage Condition 控制</x:v>
      </x:c>
      <x:c r="G129" s="144" t="str">
        <x:v>DTC_ID=1 DTC_IPB_SIGNAL_INVALID; debounce=ARCTRBASECLASS/FREEZE; recoverable=是; primary=是; agingAllowed=是; initialUnavailable=否</x:v>
      </x:c>
      <x:c r="H12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9" s="144" t="str">
        <x:v>交付 Event→DTC→Debounce→Aging→Memory→NvM 的可编辑配置、回调清单与自动测试 ID；禁止用参考 ARXML/生成代码作为输入。</x:v>
      </x:c>
      <x:c r="J129" s="144" t="str">
        <x:v>逐项注入 FAILED/PASSED、确认阈值、老化40周期、掉电恢复、ClearDTC、满40 Entry、回调失败；0x19 结果与内部状态一致。</x:v>
      </x:c>
      <x:c r="K129" s="144" t="str">
        <x:v>coem/BYD_UKE/gen_bsw/Dem/Dem_Cfg_EventId.h:68; coem/BYD_UKE/gen_bsw/Dem/Dem_Cfg_Events_DataStructures.c:68; coem/BYD_UKE/gen_bsw/Dem/Dem_Cfg_Events_DataStructures.c:290; coem/BYD_UKE/gen_bsw/Dem/Dem_Cfg_DtcId.h:168</x:v>
      </x:c>
    </x:row>
    <x:row r="130" ht="68" customHeight="1">
      <x:c r="A130" s="144" t="str">
        <x:v>DemEvent</x:v>
      </x:c>
      <x:c r="B130" s="144" t="str">
        <x:v>EVT-043</x:v>
      </x:c>
      <x:c r="C130" s="144" t="str">
        <x:v>FAULT_IPB_WhlSpd_RF_INVALID</x:v>
      </x:c>
      <x:c r="D130" s="144" t="str">
        <x:v>DTC=0x5C6286; Priority=64; Aging=40; Confirm=1; FFmax=2</x:v>
      </x:c>
      <x:c r="E130" s="144" t="str">
        <x:v>OperationCycle=POWER; Storage=NONE; Enable=EC_Group_Network</x:v>
      </x:c>
      <x:c r="F130" s="144" t="str">
        <x:v>诊断权限不适用；事件可用性由 Enable/Storage Condition 控制</x:v>
      </x:c>
      <x:c r="G130" s="144" t="str">
        <x:v>DTC_ID=1 DTC_IPB_SIGNAL_INVALID; debounce=ARCTRBASECLASS/FREEZE; recoverable=是; primary=是; agingAllowed=是; initialUnavailable=否</x:v>
      </x:c>
      <x:c r="H13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0" s="144" t="str">
        <x:v>交付 Event→DTC→Debounce→Aging→Memory→NvM 的可编辑配置、回调清单与自动测试 ID；禁止用参考 ARXML/生成代码作为输入。</x:v>
      </x:c>
      <x:c r="J130" s="144" t="str">
        <x:v>逐项注入 FAILED/PASSED、确认阈值、老化40周期、掉电恢复、ClearDTC、满40 Entry、回调失败；0x19 结果与内部状态一致。</x:v>
      </x:c>
      <x:c r="K130" s="144" t="str">
        <x:v>coem/BYD_UKE/gen_bsw/Dem/Dem_Cfg_EventId.h:69; coem/BYD_UKE/gen_bsw/Dem/Dem_Cfg_Events_DataStructures.c:69; coem/BYD_UKE/gen_bsw/Dem/Dem_Cfg_Events_DataStructures.c:291; coem/BYD_UKE/gen_bsw/Dem/Dem_Cfg_DtcId.h:169</x:v>
      </x:c>
    </x:row>
    <x:row r="131" ht="68" customHeight="1">
      <x:c r="A131" s="144" t="str">
        <x:v>DemEvent</x:v>
      </x:c>
      <x:c r="B131" s="144" t="str">
        <x:v>EVT-044</x:v>
      </x:c>
      <x:c r="C131" s="144" t="str">
        <x:v>FAULT_IPB_WhlSpd_RL_INVALID</x:v>
      </x:c>
      <x:c r="D131" s="144" t="str">
        <x:v>DTC=0x5C6286; Priority=64; Aging=40; Confirm=1; FFmax=2</x:v>
      </x:c>
      <x:c r="E131" s="144" t="str">
        <x:v>OperationCycle=POWER; Storage=NONE; Enable=EC_Group_Network</x:v>
      </x:c>
      <x:c r="F131" s="144" t="str">
        <x:v>诊断权限不适用；事件可用性由 Enable/Storage Condition 控制</x:v>
      </x:c>
      <x:c r="G131" s="144" t="str">
        <x:v>DTC_ID=1 DTC_IPB_SIGNAL_INVALID; debounce=ARCTRBASECLASS/FREEZE; recoverable=是; primary=是; agingAllowed=是; initialUnavailable=否</x:v>
      </x:c>
      <x:c r="H13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1" s="144" t="str">
        <x:v>交付 Event→DTC→Debounce→Aging→Memory→NvM 的可编辑配置、回调清单与自动测试 ID；禁止用参考 ARXML/生成代码作为输入。</x:v>
      </x:c>
      <x:c r="J131" s="144" t="str">
        <x:v>逐项注入 FAILED/PASSED、确认阈值、老化40周期、掉电恢复、ClearDTC、满40 Entry、回调失败；0x19 结果与内部状态一致。</x:v>
      </x:c>
      <x:c r="K131" s="144" t="str">
        <x:v>coem/BYD_UKE/gen_bsw/Dem/Dem_Cfg_EventId.h:70; coem/BYD_UKE/gen_bsw/Dem/Dem_Cfg_Events_DataStructures.c:70; coem/BYD_UKE/gen_bsw/Dem/Dem_Cfg_Events_DataStructures.c:292; coem/BYD_UKE/gen_bsw/Dem/Dem_Cfg_DtcId.h:170</x:v>
      </x:c>
    </x:row>
    <x:row r="132" ht="68" customHeight="1">
      <x:c r="A132" s="144" t="str">
        <x:v>DemEvent</x:v>
      </x:c>
      <x:c r="B132" s="144" t="str">
        <x:v>EVT-045</x:v>
      </x:c>
      <x:c r="C132" s="144" t="str">
        <x:v>FAULT_IPB_WhlSpd_RR_INVALID</x:v>
      </x:c>
      <x:c r="D132" s="144" t="str">
        <x:v>DTC=0x5C6286; Priority=64; Aging=40; Confirm=1; FFmax=2</x:v>
      </x:c>
      <x:c r="E132" s="144" t="str">
        <x:v>OperationCycle=POWER; Storage=NONE; Enable=EC_Group_Network</x:v>
      </x:c>
      <x:c r="F132" s="144" t="str">
        <x:v>诊断权限不适用；事件可用性由 Enable/Storage Condition 控制</x:v>
      </x:c>
      <x:c r="G132" s="144" t="str">
        <x:v>DTC_ID=1 DTC_IPB_SIGNAL_INVALID; debounce=ARCTRBASECLASS/FREEZE; recoverable=是; primary=是; agingAllowed=是; initialUnavailable=否</x:v>
      </x:c>
      <x:c r="H13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2" s="144" t="str">
        <x:v>交付 Event→DTC→Debounce→Aging→Memory→NvM 的可编辑配置、回调清单与自动测试 ID；禁止用参考 ARXML/生成代码作为输入。</x:v>
      </x:c>
      <x:c r="J132" s="144" t="str">
        <x:v>逐项注入 FAILED/PASSED、确认阈值、老化40周期、掉电恢复、ClearDTC、满40 Entry、回调失败；0x19 结果与内部状态一致。</x:v>
      </x:c>
      <x:c r="K132" s="144" t="str">
        <x:v>coem/BYD_UKE/gen_bsw/Dem/Dem_Cfg_EventId.h:71; coem/BYD_UKE/gen_bsw/Dem/Dem_Cfg_Events_DataStructures.c:71; coem/BYD_UKE/gen_bsw/Dem/Dem_Cfg_Events_DataStructures.c:293; coem/BYD_UKE/gen_bsw/Dem/Dem_Cfg_DtcId.h:171</x:v>
      </x:c>
    </x:row>
    <x:row r="133" ht="68" customHeight="1">
      <x:c r="A133" s="144" t="str">
        <x:v>DemEvent</x:v>
      </x:c>
      <x:c r="B133" s="144" t="str">
        <x:v>EVT-046</x:v>
      </x:c>
      <x:c r="C133" s="144" t="str">
        <x:v>FAULT_IPB_YawRate_INVALID</x:v>
      </x:c>
      <x:c r="D133" s="144" t="str">
        <x:v>DTC=0x5C6286; Priority=64; Aging=40; Confirm=1; FFmax=2</x:v>
      </x:c>
      <x:c r="E133" s="144" t="str">
        <x:v>OperationCycle=POWER; Storage=NONE; Enable=EC_Group_Network</x:v>
      </x:c>
      <x:c r="F133" s="144" t="str">
        <x:v>诊断权限不适用；事件可用性由 Enable/Storage Condition 控制</x:v>
      </x:c>
      <x:c r="G133" s="144" t="str">
        <x:v>DTC_ID=1 DTC_IPB_SIGNAL_INVALID; debounce=ARCTRBASECLASS/FREEZE; recoverable=是; primary=是; agingAllowed=是; initialUnavailable=否</x:v>
      </x:c>
      <x:c r="H13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3" s="144" t="str">
        <x:v>交付 Event→DTC→Debounce→Aging→Memory→NvM 的可编辑配置、回调清单与自动测试 ID；禁止用参考 ARXML/生成代码作为输入。</x:v>
      </x:c>
      <x:c r="J133" s="144" t="str">
        <x:v>逐项注入 FAILED/PASSED、确认阈值、老化40周期、掉电恢复、ClearDTC、满40 Entry、回调失败；0x19 结果与内部状态一致。</x:v>
      </x:c>
      <x:c r="K133" s="144" t="str">
        <x:v>coem/BYD_UKE/gen_bsw/Dem/Dem_Cfg_EventId.h:72; coem/BYD_UKE/gen_bsw/Dem/Dem_Cfg_Events_DataStructures.c:72; coem/BYD_UKE/gen_bsw/Dem/Dem_Cfg_Events_DataStructures.c:294; coem/BYD_UKE/gen_bsw/Dem/Dem_Cfg_DtcId.h:172</x:v>
      </x:c>
    </x:row>
    <x:row r="134" ht="68" customHeight="1">
      <x:c r="A134" s="144" t="str">
        <x:v>DemEvent</x:v>
      </x:c>
      <x:c r="B134" s="144" t="str">
        <x:v>EVT-047</x:v>
      </x:c>
      <x:c r="C134" s="144" t="str">
        <x:v>FAULT_Left_BCM_0x12D_TIMEOUT</x:v>
      </x:c>
      <x:c r="D134" s="144" t="str">
        <x:v>DTC=0xC1A887; Priority=64; Aging=40; Confirm=1; FFmax=2</x:v>
      </x:c>
      <x:c r="E134" s="144" t="str">
        <x:v>OperationCycle=POWER; Storage=NONE; Enable=EC_Group_Network</x:v>
      </x:c>
      <x:c r="F134" s="144" t="str">
        <x:v>诊断权限不适用；事件可用性由 Enable/Storage Condition 控制</x:v>
      </x:c>
      <x:c r="G134" s="144" t="str">
        <x:v>DTC_ID=40 DTC_Left_BCM_TIMEOUT; debounce=ARCTRBASECLASS/FREEZE; recoverable=是; primary=是; agingAllowed=是; initialUnavailable=否</x:v>
      </x:c>
      <x:c r="H13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4" s="144" t="str">
        <x:v>交付 Event→DTC→Debounce→Aging→Memory→NvM 的可编辑配置、回调清单与自动测试 ID；禁止用参考 ARXML/生成代码作为输入。</x:v>
      </x:c>
      <x:c r="J134" s="144" t="str">
        <x:v>逐项注入 FAILED/PASSED、确认阈值、老化40周期、掉电恢复、ClearDTC、满40 Entry、回调失败；0x19 结果与内部状态一致。</x:v>
      </x:c>
      <x:c r="K134" s="144" t="str">
        <x:v>coem/BYD_UKE/gen_bsw/Dem/Dem_Cfg_EventId.h:73; coem/BYD_UKE/gen_bsw/Dem/Dem_Cfg_Events_DataStructures.c:73; coem/BYD_UKE/gen_bsw/Dem/Dem_Cfg_Events_DataStructures.c:295; coem/BYD_UKE/gen_bsw/Dem/Dem_Cfg_DtcId.h:173</x:v>
      </x:c>
    </x:row>
    <x:row r="135" ht="68" customHeight="1">
      <x:c r="A135" s="144" t="str">
        <x:v>DemEvent</x:v>
      </x:c>
      <x:c r="B135" s="144" t="str">
        <x:v>EVT-048</x:v>
      </x:c>
      <x:c r="C135" s="144" t="str">
        <x:v>FAULT_Left_BCM_0x294_ALC</x:v>
      </x:c>
      <x:c r="D135" s="144" t="str">
        <x:v>DTC=0x5C6602; Priority=64; Aging=40; Confirm=1; FFmax=2</x:v>
      </x:c>
      <x:c r="E135" s="144" t="str">
        <x:v>OperationCycle=POWER; Storage=NONE; Enable=EC_Group_Network</x:v>
      </x:c>
      <x:c r="F135" s="144" t="str">
        <x:v>诊断权限不适用；事件可用性由 Enable/Storage Condition 控制</x:v>
      </x:c>
      <x:c r="G135" s="144" t="str">
        <x:v>DTC_ID=5 DTC_Left_BCM_ALC; debounce=ARCTRBASECLASS/FREEZE; recoverable=是; primary=是; agingAllowed=是; initialUnavailable=否</x:v>
      </x:c>
      <x:c r="H13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5" s="144" t="str">
        <x:v>交付 Event→DTC→Debounce→Aging→Memory→NvM 的可编辑配置、回调清单与自动测试 ID；禁止用参考 ARXML/生成代码作为输入。</x:v>
      </x:c>
      <x:c r="J135" s="144" t="str">
        <x:v>逐项注入 FAILED/PASSED、确认阈值、老化40周期、掉电恢复、ClearDTC、满40 Entry、回调失败；0x19 结果与内部状态一致。</x:v>
      </x:c>
      <x:c r="K135" s="144" t="str">
        <x:v>coem/BYD_UKE/gen_bsw/Dem/Dem_Cfg_EventId.h:74; coem/BYD_UKE/gen_bsw/Dem/Dem_Cfg_Events_DataStructures.c:74; coem/BYD_UKE/gen_bsw/Dem/Dem_Cfg_Events_DataStructures.c:296; coem/BYD_UKE/gen_bsw/Dem/Dem_Cfg_DtcId.h:174</x:v>
      </x:c>
    </x:row>
    <x:row r="136" ht="68" customHeight="1">
      <x:c r="A136" s="144" t="str">
        <x:v>DemEvent</x:v>
      </x:c>
      <x:c r="B136" s="144" t="str">
        <x:v>EVT-049</x:v>
      </x:c>
      <x:c r="C136" s="144" t="str">
        <x:v>FAULT_Left_BCM_0x294_CRC</x:v>
      </x:c>
      <x:c r="D136" s="144" t="str">
        <x:v>DTC=0x5C6762; Priority=64; Aging=40; Confirm=1; FFmax=2</x:v>
      </x:c>
      <x:c r="E136" s="144" t="str">
        <x:v>OperationCycle=POWER; Storage=NONE; Enable=EC_Group_Network</x:v>
      </x:c>
      <x:c r="F136" s="144" t="str">
        <x:v>诊断权限不适用；事件可用性由 Enable/Storage Condition 控制</x:v>
      </x:c>
      <x:c r="G136" s="144" t="str">
        <x:v>DTC_ID=6 DTC_Left_BCM_CRC; debounce=ARCTRBASECLASS/FREEZE; recoverable=是; primary=是; agingAllowed=是; initialUnavailable=否</x:v>
      </x:c>
      <x:c r="H13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6" s="144" t="str">
        <x:v>交付 Event→DTC→Debounce→Aging→Memory→NvM 的可编辑配置、回调清单与自动测试 ID；禁止用参考 ARXML/生成代码作为输入。</x:v>
      </x:c>
      <x:c r="J136" s="144" t="str">
        <x:v>逐项注入 FAILED/PASSED、确认阈值、老化40周期、掉电恢复、ClearDTC、满40 Entry、回调失败；0x19 结果与内部状态一致。</x:v>
      </x:c>
      <x:c r="K136" s="144" t="str">
        <x:v>coem/BYD_UKE/gen_bsw/Dem/Dem_Cfg_EventId.h:75; coem/BYD_UKE/gen_bsw/Dem/Dem_Cfg_Events_DataStructures.c:75; coem/BYD_UKE/gen_bsw/Dem/Dem_Cfg_Events_DataStructures.c:297; coem/BYD_UKE/gen_bsw/Dem/Dem_Cfg_DtcId.h:175</x:v>
      </x:c>
    </x:row>
    <x:row r="137" ht="68" customHeight="1">
      <x:c r="A137" s="144" t="str">
        <x:v>DemEvent</x:v>
      </x:c>
      <x:c r="B137" s="144" t="str">
        <x:v>EVT-050</x:v>
      </x:c>
      <x:c r="C137" s="144" t="str">
        <x:v>FAULT_Left_BCM_0x294_TIMEOUT</x:v>
      </x:c>
      <x:c r="D137" s="144" t="str">
        <x:v>DTC=0xC1A887; Priority=64; Aging=40; Confirm=1; FFmax=2</x:v>
      </x:c>
      <x:c r="E137" s="144" t="str">
        <x:v>OperationCycle=POWER; Storage=NONE; Enable=EC_Group_Network</x:v>
      </x:c>
      <x:c r="F137" s="144" t="str">
        <x:v>诊断权限不适用；事件可用性由 Enable/Storage Condition 控制</x:v>
      </x:c>
      <x:c r="G137" s="144" t="str">
        <x:v>DTC_ID=40 DTC_Left_BCM_TIMEOUT; debounce=ARCTRBASECLASS/FREEZE; recoverable=是; primary=是; agingAllowed=是; initialUnavailable=否</x:v>
      </x:c>
      <x:c r="H13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7" s="144" t="str">
        <x:v>交付 Event→DTC→Debounce→Aging→Memory→NvM 的可编辑配置、回调清单与自动测试 ID；禁止用参考 ARXML/生成代码作为输入。</x:v>
      </x:c>
      <x:c r="J137" s="144" t="str">
        <x:v>逐项注入 FAILED/PASSED、确认阈值、老化40周期、掉电恢复、ClearDTC、满40 Entry、回调失败；0x19 结果与内部状态一致。</x:v>
      </x:c>
      <x:c r="K137" s="144" t="str">
        <x:v>coem/BYD_UKE/gen_bsw/Dem/Dem_Cfg_EventId.h:76; coem/BYD_UKE/gen_bsw/Dem/Dem_Cfg_Events_DataStructures.c:76; coem/BYD_UKE/gen_bsw/Dem/Dem_Cfg_Events_DataStructures.c:298; coem/BYD_UKE/gen_bsw/Dem/Dem_Cfg_DtcId.h:176</x:v>
      </x:c>
    </x:row>
    <x:row r="138" ht="68" customHeight="1">
      <x:c r="A138" s="144" t="str">
        <x:v>DemEvent</x:v>
      </x:c>
      <x:c r="B138" s="144" t="str">
        <x:v>EVT-051</x:v>
      </x:c>
      <x:c r="C138" s="144" t="str">
        <x:v>FAULT_Left_BCM_0x490_ALC</x:v>
      </x:c>
      <x:c r="D138" s="144" t="str">
        <x:v>DTC=0x5C6602; Priority=64; Aging=40; Confirm=1; FFmax=2</x:v>
      </x:c>
      <x:c r="E138" s="144" t="str">
        <x:v>OperationCycle=POWER; Storage=NONE; Enable=EC_Group_Network</x:v>
      </x:c>
      <x:c r="F138" s="144" t="str">
        <x:v>诊断权限不适用；事件可用性由 Enable/Storage Condition 控制</x:v>
      </x:c>
      <x:c r="G138" s="144" t="str">
        <x:v>DTC_ID=5 DTC_Left_BCM_ALC; debounce=ARCTRBASECLASS/FREEZE; recoverable=是; primary=是; agingAllowed=是; initialUnavailable=否</x:v>
      </x:c>
      <x:c r="H13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8" s="144" t="str">
        <x:v>交付 Event→DTC→Debounce→Aging→Memory→NvM 的可编辑配置、回调清单与自动测试 ID；禁止用参考 ARXML/生成代码作为输入。</x:v>
      </x:c>
      <x:c r="J138" s="144" t="str">
        <x:v>逐项注入 FAILED/PASSED、确认阈值、老化40周期、掉电恢复、ClearDTC、满40 Entry、回调失败；0x19 结果与内部状态一致。</x:v>
      </x:c>
      <x:c r="K138" s="144" t="str">
        <x:v>coem/BYD_UKE/gen_bsw/Dem/Dem_Cfg_EventId.h:77; coem/BYD_UKE/gen_bsw/Dem/Dem_Cfg_Events_DataStructures.c:77; coem/BYD_UKE/gen_bsw/Dem/Dem_Cfg_Events_DataStructures.c:299; coem/BYD_UKE/gen_bsw/Dem/Dem_Cfg_DtcId.h:177</x:v>
      </x:c>
    </x:row>
    <x:row r="139" ht="68" customHeight="1">
      <x:c r="A139" s="144" t="str">
        <x:v>DemEvent</x:v>
      </x:c>
      <x:c r="B139" s="144" t="str">
        <x:v>EVT-052</x:v>
      </x:c>
      <x:c r="C139" s="144" t="str">
        <x:v>FAULT_Left_BCM_0x490_CRC</x:v>
      </x:c>
      <x:c r="D139" s="144" t="str">
        <x:v>DTC=0x5C6762; Priority=64; Aging=40; Confirm=1; FFmax=2</x:v>
      </x:c>
      <x:c r="E139" s="144" t="str">
        <x:v>OperationCycle=POWER; Storage=NONE; Enable=EC_Group_Network</x:v>
      </x:c>
      <x:c r="F139" s="144" t="str">
        <x:v>诊断权限不适用；事件可用性由 Enable/Storage Condition 控制</x:v>
      </x:c>
      <x:c r="G139" s="144" t="str">
        <x:v>DTC_ID=6 DTC_Left_BCM_CRC; debounce=ARCTRBASECLASS/FREEZE; recoverable=是; primary=是; agingAllowed=是; initialUnavailable=否</x:v>
      </x:c>
      <x:c r="H13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9" s="144" t="str">
        <x:v>交付 Event→DTC→Debounce→Aging→Memory→NvM 的可编辑配置、回调清单与自动测试 ID；禁止用参考 ARXML/生成代码作为输入。</x:v>
      </x:c>
      <x:c r="J139" s="144" t="str">
        <x:v>逐项注入 FAILED/PASSED、确认阈值、老化40周期、掉电恢复、ClearDTC、满40 Entry、回调失败；0x19 结果与内部状态一致。</x:v>
      </x:c>
      <x:c r="K139" s="144" t="str">
        <x:v>coem/BYD_UKE/gen_bsw/Dem/Dem_Cfg_EventId.h:78; coem/BYD_UKE/gen_bsw/Dem/Dem_Cfg_Events_DataStructures.c:78; coem/BYD_UKE/gen_bsw/Dem/Dem_Cfg_Events_DataStructures.c:300; coem/BYD_UKE/gen_bsw/Dem/Dem_Cfg_DtcId.h:178</x:v>
      </x:c>
    </x:row>
    <x:row r="140" ht="68" customHeight="1">
      <x:c r="A140" s="144" t="str">
        <x:v>DemEvent</x:v>
      </x:c>
      <x:c r="B140" s="144" t="str">
        <x:v>EVT-053</x:v>
      </x:c>
      <x:c r="C140" s="144" t="str">
        <x:v>FAULT_Left_BCM_0x490_TIMEOUT</x:v>
      </x:c>
      <x:c r="D140" s="144" t="str">
        <x:v>DTC=0xC1A887; Priority=64; Aging=40; Confirm=1; FFmax=2</x:v>
      </x:c>
      <x:c r="E140" s="144" t="str">
        <x:v>OperationCycle=POWER; Storage=NONE; Enable=EC_Group_Network</x:v>
      </x:c>
      <x:c r="F140" s="144" t="str">
        <x:v>诊断权限不适用；事件可用性由 Enable/Storage Condition 控制</x:v>
      </x:c>
      <x:c r="G140" s="144" t="str">
        <x:v>DTC_ID=40 DTC_Left_BCM_TIMEOUT; debounce=ARCTRBASECLASS/FREEZE; recoverable=是; primary=是; agingAllowed=是; initialUnavailable=否</x:v>
      </x:c>
      <x:c r="H14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0" s="144" t="str">
        <x:v>交付 Event→DTC→Debounce→Aging→Memory→NvM 的可编辑配置、回调清单与自动测试 ID；禁止用参考 ARXML/生成代码作为输入。</x:v>
      </x:c>
      <x:c r="J140" s="144" t="str">
        <x:v>逐项注入 FAILED/PASSED、确认阈值、老化40周期、掉电恢复、ClearDTC、满40 Entry、回调失败；0x19 结果与内部状态一致。</x:v>
      </x:c>
      <x:c r="K140" s="144" t="str">
        <x:v>coem/BYD_UKE/gen_bsw/Dem/Dem_Cfg_EventId.h:79; coem/BYD_UKE/gen_bsw/Dem/Dem_Cfg_Events_DataStructures.c:79; coem/BYD_UKE/gen_bsw/Dem/Dem_Cfg_Events_DataStructures.c:301; coem/BYD_UKE/gen_bsw/Dem/Dem_Cfg_DtcId.h:179</x:v>
      </x:c>
    </x:row>
    <x:row r="141" ht="68" customHeight="1">
      <x:c r="A141" s="144" t="str">
        <x:v>DemEvent</x:v>
      </x:c>
      <x:c r="B141" s="144" t="str">
        <x:v>EVT-054</x:v>
      </x:c>
      <x:c r="C141" s="144" t="str">
        <x:v>FAULT_Left_BCM_DoorLock_FL_INVALID</x:v>
      </x:c>
      <x:c r="D141" s="144" t="str">
        <x:v>DTC=0x5C6586; Priority=64; Aging=40; Confirm=1; FFmax=2</x:v>
      </x:c>
      <x:c r="E141" s="144" t="str">
        <x:v>OperationCycle=POWER; Storage=NONE; Enable=EC_Group_Network</x:v>
      </x:c>
      <x:c r="F141" s="144" t="str">
        <x:v>诊断权限不适用；事件可用性由 Enable/Storage Condition 控制</x:v>
      </x:c>
      <x:c r="G141" s="144" t="str">
        <x:v>DTC_ID=4 DTC_Left_BCM_SIGNAL_INVALID; debounce=ARCTRBASECLASS/FREEZE; recoverable=是; primary=是; agingAllowed=是; initialUnavailable=否</x:v>
      </x:c>
      <x:c r="H14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1" s="144" t="str">
        <x:v>交付 Event→DTC→Debounce→Aging→Memory→NvM 的可编辑配置、回调清单与自动测试 ID；禁止用参考 ARXML/生成代码作为输入。</x:v>
      </x:c>
      <x:c r="J141" s="144" t="str">
        <x:v>逐项注入 FAILED/PASSED、确认阈值、老化40周期、掉电恢复、ClearDTC、满40 Entry、回调失败；0x19 结果与内部状态一致。</x:v>
      </x:c>
      <x:c r="K141" s="144" t="str">
        <x:v>coem/BYD_UKE/gen_bsw/Dem/Dem_Cfg_EventId.h:80; coem/BYD_UKE/gen_bsw/Dem/Dem_Cfg_Events_DataStructures.c:80; coem/BYD_UKE/gen_bsw/Dem/Dem_Cfg_Events_DataStructures.c:302; coem/BYD_UKE/gen_bsw/Dem/Dem_Cfg_DtcId.h:180</x:v>
      </x:c>
    </x:row>
    <x:row r="142" ht="68" customHeight="1">
      <x:c r="A142" s="144" t="str">
        <x:v>DemEvent</x:v>
      </x:c>
      <x:c r="B142" s="144" t="str">
        <x:v>EVT-055</x:v>
      </x:c>
      <x:c r="C142" s="144" t="str">
        <x:v>FAULT_Left_BCM_DoorLock_RF_INVALID</x:v>
      </x:c>
      <x:c r="D142" s="144" t="str">
        <x:v>DTC=0x5C6586; Priority=64; Aging=40; Confirm=1; FFmax=2</x:v>
      </x:c>
      <x:c r="E142" s="144" t="str">
        <x:v>OperationCycle=POWER; Storage=NONE; Enable=EC_Group_Network</x:v>
      </x:c>
      <x:c r="F142" s="144" t="str">
        <x:v>诊断权限不适用；事件可用性由 Enable/Storage Condition 控制</x:v>
      </x:c>
      <x:c r="G142" s="144" t="str">
        <x:v>DTC_ID=4 DTC_Left_BCM_SIGNAL_INVALID; debounce=ARCTRBASECLASS/FREEZE; recoverable=是; primary=是; agingAllowed=是; initialUnavailable=否</x:v>
      </x:c>
      <x:c r="H14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2" s="144" t="str">
        <x:v>交付 Event→DTC→Debounce→Aging→Memory→NvM 的可编辑配置、回调清单与自动测试 ID；禁止用参考 ARXML/生成代码作为输入。</x:v>
      </x:c>
      <x:c r="J142" s="144" t="str">
        <x:v>逐项注入 FAILED/PASSED、确认阈值、老化40周期、掉电恢复、ClearDTC、满40 Entry、回调失败；0x19 结果与内部状态一致。</x:v>
      </x:c>
      <x:c r="K142" s="144" t="str">
        <x:v>coem/BYD_UKE/gen_bsw/Dem/Dem_Cfg_EventId.h:81; coem/BYD_UKE/gen_bsw/Dem/Dem_Cfg_Events_DataStructures.c:81; coem/BYD_UKE/gen_bsw/Dem/Dem_Cfg_Events_DataStructures.c:303; coem/BYD_UKE/gen_bsw/Dem/Dem_Cfg_DtcId.h:181</x:v>
      </x:c>
    </x:row>
    <x:row r="143" ht="68" customHeight="1">
      <x:c r="A143" s="144" t="str">
        <x:v>DemEvent</x:v>
      </x:c>
      <x:c r="B143" s="144" t="str">
        <x:v>EVT-056</x:v>
      </x:c>
      <x:c r="C143" s="144" t="str">
        <x:v>FAULT_Left_BCM_DoorLock_RL_INVALID</x:v>
      </x:c>
      <x:c r="D143" s="144" t="str">
        <x:v>DTC=0x5C6586; Priority=64; Aging=40; Confirm=1; FFmax=2</x:v>
      </x:c>
      <x:c r="E143" s="144" t="str">
        <x:v>OperationCycle=POWER; Storage=NONE; Enable=EC_Group_Network</x:v>
      </x:c>
      <x:c r="F143" s="144" t="str">
        <x:v>诊断权限不适用；事件可用性由 Enable/Storage Condition 控制</x:v>
      </x:c>
      <x:c r="G143" s="144" t="str">
        <x:v>DTC_ID=4 DTC_Left_BCM_SIGNAL_INVALID; debounce=ARCTRBASECLASS/FREEZE; recoverable=是; primary=是; agingAllowed=是; initialUnavailable=否</x:v>
      </x:c>
      <x:c r="H14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3" s="144" t="str">
        <x:v>交付 Event→DTC→Debounce→Aging→Memory→NvM 的可编辑配置、回调清单与自动测试 ID；禁止用参考 ARXML/生成代码作为输入。</x:v>
      </x:c>
      <x:c r="J143" s="144" t="str">
        <x:v>逐项注入 FAILED/PASSED、确认阈值、老化40周期、掉电恢复、ClearDTC、满40 Entry、回调失败；0x19 结果与内部状态一致。</x:v>
      </x:c>
      <x:c r="K143" s="144" t="str">
        <x:v>coem/BYD_UKE/gen_bsw/Dem/Dem_Cfg_EventId.h:82; coem/BYD_UKE/gen_bsw/Dem/Dem_Cfg_Events_DataStructures.c:82; coem/BYD_UKE/gen_bsw/Dem/Dem_Cfg_Events_DataStructures.c:304; coem/BYD_UKE/gen_bsw/Dem/Dem_Cfg_DtcId.h:182</x:v>
      </x:c>
    </x:row>
    <x:row r="144" ht="68" customHeight="1">
      <x:c r="A144" s="144" t="str">
        <x:v>DemEvent</x:v>
      </x:c>
      <x:c r="B144" s="144" t="str">
        <x:v>EVT-057</x:v>
      </x:c>
      <x:c r="C144" s="144" t="str">
        <x:v>FAULT_Left_BCM_DoorLock_RR_INVALID</x:v>
      </x:c>
      <x:c r="D144" s="144" t="str">
        <x:v>DTC=0x5C6586; Priority=64; Aging=40; Confirm=1; FFmax=2</x:v>
      </x:c>
      <x:c r="E144" s="144" t="str">
        <x:v>OperationCycle=POWER; Storage=NONE; Enable=EC_Group_Network</x:v>
      </x:c>
      <x:c r="F144" s="144" t="str">
        <x:v>诊断权限不适用；事件可用性由 Enable/Storage Condition 控制</x:v>
      </x:c>
      <x:c r="G144" s="144" t="str">
        <x:v>DTC_ID=4 DTC_Left_BCM_SIGNAL_INVALID; debounce=ARCTRBASECLASS/FREEZE; recoverable=是; primary=是; agingAllowed=是; initialUnavailable=否</x:v>
      </x:c>
      <x:c r="H14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4" s="144" t="str">
        <x:v>交付 Event→DTC→Debounce→Aging→Memory→NvM 的可编辑配置、回调清单与自动测试 ID；禁止用参考 ARXML/生成代码作为输入。</x:v>
      </x:c>
      <x:c r="J144" s="144" t="str">
        <x:v>逐项注入 FAILED/PASSED、确认阈值、老化40周期、掉电恢复、ClearDTC、满40 Entry、回调失败；0x19 结果与内部状态一致。</x:v>
      </x:c>
      <x:c r="K144" s="144" t="str">
        <x:v>coem/BYD_UKE/gen_bsw/Dem/Dem_Cfg_EventId.h:83; coem/BYD_UKE/gen_bsw/Dem/Dem_Cfg_Events_DataStructures.c:83; coem/BYD_UKE/gen_bsw/Dem/Dem_Cfg_Events_DataStructures.c:305; coem/BYD_UKE/gen_bsw/Dem/Dem_Cfg_DtcId.h:183</x:v>
      </x:c>
    </x:row>
    <x:row r="145" ht="68" customHeight="1">
      <x:c r="A145" s="144" t="str">
        <x:v>DemEvent</x:v>
      </x:c>
      <x:c r="B145" s="144" t="str">
        <x:v>EVT-058</x:v>
      </x:c>
      <x:c r="C145" s="144" t="str">
        <x:v>FAULT_Left_BCM_DragMode_INVALID</x:v>
      </x:c>
      <x:c r="D145" s="144" t="str">
        <x:v>DTC=0x5C6586; Priority=64; Aging=40; Confirm=1; FFmax=2</x:v>
      </x:c>
      <x:c r="E145" s="144" t="str">
        <x:v>OperationCycle=POWER; Storage=NONE; Enable=EC_Group_Network</x:v>
      </x:c>
      <x:c r="F145" s="144" t="str">
        <x:v>诊断权限不适用；事件可用性由 Enable/Storage Condition 控制</x:v>
      </x:c>
      <x:c r="G145" s="144" t="str">
        <x:v>DTC_ID=4 DTC_Left_BCM_SIGNAL_INVALID; debounce=ARCTRBASECLASS/FREEZE; recoverable=是; primary=是; agingAllowed=是; initialUnavailable=否</x:v>
      </x:c>
      <x:c r="H14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5" s="144" t="str">
        <x:v>交付 Event→DTC→Debounce→Aging→Memory→NvM 的可编辑配置、回调清单与自动测试 ID；禁止用参考 ARXML/生成代码作为输入。</x:v>
      </x:c>
      <x:c r="J145" s="144" t="str">
        <x:v>逐项注入 FAILED/PASSED、确认阈值、老化40周期、掉电恢复、ClearDTC、满40 Entry、回调失败；0x19 结果与内部状态一致。</x:v>
      </x:c>
      <x:c r="K145" s="144" t="str">
        <x:v>coem/BYD_UKE/gen_bsw/Dem/Dem_Cfg_EventId.h:84; coem/BYD_UKE/gen_bsw/Dem/Dem_Cfg_Events_DataStructures.c:84; coem/BYD_UKE/gen_bsw/Dem/Dem_Cfg_Events_DataStructures.c:306; coem/BYD_UKE/gen_bsw/Dem/Dem_Cfg_DtcId.h:184</x:v>
      </x:c>
    </x:row>
    <x:row r="146" ht="68" customHeight="1">
      <x:c r="A146" s="144" t="str">
        <x:v>DemEvent</x:v>
      </x:c>
      <x:c r="B146" s="144" t="str">
        <x:v>EVT-059</x:v>
      </x:c>
      <x:c r="C146" s="144" t="str">
        <x:v>FAULT_Left_BCM_PwrGear_INVALID</x:v>
      </x:c>
      <x:c r="D146" s="144" t="str">
        <x:v>DTC=0x5C6586; Priority=64; Aging=40; Confirm=1; FFmax=2</x:v>
      </x:c>
      <x:c r="E146" s="144" t="str">
        <x:v>OperationCycle=POWER; Storage=NONE; Enable=EC_Group_Network_12D</x:v>
      </x:c>
      <x:c r="F146" s="144" t="str">
        <x:v>诊断权限不适用；事件可用性由 Enable/Storage Condition 控制</x:v>
      </x:c>
      <x:c r="G146" s="144" t="str">
        <x:v>DTC_ID=4 DTC_Left_BCM_SIGNAL_INVALID; debounce=ARCTRBASECLASS/FREEZE; recoverable=是; primary=是; agingAllowed=是; initialUnavailable=否</x:v>
      </x:c>
      <x:c r="H14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6" s="144" t="str">
        <x:v>交付 Event→DTC→Debounce→Aging→Memory→NvM 的可编辑配置、回调清单与自动测试 ID；禁止用参考 ARXML/生成代码作为输入。</x:v>
      </x:c>
      <x:c r="J146" s="144" t="str">
        <x:v>逐项注入 FAILED/PASSED、确认阈值、老化40周期、掉电恢复、ClearDTC、满40 Entry、回调失败；0x19 结果与内部状态一致。</x:v>
      </x:c>
      <x:c r="K146" s="144" t="str">
        <x:v>coem/BYD_UKE/gen_bsw/Dem/Dem_Cfg_EventId.h:85; coem/BYD_UKE/gen_bsw/Dem/Dem_Cfg_Events_DataStructures.c:85; coem/BYD_UKE/gen_bsw/Dem/Dem_Cfg_Events_DataStructures.c:307; coem/BYD_UKE/gen_bsw/Dem/Dem_Cfg_DtcId.h:185</x:v>
      </x:c>
    </x:row>
    <x:row r="147" ht="68" customHeight="1">
      <x:c r="A147" s="144" t="str">
        <x:v>DemEvent</x:v>
      </x:c>
      <x:c r="B147" s="144" t="str">
        <x:v>EVT-060</x:v>
      </x:c>
      <x:c r="C147" s="144" t="str">
        <x:v>FAULT_Left_BCM_TurnSignal_INVALID</x:v>
      </x:c>
      <x:c r="D147" s="144" t="str">
        <x:v>DTC=0x5C6586; Priority=64; Aging=40; Confirm=1; FFmax=2</x:v>
      </x:c>
      <x:c r="E147" s="144" t="str">
        <x:v>OperationCycle=POWER; Storage=NONE; Enable=EC_Group_Network</x:v>
      </x:c>
      <x:c r="F147" s="144" t="str">
        <x:v>诊断权限不适用；事件可用性由 Enable/Storage Condition 控制</x:v>
      </x:c>
      <x:c r="G147" s="144" t="str">
        <x:v>DTC_ID=4 DTC_Left_BCM_SIGNAL_INVALID; debounce=ARCTRBASECLASS/FREEZE; recoverable=是; primary=是; agingAllowed=是; initialUnavailable=否</x:v>
      </x:c>
      <x:c r="H14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7" s="144" t="str">
        <x:v>交付 Event→DTC→Debounce→Aging→Memory→NvM 的可编辑配置、回调清单与自动测试 ID；禁止用参考 ARXML/生成代码作为输入。</x:v>
      </x:c>
      <x:c r="J147" s="144" t="str">
        <x:v>逐项注入 FAILED/PASSED、确认阈值、老化40周期、掉电恢复、ClearDTC、满40 Entry、回调失败；0x19 结果与内部状态一致。</x:v>
      </x:c>
      <x:c r="K147" s="144" t="str">
        <x:v>coem/BYD_UKE/gen_bsw/Dem/Dem_Cfg_EventId.h:86; coem/BYD_UKE/gen_bsw/Dem/Dem_Cfg_Events_DataStructures.c:86; coem/BYD_UKE/gen_bsw/Dem/Dem_Cfg_Events_DataStructures.c:308; coem/BYD_UKE/gen_bsw/Dem/Dem_Cfg_DtcId.h:186</x:v>
      </x:c>
    </x:row>
    <x:row r="148" ht="68" customHeight="1">
      <x:c r="A148" s="144" t="str">
        <x:v>DemEvent</x:v>
      </x:c>
      <x:c r="B148" s="144" t="str">
        <x:v>EVT-061</x:v>
      </x:c>
      <x:c r="C148" s="144" t="str">
        <x:v>FAULT_Left_BCM_VehSec_INVALID</x:v>
      </x:c>
      <x:c r="D148" s="144" t="str">
        <x:v>DTC=0x5C6586; Priority=64; Aging=40; Confirm=1; FFmax=2</x:v>
      </x:c>
      <x:c r="E148" s="144" t="str">
        <x:v>OperationCycle=POWER; Storage=NONE; Enable=EC_Group_Network</x:v>
      </x:c>
      <x:c r="F148" s="144" t="str">
        <x:v>诊断权限不适用；事件可用性由 Enable/Storage Condition 控制</x:v>
      </x:c>
      <x:c r="G148" s="144" t="str">
        <x:v>DTC_ID=4 DTC_Left_BCM_SIGNAL_INVALID; debounce=ARCTRBASECLASS/FREEZE; recoverable=是; primary=是; agingAllowed=是; initialUnavailable=否</x:v>
      </x:c>
      <x:c r="H14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8" s="144" t="str">
        <x:v>交付 Event→DTC→Debounce→Aging→Memory→NvM 的可编辑配置、回调清单与自动测试 ID；禁止用参考 ARXML/生成代码作为输入。</x:v>
      </x:c>
      <x:c r="J148" s="144" t="str">
        <x:v>逐项注入 FAILED/PASSED、确认阈值、老化40周期、掉电恢复、ClearDTC、满40 Entry、回调失败；0x19 结果与内部状态一致。</x:v>
      </x:c>
      <x:c r="K148" s="144" t="str">
        <x:v>coem/BYD_UKE/gen_bsw/Dem/Dem_Cfg_EventId.h:87; coem/BYD_UKE/gen_bsw/Dem/Dem_Cfg_Events_DataStructures.c:87; coem/BYD_UKE/gen_bsw/Dem/Dem_Cfg_Events_DataStructures.c:309; coem/BYD_UKE/gen_bsw/Dem/Dem_Cfg_DtcId.h:187</x:v>
      </x:c>
    </x:row>
    <x:row r="149" ht="68" customHeight="1">
      <x:c r="A149" s="144" t="str">
        <x:v>DemEvent</x:v>
      </x:c>
      <x:c r="B149" s="144" t="str">
        <x:v>EVT-062</x:v>
      </x:c>
      <x:c r="C149" s="144" t="str">
        <x:v>FAULT_PCAN_BUSOFF</x:v>
      </x:c>
      <x:c r="D149" s="144" t="str">
        <x:v>DTC=0xC07388; Priority=128; Aging=40; Confirm=1; FFmax=2</x:v>
      </x:c>
      <x:c r="E149" s="144" t="str">
        <x:v>OperationCycle=POWER; Storage=NONE; Enable=EC_Group_Busoff</x:v>
      </x:c>
      <x:c r="F149" s="144" t="str">
        <x:v>诊断权限不适用；事件可用性由 Enable/Storage Condition 控制</x:v>
      </x:c>
      <x:c r="G149" s="144" t="str">
        <x:v>DTC_ID=37 DTC_PCAN_BUSOFF; debounce=ARCTRBASECLASS/FREEZE; recoverable=是; primary=是; agingAllowed=是; initialUnavailable=否</x:v>
      </x:c>
      <x:c r="H14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9" s="144" t="str">
        <x:v>交付 Event→DTC→Debounce→Aging→Memory→NvM 的可编辑配置、回调清单与自动测试 ID；禁止用参考 ARXML/生成代码作为输入。</x:v>
      </x:c>
      <x:c r="J149" s="144" t="str">
        <x:v>逐项注入 FAILED/PASSED、确认阈值、老化40周期、掉电恢复、ClearDTC、满40 Entry、回调失败；0x19 结果与内部状态一致。</x:v>
      </x:c>
      <x:c r="K149" s="144" t="str">
        <x:v>coem/BYD_UKE/gen_bsw/Dem/Dem_Cfg_EventId.h:88; coem/BYD_UKE/gen_bsw/Dem/Dem_Cfg_Events_DataStructures.c:88; coem/BYD_UKE/gen_bsw/Dem/Dem_Cfg_Events_DataStructures.c:310; coem/BYD_UKE/gen_bsw/Dem/Dem_Cfg_DtcId.h:188</x:v>
      </x:c>
    </x:row>
    <x:row r="150" ht="68" customHeight="1">
      <x:c r="A150" s="144" t="str">
        <x:v>DemEvent</x:v>
      </x:c>
      <x:c r="B150" s="144" t="str">
        <x:v>EVT-063</x:v>
      </x:c>
      <x:c r="C150" s="144" t="str">
        <x:v>FAULT_SFCAN_BUSOFF</x:v>
      </x:c>
      <x:c r="D150" s="144" t="str">
        <x:v>DTC=0xC1D788; Priority=64; Aging=40; Confirm=1; FFmax=2</x:v>
      </x:c>
      <x:c r="E150" s="144" t="str">
        <x:v>OperationCycle=POWER; Storage=NONE; Enable=EC_Group_Busoff</x:v>
      </x:c>
      <x:c r="F150" s="144" t="str">
        <x:v>诊断权限不适用；事件可用性由 Enable/Storage Condition 控制</x:v>
      </x:c>
      <x:c r="G150" s="144" t="str">
        <x:v>DTC_ID=42 DTC_SFCAN_BUSOFF; debounce=ARCTRBASECLASS/FREEZE; recoverable=是; primary=是; agingAllowed=是; initialUnavailable=否</x:v>
      </x:c>
      <x:c r="H15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0" s="144" t="str">
        <x:v>交付 Event→DTC→Debounce→Aging→Memory→NvM 的可编辑配置、回调清单与自动测试 ID；禁止用参考 ARXML/生成代码作为输入。</x:v>
      </x:c>
      <x:c r="J150" s="144" t="str">
        <x:v>逐项注入 FAILED/PASSED、确认阈值、老化40周期、掉电恢复、ClearDTC、满40 Entry、回调失败；0x19 结果与内部状态一致。</x:v>
      </x:c>
      <x:c r="K150" s="144" t="str">
        <x:v>coem/BYD_UKE/gen_bsw/Dem/Dem_Cfg_EventId.h:89; coem/BYD_UKE/gen_bsw/Dem/Dem_Cfg_Events_DataStructures.c:89; coem/BYD_UKE/gen_bsw/Dem/Dem_Cfg_Events_DataStructures.c:311; coem/BYD_UKE/gen_bsw/Dem/Dem_Cfg_DtcId.h:189</x:v>
      </x:c>
    </x:row>
    <x:row r="151" ht="68" customHeight="1">
      <x:c r="A151" s="144" t="str">
        <x:v>DemEvent</x:v>
      </x:c>
      <x:c r="B151" s="144" t="str">
        <x:v>EVT-064</x:v>
      </x:c>
      <x:c r="C151" s="144" t="str">
        <x:v>FAULT_SteerAngSnsrCalSts_INVALID</x:v>
      </x:c>
      <x:c r="D151" s="144" t="str">
        <x:v>DTC=0xD01786; Priority=64; Aging=40; Confirm=1; FFmax=2</x:v>
      </x:c>
      <x:c r="E151" s="144" t="str">
        <x:v>OperationCycle=POWER; Storage=NONE; Enable=EC_Group_Network</x:v>
      </x:c>
      <x:c r="F151" s="144" t="str">
        <x:v>诊断权限不适用；事件可用性由 Enable/Storage Condition 控制</x:v>
      </x:c>
      <x:c r="G151" s="144" t="str">
        <x:v>DTC_ID=51 DTC_EPS_SIGNAL_INVALID; debounce=ARCTRBASECLASS/FREEZE; recoverable=是; primary=是; agingAllowed=是; initialUnavailable=否</x:v>
      </x:c>
      <x:c r="H15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1" s="144" t="str">
        <x:v>交付 Event→DTC→Debounce→Aging→Memory→NvM 的可编辑配置、回调清单与自动测试 ID；禁止用参考 ARXML/生成代码作为输入。</x:v>
      </x:c>
      <x:c r="J151" s="144" t="str">
        <x:v>逐项注入 FAILED/PASSED、确认阈值、老化40周期、掉电恢复、ClearDTC、满40 Entry、回调失败；0x19 结果与内部状态一致。</x:v>
      </x:c>
      <x:c r="K151" s="144" t="str">
        <x:v>coem/BYD_UKE/gen_bsw/Dem/Dem_Cfg_EventId.h:90; coem/BYD_UKE/gen_bsw/Dem/Dem_Cfg_Events_DataStructures.c:90; coem/BYD_UKE/gen_bsw/Dem/Dem_Cfg_Events_DataStructures.c:312; coem/BYD_UKE/gen_bsw/Dem/Dem_Cfg_DtcId.h:190</x:v>
      </x:c>
    </x:row>
    <x:row r="152" ht="68" customHeight="1">
      <x:c r="A152" s="144" t="str">
        <x:v>DemEvent</x:v>
      </x:c>
      <x:c r="B152" s="144" t="str">
        <x:v>EVT-065</x:v>
      </x:c>
      <x:c r="C152" s="144" t="str">
        <x:v>FAULT_SteerSnsrSts_INVALID</x:v>
      </x:c>
      <x:c r="D152" s="144" t="str">
        <x:v>DTC=0xD01786; Priority=64; Aging=40; Confirm=1; FFmax=2</x:v>
      </x:c>
      <x:c r="E152" s="144" t="str">
        <x:v>OperationCycle=POWER; Storage=NONE; Enable=EC_Group_Network</x:v>
      </x:c>
      <x:c r="F152" s="144" t="str">
        <x:v>诊断权限不适用；事件可用性由 Enable/Storage Condition 控制</x:v>
      </x:c>
      <x:c r="G152" s="144" t="str">
        <x:v>DTC_ID=51 DTC_EPS_SIGNAL_INVALID; debounce=ARCTRBASECLASS/FREEZE; recoverable=是; primary=是; agingAllowed=是; initialUnavailable=否</x:v>
      </x:c>
      <x:c r="H15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2" s="144" t="str">
        <x:v>交付 Event→DTC→Debounce→Aging→Memory→NvM 的可编辑配置、回调清单与自动测试 ID；禁止用参考 ARXML/生成代码作为输入。</x:v>
      </x:c>
      <x:c r="J152" s="144" t="str">
        <x:v>逐项注入 FAILED/PASSED、确认阈值、老化40周期、掉电恢复、ClearDTC、满40 Entry、回调失败；0x19 结果与内部状态一致。</x:v>
      </x:c>
      <x:c r="K152" s="144" t="str">
        <x:v>coem/BYD_UKE/gen_bsw/Dem/Dem_Cfg_EventId.h:91; coem/BYD_UKE/gen_bsw/Dem/Dem_Cfg_Events_DataStructures.c:91; coem/BYD_UKE/gen_bsw/Dem/Dem_Cfg_Events_DataStructures.c:313; coem/BYD_UKE/gen_bsw/Dem/Dem_Cfg_DtcId.h:191</x:v>
      </x:c>
    </x:row>
    <x:row r="153" ht="68" customHeight="1">
      <x:c r="A153" s="144" t="str">
        <x:v>DemEvent</x:v>
      </x:c>
      <x:c r="B153" s="144" t="str">
        <x:v>EVT-066</x:v>
      </x:c>
      <x:c r="C153" s="144" t="str">
        <x:v>FAULT_VBAT_HIGH</x:v>
      </x:c>
      <x:c r="D153" s="144" t="str">
        <x:v>DTC=0xD10017; Priority=32; Aging=40; Confirm=1; FFmax=2</x:v>
      </x:c>
      <x:c r="E153" s="144" t="str">
        <x:v>OperationCycle=POWER; Storage=NONE; Enable=EC_Group_Voltage</x:v>
      </x:c>
      <x:c r="F153" s="144" t="str">
        <x:v>诊断权限不适用；事件可用性由 Enable/Storage Condition 控制</x:v>
      </x:c>
      <x:c r="G153" s="144" t="str">
        <x:v>DTC_ID=56 DTC_VBAT_HIGH; debounce=ARTIME/RESET; recoverable=是; primary=是; agingAllowed=是; initialUnavailable=否</x:v>
      </x:c>
      <x:c r="H15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3" s="144" t="str">
        <x:v>交付 Event→DTC→Debounce→Aging→Memory→NvM 的可编辑配置、回调清单与自动测试 ID；禁止用参考 ARXML/生成代码作为输入。</x:v>
      </x:c>
      <x:c r="J153" s="144" t="str">
        <x:v>逐项注入 FAILED/PASSED、确认阈值、老化40周期、掉电恢复、ClearDTC、满40 Entry、回调失败；0x19 结果与内部状态一致。</x:v>
      </x:c>
      <x:c r="K153" s="144" t="str">
        <x:v>coem/BYD_UKE/gen_bsw/Dem/Dem_Cfg_EventId.h:92; coem/BYD_UKE/gen_bsw/Dem/Dem_Cfg_Events_DataStructures.c:92; coem/BYD_UKE/gen_bsw/Dem/Dem_Cfg_Events_DataStructures.c:314; coem/BYD_UKE/gen_bsw/Dem/Dem_Cfg_DtcId.h:192</x:v>
      </x:c>
    </x:row>
    <x:row r="154" ht="68" customHeight="1">
      <x:c r="A154" s="144" t="str">
        <x:v>DemEvent</x:v>
      </x:c>
      <x:c r="B154" s="144" t="str">
        <x:v>EVT-067</x:v>
      </x:c>
      <x:c r="C154" s="144" t="str">
        <x:v>FAULT_VBAT_LOW</x:v>
      </x:c>
      <x:c r="D154" s="144" t="str">
        <x:v>DTC=0xD10116; Priority=32; Aging=40; Confirm=1; FFmax=2</x:v>
      </x:c>
      <x:c r="E154" s="144" t="str">
        <x:v>OperationCycle=POWER; Storage=NONE; Enable=EC_Group_Voltage</x:v>
      </x:c>
      <x:c r="F154" s="144" t="str">
        <x:v>诊断权限不适用；事件可用性由 Enable/Storage Condition 控制</x:v>
      </x:c>
      <x:c r="G154" s="144" t="str">
        <x:v>DTC_ID=57 DTC_VBAT_LOW; debounce=ARTIME/RESET; recoverable=是; primary=是; agingAllowed=是; initialUnavailable=否</x:v>
      </x:c>
      <x:c r="H15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4" s="144" t="str">
        <x:v>交付 Event→DTC→Debounce→Aging→Memory→NvM 的可编辑配置、回调清单与自动测试 ID；禁止用参考 ARXML/生成代码作为输入。</x:v>
      </x:c>
      <x:c r="J154" s="144" t="str">
        <x:v>逐项注入 FAILED/PASSED、确认阈值、老化40周期、掉电恢复、ClearDTC、满40 Entry、回调失败；0x19 结果与内部状态一致。</x:v>
      </x:c>
      <x:c r="K154" s="144" t="str">
        <x:v>coem/BYD_UKE/gen_bsw/Dem/Dem_Cfg_EventId.h:93; coem/BYD_UKE/gen_bsw/Dem/Dem_Cfg_Events_DataStructures.c:93; coem/BYD_UKE/gen_bsw/Dem/Dem_Cfg_Events_DataStructures.c:315; coem/BYD_UKE/gen_bsw/Dem/Dem_Cfg_DtcId.h:193</x:v>
      </x:c>
    </x:row>
    <x:row r="155" ht="68" customHeight="1">
      <x:c r="A155" s="144" t="str">
        <x:v>DemEvent</x:v>
      </x:c>
      <x:c r="B155" s="144" t="str">
        <x:v>EVT-068</x:v>
      </x:c>
      <x:c r="C155" s="144" t="str">
        <x:v>FAULT_VCU_0x342_ALC</x:v>
      </x:c>
      <x:c r="D155" s="144" t="str">
        <x:v>DTC=0xD27182; Priority=64; Aging=40; Confirm=1; FFmax=2</x:v>
      </x:c>
      <x:c r="E155" s="144" t="str">
        <x:v>OperationCycle=POWER; Storage=NONE; Enable=EC_Group_Network</x:v>
      </x:c>
      <x:c r="F155" s="144" t="str">
        <x:v>诊断权限不适用；事件可用性由 Enable/Storage Condition 控制</x:v>
      </x:c>
      <x:c r="G155" s="144" t="str">
        <x:v>DTC_ID=58 DTC_VCU_ALC; debounce=ARCTRBASECLASS/FREEZE; recoverable=是; primary=是; agingAllowed=是; initialUnavailable=否</x:v>
      </x:c>
      <x:c r="H15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5" s="144" t="str">
        <x:v>交付 Event→DTC→Debounce→Aging→Memory→NvM 的可编辑配置、回调清单与自动测试 ID；禁止用参考 ARXML/生成代码作为输入。</x:v>
      </x:c>
      <x:c r="J155" s="144" t="str">
        <x:v>逐项注入 FAILED/PASSED、确认阈值、老化40周期、掉电恢复、ClearDTC、满40 Entry、回调失败；0x19 结果与内部状态一致。</x:v>
      </x:c>
      <x:c r="K155" s="144" t="str">
        <x:v>coem/BYD_UKE/gen_bsw/Dem/Dem_Cfg_EventId.h:94; coem/BYD_UKE/gen_bsw/Dem/Dem_Cfg_Events_DataStructures.c:94; coem/BYD_UKE/gen_bsw/Dem/Dem_Cfg_Events_DataStructures.c:316; coem/BYD_UKE/gen_bsw/Dem/Dem_Cfg_DtcId.h:194</x:v>
      </x:c>
    </x:row>
    <x:row r="156" ht="68" customHeight="1">
      <x:c r="A156" s="144" t="str">
        <x:v>DemEvent</x:v>
      </x:c>
      <x:c r="B156" s="144" t="str">
        <x:v>EVT-069</x:v>
      </x:c>
      <x:c r="C156" s="144" t="str">
        <x:v>FAULT_VCU_0x342_CRC</x:v>
      </x:c>
      <x:c r="D156" s="144" t="str">
        <x:v>DTC=0xD27183; Priority=64; Aging=40; Confirm=1; FFmax=2</x:v>
      </x:c>
      <x:c r="E156" s="144" t="str">
        <x:v>OperationCycle=POWER; Storage=NONE; Enable=EC_Group_Network</x:v>
      </x:c>
      <x:c r="F156" s="144" t="str">
        <x:v>诊断权限不适用；事件可用性由 Enable/Storage Condition 控制</x:v>
      </x:c>
      <x:c r="G156" s="144" t="str">
        <x:v>DTC_ID=59 DTC_VCU_CRC; debounce=ARCTRBASECLASS/FREEZE; recoverable=是; primary=是; agingAllowed=是; initialUnavailable=否</x:v>
      </x:c>
      <x:c r="H15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6" s="144" t="str">
        <x:v>交付 Event→DTC→Debounce→Aging→Memory→NvM 的可编辑配置、回调清单与自动测试 ID；禁止用参考 ARXML/生成代码作为输入。</x:v>
      </x:c>
      <x:c r="J156" s="144" t="str">
        <x:v>逐项注入 FAILED/PASSED、确认阈值、老化40周期、掉电恢复、ClearDTC、满40 Entry、回调失败；0x19 结果与内部状态一致。</x:v>
      </x:c>
      <x:c r="K156" s="144" t="str">
        <x:v>coem/BYD_UKE/gen_bsw/Dem/Dem_Cfg_EventId.h:95; coem/BYD_UKE/gen_bsw/Dem/Dem_Cfg_Events_DataStructures.c:95; coem/BYD_UKE/gen_bsw/Dem/Dem_Cfg_Events_DataStructures.c:317; coem/BYD_UKE/gen_bsw/Dem/Dem_Cfg_DtcId.h:195</x:v>
      </x:c>
    </x:row>
    <x:row r="157" ht="68" customHeight="1">
      <x:c r="A157" s="144" t="str">
        <x:v>DemEvent</x:v>
      </x:c>
      <x:c r="B157" s="144" t="str">
        <x:v>EVT-070</x:v>
      </x:c>
      <x:c r="C157" s="144" t="str">
        <x:v>FAULT_VCU_0x342_TIMEOUT</x:v>
      </x:c>
      <x:c r="D157" s="144" t="str">
        <x:v>DTC=0xD0C286; Priority=64; Aging=40; Confirm=1; FFmax=2</x:v>
      </x:c>
      <x:c r="E157" s="144" t="str">
        <x:v>OperationCycle=POWER; Storage=NONE; Enable=EC_Group_Network</x:v>
      </x:c>
      <x:c r="F157" s="144" t="str">
        <x:v>诊断权限不适用；事件可用性由 Enable/Storage Condition 控制</x:v>
      </x:c>
      <x:c r="G157" s="144" t="str">
        <x:v>DTC_ID=55 DTC_VCU_TIMEOUT; debounce=ARCTRBASECLASS/FREEZE; recoverable=是; primary=是; agingAllowed=是; initialUnavailable=否</x:v>
      </x:c>
      <x:c r="H15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7" s="144" t="str">
        <x:v>交付 Event→DTC→Debounce→Aging→Memory→NvM 的可编辑配置、回调清单与自动测试 ID；禁止用参考 ARXML/生成代码作为输入。</x:v>
      </x:c>
      <x:c r="J157" s="144" t="str">
        <x:v>逐项注入 FAILED/PASSED、确认阈值、老化40周期、掉电恢复、ClearDTC、满40 Entry、回调失败；0x19 结果与内部状态一致。</x:v>
      </x:c>
      <x:c r="K157" s="144" t="str">
        <x:v>coem/BYD_UKE/gen_bsw/Dem/Dem_Cfg_EventId.h:96; coem/BYD_UKE/gen_bsw/Dem/Dem_Cfg_Events_DataStructures.c:96; coem/BYD_UKE/gen_bsw/Dem/Dem_Cfg_Events_DataStructures.c:318; coem/BYD_UKE/gen_bsw/Dem/Dem_Cfg_DtcId.h:196</x:v>
      </x:c>
    </x:row>
    <x:row r="158" ht="68" customHeight="1">
      <x:c r="A158" s="144" t="str">
        <x:v>DemEvent</x:v>
      </x:c>
      <x:c r="B158" s="144" t="str">
        <x:v>EVT-071</x:v>
      </x:c>
      <x:c r="C158" s="144" t="str">
        <x:v>FAULT_VCU_Accelerograph_Depth_INVALID</x:v>
      </x:c>
      <x:c r="D158" s="144" t="str">
        <x:v>DTC=0xC1D529; Priority=64; Aging=40; Confirm=1; FFmax=2</x:v>
      </x:c>
      <x:c r="E158" s="144" t="str">
        <x:v>OperationCycle=POWER; Storage=NONE; Enable=EC_Group_Network</x:v>
      </x:c>
      <x:c r="F158" s="144" t="str">
        <x:v>诊断权限不适用；事件可用性由 Enable/Storage Condition 控制</x:v>
      </x:c>
      <x:c r="G158" s="144" t="str">
        <x:v>DTC_ID=41 DTC_VCU_SIGNAL_INVALID; debounce=ARCTRBASECLASS/FREEZE; recoverable=是; primary=是; agingAllowed=是; initialUnavailable=否</x:v>
      </x:c>
      <x:c r="H15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8" s="144" t="str">
        <x:v>交付 Event→DTC→Debounce→Aging→Memory→NvM 的可编辑配置、回调清单与自动测试 ID；禁止用参考 ARXML/生成代码作为输入。</x:v>
      </x:c>
      <x:c r="J158" s="144" t="str">
        <x:v>逐项注入 FAILED/PASSED、确认阈值、老化40周期、掉电恢复、ClearDTC、满40 Entry、回调失败；0x19 结果与内部状态一致。</x:v>
      </x:c>
      <x:c r="K158" s="144" t="str">
        <x:v>coem/BYD_UKE/gen_bsw/Dem/Dem_Cfg_EventId.h:97; coem/BYD_UKE/gen_bsw/Dem/Dem_Cfg_Events_DataStructures.c:97; coem/BYD_UKE/gen_bsw/Dem/Dem_Cfg_Events_DataStructures.c:319; coem/BYD_UKE/gen_bsw/Dem/Dem_Cfg_DtcId.h:197</x:v>
      </x:c>
    </x:row>
    <x:row r="159" ht="68" customHeight="1">
      <x:c r="A159" s="144" t="str">
        <x:v>DemEvent</x:v>
      </x:c>
      <x:c r="B159" s="144" t="str">
        <x:v>EVT-072</x:v>
      </x:c>
      <x:c r="C159" s="144" t="str">
        <x:v>FAULT_VCU_Acelrogra_Dpth_INVALID</x:v>
      </x:c>
      <x:c r="D159" s="144" t="str">
        <x:v>DTC=0xC1D529; Priority=64; Aging=40; Confirm=1; FFmax=2</x:v>
      </x:c>
      <x:c r="E159" s="144" t="str">
        <x:v>OperationCycle=POWER; Storage=NONE; Enable=EC_Group_Network</x:v>
      </x:c>
      <x:c r="F159" s="144" t="str">
        <x:v>诊断权限不适用；事件可用性由 Enable/Storage Condition 控制</x:v>
      </x:c>
      <x:c r="G159" s="144" t="str">
        <x:v>DTC_ID=41 DTC_VCU_SIGNAL_INVALID; debounce=ARCTRBASECLASS/FREEZE; recoverable=是; primary=是; agingAllowed=是; initialUnavailable=否</x:v>
      </x:c>
      <x:c r="H15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9" s="144" t="str">
        <x:v>交付 Event→DTC→Debounce→Aging→Memory→NvM 的可编辑配置、回调清单与自动测试 ID；禁止用参考 ARXML/生成代码作为输入。</x:v>
      </x:c>
      <x:c r="J159" s="144" t="str">
        <x:v>逐项注入 FAILED/PASSED、确认阈值、老化40周期、掉电恢复、ClearDTC、满40 Entry、回调失败；0x19 结果与内部状态一致。</x:v>
      </x:c>
      <x:c r="K159" s="144" t="str">
        <x:v>coem/BYD_UKE/gen_bsw/Dem/Dem_Cfg_EventId.h:98; coem/BYD_UKE/gen_bsw/Dem/Dem_Cfg_Events_DataStructures.c:98; coem/BYD_UKE/gen_bsw/Dem/Dem_Cfg_Events_DataStructures.c:320; coem/BYD_UKE/gen_bsw/Dem/Dem_Cfg_DtcId.h:198</x:v>
      </x:c>
    </x:row>
    <x:row r="160" ht="68" customHeight="1">
      <x:c r="A160" s="144" t="str">
        <x:v>DemEvent</x:v>
      </x:c>
      <x:c r="B160" s="144" t="str">
        <x:v>EVT-073</x:v>
      </x:c>
      <x:c r="C160" s="144" t="str">
        <x:v>FAULT_VCU_Goal_Gear_INVALID</x:v>
      </x:c>
      <x:c r="D160" s="144" t="str">
        <x:v>DTC=0xC1D529; Priority=64; Aging=40; Confirm=1; FFmax=2</x:v>
      </x:c>
      <x:c r="E160" s="144" t="str">
        <x:v>OperationCycle=POWER; Storage=NONE; Enable=EC_Group_Network</x:v>
      </x:c>
      <x:c r="F160" s="144" t="str">
        <x:v>诊断权限不适用；事件可用性由 Enable/Storage Condition 控制</x:v>
      </x:c>
      <x:c r="G160" s="144" t="str">
        <x:v>DTC_ID=41 DTC_VCU_SIGNAL_INVALID; debounce=ARCTRBASECLASS/FREEZE; recoverable=是; primary=是; agingAllowed=是; initialUnavailable=否</x:v>
      </x:c>
      <x:c r="H16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0" s="144" t="str">
        <x:v>交付 Event→DTC→Debounce→Aging→Memory→NvM 的可编辑配置、回调清单与自动测试 ID；禁止用参考 ARXML/生成代码作为输入。</x:v>
      </x:c>
      <x:c r="J160" s="144" t="str">
        <x:v>逐项注入 FAILED/PASSED、确认阈值、老化40周期、掉电恢复、ClearDTC、满40 Entry、回调失败；0x19 结果与内部状态一致。</x:v>
      </x:c>
      <x:c r="K160" s="144" t="str">
        <x:v>coem/BYD_UKE/gen_bsw/Dem/Dem_Cfg_EventId.h:99; coem/BYD_UKE/gen_bsw/Dem/Dem_Cfg_Events_DataStructures.c:99; coem/BYD_UKE/gen_bsw/Dem/Dem_Cfg_Events_DataStructures.c:321; coem/BYD_UKE/gen_bsw/Dem/Dem_Cfg_DtcId.h:199</x:v>
      </x:c>
    </x:row>
    <x:row r="161" ht="68" customHeight="1">
      <x:c r="A161" s="144" t="str">
        <x:v>DemEvent</x:v>
      </x:c>
      <x:c r="B161" s="144" t="str">
        <x:v>EVT-074</x:v>
      </x:c>
      <x:c r="C161" s="144" t="str">
        <x:v>Fault_Media_0x2B6_timeout</x:v>
      </x:c>
      <x:c r="D161" s="144" t="str">
        <x:v>DTC=0xC24500; Priority=64; Aging=40; Confirm=1; FFmax=2</x:v>
      </x:c>
      <x:c r="E161" s="144" t="str">
        <x:v>OperationCycle=POWER; Storage=NONE; Enable=EC_Group_Network</x:v>
      </x:c>
      <x:c r="F161" s="144" t="str">
        <x:v>诊断权限不适用；事件可用性由 Enable/Storage Condition 控制</x:v>
      </x:c>
      <x:c r="G161" s="144" t="str">
        <x:v>DTC_ID=47 DTC_Media_TIMEOUT; debounce=ARCTRBASECLASS/FREEZE; recoverable=是; primary=是; agingAllowed=是; initialUnavailable=否</x:v>
      </x:c>
      <x:c r="H16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1" s="144" t="str">
        <x:v>交付 Event→DTC→Debounce→Aging→Memory→NvM 的可编辑配置、回调清单与自动测试 ID；禁止用参考 ARXML/生成代码作为输入。</x:v>
      </x:c>
      <x:c r="J161" s="144" t="str">
        <x:v>逐项注入 FAILED/PASSED、确认阈值、老化40周期、掉电恢复、ClearDTC、满40 Entry、回调失败；0x19 结果与内部状态一致。</x:v>
      </x:c>
      <x:c r="K161" s="144" t="str">
        <x:v>coem/BYD_UKE/gen_bsw/Dem/Dem_Cfg_EventId.h:100; coem/BYD_UKE/gen_bsw/Dem/Dem_Cfg_Events_DataStructures.c:100; coem/BYD_UKE/gen_bsw/Dem/Dem_Cfg_Events_DataStructures.c:322; coem/BYD_UKE/gen_bsw/Dem/Dem_Cfg_DtcId.h:200</x:v>
      </x:c>
    </x:row>
    <x:row r="162" ht="68" customHeight="1">
      <x:c r="A162" s="144" t="str">
        <x:v>DemEvent</x:v>
      </x:c>
      <x:c r="B162" s="144" t="str">
        <x:v>EVT-075</x:v>
      </x:c>
      <x:c r="C162" s="144" t="str">
        <x:v>Fault_Media_0x49A_timeout</x:v>
      </x:c>
      <x:c r="D162" s="144" t="str">
        <x:v>DTC=0xC24500; Priority=64; Aging=40; Confirm=1; FFmax=2</x:v>
      </x:c>
      <x:c r="E162" s="144" t="str">
        <x:v>OperationCycle=POWER; Storage=NONE; Enable=EC_Group_Network</x:v>
      </x:c>
      <x:c r="F162" s="144" t="str">
        <x:v>诊断权限不适用；事件可用性由 Enable/Storage Condition 控制</x:v>
      </x:c>
      <x:c r="G162" s="144" t="str">
        <x:v>DTC_ID=47 DTC_Media_TIMEOUT; debounce=ARCTRBASECLASS/FREEZE; recoverable=是; primary=是; agingAllowed=是; initialUnavailable=否</x:v>
      </x:c>
      <x:c r="H16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2" s="144" t="str">
        <x:v>交付 Event→DTC→Debounce→Aging→Memory→NvM 的可编辑配置、回调清单与自动测试 ID；禁止用参考 ARXML/生成代码作为输入。</x:v>
      </x:c>
      <x:c r="J162" s="144" t="str">
        <x:v>逐项注入 FAILED/PASSED、确认阈值、老化40周期、掉电恢复、ClearDTC、满40 Entry、回调失败；0x19 结果与内部状态一致。</x:v>
      </x:c>
      <x:c r="K162" s="144" t="str">
        <x:v>coem/BYD_UKE/gen_bsw/Dem/Dem_Cfg_EventId.h:101; coem/BYD_UKE/gen_bsw/Dem/Dem_Cfg_Events_DataStructures.c:101; coem/BYD_UKE/gen_bsw/Dem/Dem_Cfg_Events_DataStructures.c:323; coem/BYD_UKE/gen_bsw/Dem/Dem_Cfg_DtcId.h:201</x:v>
      </x:c>
    </x:row>
    <x:row r="163" ht="68" customHeight="1">
      <x:c r="A163" s="144" t="str">
        <x:v>DemEvent</x:v>
      </x:c>
      <x:c r="B163" s="144" t="str">
        <x:v>EVT-076</x:v>
      </x:c>
      <x:c r="C163" s="144" t="str">
        <x:v>Fault_Media_49A_CRC_Error</x:v>
      </x:c>
      <x:c r="D163" s="144" t="str">
        <x:v>DTC=0xC2ED83; Priority=64; Aging=40; Confirm=1; FFmax=2</x:v>
      </x:c>
      <x:c r="E163" s="144" t="str">
        <x:v>OperationCycle=POWER; Storage=NONE; Enable=EC_Group_Network</x:v>
      </x:c>
      <x:c r="F163" s="144" t="str">
        <x:v>诊断权限不适用；事件可用性由 Enable/Storage Condition 控制</x:v>
      </x:c>
      <x:c r="G163" s="144" t="str">
        <x:v>DTC_ID=48 DTC_Media_CRC; debounce=ARCTRBASECLASS/FREEZE; recoverable=是; primary=是; agingAllowed=是; initialUnavailable=否</x:v>
      </x:c>
      <x:c r="H16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3" s="144" t="str">
        <x:v>交付 Event→DTC→Debounce→Aging→Memory→NvM 的可编辑配置、回调清单与自动测试 ID；禁止用参考 ARXML/生成代码作为输入。</x:v>
      </x:c>
      <x:c r="J163" s="144" t="str">
        <x:v>逐项注入 FAILED/PASSED、确认阈值、老化40周期、掉电恢复、ClearDTC、满40 Entry、回调失败；0x19 结果与内部状态一致。</x:v>
      </x:c>
      <x:c r="K163" s="144" t="str">
        <x:v>coem/BYD_UKE/gen_bsw/Dem/Dem_Cfg_EventId.h:102; coem/BYD_UKE/gen_bsw/Dem/Dem_Cfg_Events_DataStructures.c:102; coem/BYD_UKE/gen_bsw/Dem/Dem_Cfg_Events_DataStructures.c:324; coem/BYD_UKE/gen_bsw/Dem/Dem_Cfg_DtcId.h:202</x:v>
      </x:c>
    </x:row>
    <x:row r="164" ht="68" customHeight="1">
      <x:c r="A164" s="144" t="str">
        <x:v>DemEvent</x:v>
      </x:c>
      <x:c r="B164" s="144" t="str">
        <x:v>EVT-077</x:v>
      </x:c>
      <x:c r="C164" s="144" t="str">
        <x:v>Fault_RFL_50ms_ALC</x:v>
      </x:c>
      <x:c r="D164" s="144" t="str">
        <x:v>DTC=0xC1EA82; Priority=64; Aging=40; Confirm=1; FFmax=2</x:v>
      </x:c>
      <x:c r="E164" s="144" t="str">
        <x:v>OperationCycle=POWER; Storage=NONE; Enable=EnableConditionsPrivateCAN</x:v>
      </x:c>
      <x:c r="F164" s="144" t="str">
        <x:v>诊断权限不适用；事件可用性由 Enable/Storage Condition 控制</x:v>
      </x:c>
      <x:c r="G164" s="144" t="str">
        <x:v>DTC_ID=44 DTC_Private_Can_ALC; debounce=ARCTRBASECLASS/FREEZE; recoverable=是; primary=是; agingAllowed=是; initialUnavailable=否</x:v>
      </x:c>
      <x:c r="H16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4" s="144" t="str">
        <x:v>交付 Event→DTC→Debounce→Aging→Memory→NvM 的可编辑配置、回调清单与自动测试 ID；禁止用参考 ARXML/生成代码作为输入。</x:v>
      </x:c>
      <x:c r="J164" s="144" t="str">
        <x:v>逐项注入 FAILED/PASSED、确认阈值、老化40周期、掉电恢复、ClearDTC、满40 Entry、回调失败；0x19 结果与内部状态一致。</x:v>
      </x:c>
      <x:c r="K164" s="144" t="str">
        <x:v>coem/BYD_UKE/gen_bsw/Dem/Dem_Cfg_EventId.h:103; coem/BYD_UKE/gen_bsw/Dem/Dem_Cfg_Events_DataStructures.c:103; coem/BYD_UKE/gen_bsw/Dem/Dem_Cfg_Events_DataStructures.c:325; coem/BYD_UKE/gen_bsw/Dem/Dem_Cfg_DtcId.h:203</x:v>
      </x:c>
    </x:row>
    <x:row r="165" ht="68" customHeight="1">
      <x:c r="A165" s="144" t="str">
        <x:v>DemEvent</x:v>
      </x:c>
      <x:c r="B165" s="144" t="str">
        <x:v>EVT-078</x:v>
      </x:c>
      <x:c r="C165" s="144" t="str">
        <x:v>Fault_RFL_50ms_CRC</x:v>
      </x:c>
      <x:c r="D165" s="144" t="str">
        <x:v>DTC=0xC1EA83; Priority=64; Aging=40; Confirm=1; FFmax=2</x:v>
      </x:c>
      <x:c r="E165" s="144" t="str">
        <x:v>OperationCycle=POWER; Storage=NONE; Enable=EnableConditionsPrivateCAN</x:v>
      </x:c>
      <x:c r="F165" s="144" t="str">
        <x:v>诊断权限不适用；事件可用性由 Enable/Storage Condition 控制</x:v>
      </x:c>
      <x:c r="G165" s="144" t="str">
        <x:v>DTC_ID=45 DTC_Private_Can_CRC; debounce=ARCTRBASECLASS/FREEZE; recoverable=是; primary=是; agingAllowed=是; initialUnavailable=否</x:v>
      </x:c>
      <x:c r="H16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5" s="144" t="str">
        <x:v>交付 Event→DTC→Debounce→Aging→Memory→NvM 的可编辑配置、回调清单与自动测试 ID；禁止用参考 ARXML/生成代码作为输入。</x:v>
      </x:c>
      <x:c r="J165" s="144" t="str">
        <x:v>逐项注入 FAILED/PASSED、确认阈值、老化40周期、掉电恢复、ClearDTC、满40 Entry、回调失败；0x19 结果与内部状态一致。</x:v>
      </x:c>
      <x:c r="K165" s="144" t="str">
        <x:v>coem/BYD_UKE/gen_bsw/Dem/Dem_Cfg_EventId.h:104; coem/BYD_UKE/gen_bsw/Dem/Dem_Cfg_Events_DataStructures.c:104; coem/BYD_UKE/gen_bsw/Dem/Dem_Cfg_Events_DataStructures.c:326; coem/BYD_UKE/gen_bsw/Dem/Dem_Cfg_DtcId.h:204</x:v>
      </x:c>
    </x:row>
    <x:row r="166" ht="68" customHeight="1">
      <x:c r="A166" s="144" t="str">
        <x:v>DemEvent</x:v>
      </x:c>
      <x:c r="B166" s="144" t="str">
        <x:v>EVT-079</x:v>
      </x:c>
      <x:c r="C166" s="144" t="str">
        <x:v>Fault_RFL_50ms_Timeout</x:v>
      </x:c>
      <x:c r="D166" s="144" t="str">
        <x:v>DTC=0xC1EA87; Priority=64; Aging=40; Confirm=1; FFmax=2</x:v>
      </x:c>
      <x:c r="E166" s="144" t="str">
        <x:v>OperationCycle=POWER; Storage=NONE; Enable=EnableConditionsPrivateCAN</x:v>
      </x:c>
      <x:c r="F166" s="144" t="str">
        <x:v>诊断权限不适用；事件可用性由 Enable/Storage Condition 控制</x:v>
      </x:c>
      <x:c r="G166" s="144" t="str">
        <x:v>DTC_ID=46 DTC_Private_Can_TIMEOUT; debounce=ARCTRBASECLASS/FREEZE; recoverable=是; primary=是; agingAllowed=是; initialUnavailable=否</x:v>
      </x:c>
      <x:c r="H16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6" s="144" t="str">
        <x:v>交付 Event→DTC→Debounce→Aging→Memory→NvM 的可编辑配置、回调清单与自动测试 ID；禁止用参考 ARXML/生成代码作为输入。</x:v>
      </x:c>
      <x:c r="J166" s="144" t="str">
        <x:v>逐项注入 FAILED/PASSED、确认阈值、老化40周期、掉电恢复、ClearDTC、满40 Entry、回调失败；0x19 结果与内部状态一致。</x:v>
      </x:c>
      <x:c r="K166" s="144" t="str">
        <x:v>coem/BYD_UKE/gen_bsw/Dem/Dem_Cfg_EventId.h:105; coem/BYD_UKE/gen_bsw/Dem/Dem_Cfg_Events_DataStructures.c:105; coem/BYD_UKE/gen_bsw/Dem/Dem_Cfg_Events_DataStructures.c:327; coem/BYD_UKE/gen_bsw/Dem/Dem_Cfg_DtcId.h:205</x:v>
      </x:c>
    </x:row>
    <x:row r="167" ht="68" customHeight="1">
      <x:c r="A167" s="144" t="str">
        <x:v>DemEvent</x:v>
      </x:c>
      <x:c r="B167" s="144" t="str">
        <x:v>EVT-080</x:v>
      </x:c>
      <x:c r="C167" s="144" t="str">
        <x:v>Fault_RRL_20ms_ALC</x:v>
      </x:c>
      <x:c r="D167" s="144" t="str">
        <x:v>DTC=0xC1EA82; Priority=64; Aging=40; Confirm=1; FFmax=2</x:v>
      </x:c>
      <x:c r="E167" s="144" t="str">
        <x:v>OperationCycle=POWER; Storage=NONE; Enable=EnableConditionsPrivateCAN</x:v>
      </x:c>
      <x:c r="F167" s="144" t="str">
        <x:v>诊断权限不适用；事件可用性由 Enable/Storage Condition 控制</x:v>
      </x:c>
      <x:c r="G167" s="144" t="str">
        <x:v>DTC_ID=44 DTC_Private_Can_ALC; debounce=ARCTRBASECLASS/FREEZE; recoverable=是; primary=是; agingAllowed=是; initialUnavailable=否</x:v>
      </x:c>
      <x:c r="H16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7" s="144" t="str">
        <x:v>交付 Event→DTC→Debounce→Aging→Memory→NvM 的可编辑配置、回调清单与自动测试 ID；禁止用参考 ARXML/生成代码作为输入。</x:v>
      </x:c>
      <x:c r="J167" s="144" t="str">
        <x:v>逐项注入 FAILED/PASSED、确认阈值、老化40周期、掉电恢复、ClearDTC、满40 Entry、回调失败；0x19 结果与内部状态一致。</x:v>
      </x:c>
      <x:c r="K167" s="144" t="str">
        <x:v>coem/BYD_UKE/gen_bsw/Dem/Dem_Cfg_EventId.h:106; coem/BYD_UKE/gen_bsw/Dem/Dem_Cfg_Events_DataStructures.c:106; coem/BYD_UKE/gen_bsw/Dem/Dem_Cfg_Events_DataStructures.c:328; coem/BYD_UKE/gen_bsw/Dem/Dem_Cfg_DtcId.h:206</x:v>
      </x:c>
    </x:row>
    <x:row r="168" ht="68" customHeight="1">
      <x:c r="A168" s="144" t="str">
        <x:v>DemEvent</x:v>
      </x:c>
      <x:c r="B168" s="144" t="str">
        <x:v>EVT-081</x:v>
      </x:c>
      <x:c r="C168" s="144" t="str">
        <x:v>Fault_RRL_20ms_CRC</x:v>
      </x:c>
      <x:c r="D168" s="144" t="str">
        <x:v>DTC=0xC1EA83; Priority=64; Aging=40; Confirm=1; FFmax=2</x:v>
      </x:c>
      <x:c r="E168" s="144" t="str">
        <x:v>OperationCycle=POWER; Storage=NONE; Enable=EnableConditionsPrivateCAN</x:v>
      </x:c>
      <x:c r="F168" s="144" t="str">
        <x:v>诊断权限不适用；事件可用性由 Enable/Storage Condition 控制</x:v>
      </x:c>
      <x:c r="G168" s="144" t="str">
        <x:v>DTC_ID=45 DTC_Private_Can_CRC; debounce=ARCTRBASECLASS/FREEZE; recoverable=是; primary=是; agingAllowed=是; initialUnavailable=否</x:v>
      </x:c>
      <x:c r="H16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8" s="144" t="str">
        <x:v>交付 Event→DTC→Debounce→Aging→Memory→NvM 的可编辑配置、回调清单与自动测试 ID；禁止用参考 ARXML/生成代码作为输入。</x:v>
      </x:c>
      <x:c r="J168" s="144" t="str">
        <x:v>逐项注入 FAILED/PASSED、确认阈值、老化40周期、掉电恢复、ClearDTC、满40 Entry、回调失败；0x19 结果与内部状态一致。</x:v>
      </x:c>
      <x:c r="K168" s="144" t="str">
        <x:v>coem/BYD_UKE/gen_bsw/Dem/Dem_Cfg_EventId.h:107; coem/BYD_UKE/gen_bsw/Dem/Dem_Cfg_Events_DataStructures.c:107; coem/BYD_UKE/gen_bsw/Dem/Dem_Cfg_Events_DataStructures.c:329; coem/BYD_UKE/gen_bsw/Dem/Dem_Cfg_DtcId.h:207</x:v>
      </x:c>
    </x:row>
    <x:row r="169" ht="68" customHeight="1">
      <x:c r="A169" s="144" t="str">
        <x:v>DemEvent</x:v>
      </x:c>
      <x:c r="B169" s="144" t="str">
        <x:v>EVT-082</x:v>
      </x:c>
      <x:c r="C169" s="144" t="str">
        <x:v>Fault_RRL_20ms_Timeout</x:v>
      </x:c>
      <x:c r="D169" s="144" t="str">
        <x:v>DTC=0xC1EA87; Priority=64; Aging=40; Confirm=1; FFmax=2</x:v>
      </x:c>
      <x:c r="E169" s="144" t="str">
        <x:v>OperationCycle=POWER; Storage=NONE; Enable=EnableConditionsPrivateCAN</x:v>
      </x:c>
      <x:c r="F169" s="144" t="str">
        <x:v>诊断权限不适用；事件可用性由 Enable/Storage Condition 控制</x:v>
      </x:c>
      <x:c r="G169" s="144" t="str">
        <x:v>DTC_ID=46 DTC_Private_Can_TIMEOUT; debounce=ARCTRBASECLASS/FREEZE; recoverable=是; primary=是; agingAllowed=是; initialUnavailable=否</x:v>
      </x:c>
      <x:c r="H16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9" s="144" t="str">
        <x:v>交付 Event→DTC→Debounce→Aging→Memory→NvM 的可编辑配置、回调清单与自动测试 ID；禁止用参考 ARXML/生成代码作为输入。</x:v>
      </x:c>
      <x:c r="J169" s="144" t="str">
        <x:v>逐项注入 FAILED/PASSED、确认阈值、老化40周期、掉电恢复、ClearDTC、满40 Entry、回调失败；0x19 结果与内部状态一致。</x:v>
      </x:c>
      <x:c r="K169" s="144" t="str">
        <x:v>coem/BYD_UKE/gen_bsw/Dem/Dem_Cfg_EventId.h:108; coem/BYD_UKE/gen_bsw/Dem/Dem_Cfg_Events_DataStructures.c:108; coem/BYD_UKE/gen_bsw/Dem/Dem_Cfg_Events_DataStructures.c:330; coem/BYD_UKE/gen_bsw/Dem/Dem_Cfg_DtcId.h:208</x:v>
      </x:c>
    </x:row>
    <x:row r="170" ht="68" customHeight="1">
      <x:c r="A170" s="144" t="str">
        <x:v>DemEvent</x:v>
      </x:c>
      <x:c r="B170" s="144" t="str">
        <x:v>EVT-083</x:v>
      </x:c>
      <x:c r="C170" s="144" t="str">
        <x:v>Fault_RRL_50ms_ALC</x:v>
      </x:c>
      <x:c r="D170" s="144" t="str">
        <x:v>DTC=0xC1EA82; Priority=64; Aging=40; Confirm=1; FFmax=2</x:v>
      </x:c>
      <x:c r="E170" s="144" t="str">
        <x:v>OperationCycle=POWER; Storage=NONE; Enable=EnableConditionsPrivateCAN</x:v>
      </x:c>
      <x:c r="F170" s="144" t="str">
        <x:v>诊断权限不适用；事件可用性由 Enable/Storage Condition 控制</x:v>
      </x:c>
      <x:c r="G170" s="144" t="str">
        <x:v>DTC_ID=44 DTC_Private_Can_ALC; debounce=ARCTRBASECLASS/FREEZE; recoverable=是; primary=是; agingAllowed=是; initialUnavailable=否</x:v>
      </x:c>
      <x:c r="H17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0" s="144" t="str">
        <x:v>交付 Event→DTC→Debounce→Aging→Memory→NvM 的可编辑配置、回调清单与自动测试 ID；禁止用参考 ARXML/生成代码作为输入。</x:v>
      </x:c>
      <x:c r="J170" s="144" t="str">
        <x:v>逐项注入 FAILED/PASSED、确认阈值、老化40周期、掉电恢复、ClearDTC、满40 Entry、回调失败；0x19 结果与内部状态一致。</x:v>
      </x:c>
      <x:c r="K170" s="144" t="str">
        <x:v>coem/BYD_UKE/gen_bsw/Dem/Dem_Cfg_EventId.h:109; coem/BYD_UKE/gen_bsw/Dem/Dem_Cfg_Events_DataStructures.c:109; coem/BYD_UKE/gen_bsw/Dem/Dem_Cfg_Events_DataStructures.c:331; coem/BYD_UKE/gen_bsw/Dem/Dem_Cfg_DtcId.h:209</x:v>
      </x:c>
    </x:row>
    <x:row r="171" ht="68" customHeight="1">
      <x:c r="A171" s="144" t="str">
        <x:v>DemEvent</x:v>
      </x:c>
      <x:c r="B171" s="144" t="str">
        <x:v>EVT-084</x:v>
      </x:c>
      <x:c r="C171" s="144" t="str">
        <x:v>Fault_RRL_50ms_CRC</x:v>
      </x:c>
      <x:c r="D171" s="144" t="str">
        <x:v>DTC=0xC1EA83; Priority=64; Aging=40; Confirm=1; FFmax=2</x:v>
      </x:c>
      <x:c r="E171" s="144" t="str">
        <x:v>OperationCycle=POWER; Storage=NONE; Enable=EnableConditionsPrivateCAN</x:v>
      </x:c>
      <x:c r="F171" s="144" t="str">
        <x:v>诊断权限不适用；事件可用性由 Enable/Storage Condition 控制</x:v>
      </x:c>
      <x:c r="G171" s="144" t="str">
        <x:v>DTC_ID=45 DTC_Private_Can_CRC; debounce=ARCTRBASECLASS/FREEZE; recoverable=是; primary=是; agingAllowed=是; initialUnavailable=否</x:v>
      </x:c>
      <x:c r="H17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1" s="144" t="str">
        <x:v>交付 Event→DTC→Debounce→Aging→Memory→NvM 的可编辑配置、回调清单与自动测试 ID；禁止用参考 ARXML/生成代码作为输入。</x:v>
      </x:c>
      <x:c r="J171" s="144" t="str">
        <x:v>逐项注入 FAILED/PASSED、确认阈值、老化40周期、掉电恢复、ClearDTC、满40 Entry、回调失败；0x19 结果与内部状态一致。</x:v>
      </x:c>
      <x:c r="K171" s="144" t="str">
        <x:v>coem/BYD_UKE/gen_bsw/Dem/Dem_Cfg_EventId.h:110; coem/BYD_UKE/gen_bsw/Dem/Dem_Cfg_Events_DataStructures.c:110; coem/BYD_UKE/gen_bsw/Dem/Dem_Cfg_Events_DataStructures.c:332; coem/BYD_UKE/gen_bsw/Dem/Dem_Cfg_DtcId.h:210</x:v>
      </x:c>
    </x:row>
    <x:row r="172" ht="68" customHeight="1">
      <x:c r="A172" s="144" t="str">
        <x:v>DemEvent</x:v>
      </x:c>
      <x:c r="B172" s="144" t="str">
        <x:v>EVT-085</x:v>
      </x:c>
      <x:c r="C172" s="144" t="str">
        <x:v>Fault_RRL_50ms_Timeout</x:v>
      </x:c>
      <x:c r="D172" s="144" t="str">
        <x:v>DTC=0xC1EA87; Priority=64; Aging=40; Confirm=1; FFmax=2</x:v>
      </x:c>
      <x:c r="E172" s="144" t="str">
        <x:v>OperationCycle=POWER; Storage=NONE; Enable=EnableConditionsPrivateCAN</x:v>
      </x:c>
      <x:c r="F172" s="144" t="str">
        <x:v>诊断权限不适用；事件可用性由 Enable/Storage Condition 控制</x:v>
      </x:c>
      <x:c r="G172" s="144" t="str">
        <x:v>DTC_ID=46 DTC_Private_Can_TIMEOUT; debounce=ARCTRBASECLASS/FREEZE; recoverable=是; primary=是; agingAllowed=是; initialUnavailable=否</x:v>
      </x:c>
      <x:c r="H17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2" s="144" t="str">
        <x:v>交付 Event→DTC→Debounce→Aging→Memory→NvM 的可编辑配置、回调清单与自动测试 ID；禁止用参考 ARXML/生成代码作为输入。</x:v>
      </x:c>
      <x:c r="J172" s="144" t="str">
        <x:v>逐项注入 FAILED/PASSED、确认阈值、老化40周期、掉电恢复、ClearDTC、满40 Entry、回调失败；0x19 结果与内部状态一致。</x:v>
      </x:c>
      <x:c r="K172" s="144" t="str">
        <x:v>coem/BYD_UKE/gen_bsw/Dem/Dem_Cfg_EventId.h:111; coem/BYD_UKE/gen_bsw/Dem/Dem_Cfg_Events_DataStructures.c:111; coem/BYD_UKE/gen_bsw/Dem/Dem_Cfg_Events_DataStructures.c:333; coem/BYD_UKE/gen_bsw/Dem/Dem_Cfg_DtcId.h:211</x:v>
      </x:c>
    </x:row>
    <x:row r="173" ht="68" customHeight="1">
      <x:c r="A173" s="144" t="str">
        <x:v>DemEvent</x:v>
      </x:c>
      <x:c r="B173" s="144" t="str">
        <x:v>EVT-086</x:v>
      </x:c>
      <x:c r="C173" s="144" t="str">
        <x:v>Fault_RRL_Obj00A_ALC</x:v>
      </x:c>
      <x:c r="D173" s="144" t="str">
        <x:v>DTC=0xC1EA82; Priority=64; Aging=40; Confirm=1; FFmax=2</x:v>
      </x:c>
      <x:c r="E173" s="144" t="str">
        <x:v>OperationCycle=POWER; Storage=NONE; Enable=EnableConditionsPrivateCAN</x:v>
      </x:c>
      <x:c r="F173" s="144" t="str">
        <x:v>诊断权限不适用；事件可用性由 Enable/Storage Condition 控制</x:v>
      </x:c>
      <x:c r="G173" s="144" t="str">
        <x:v>DTC_ID=44 DTC_Private_Can_ALC; debounce=ARCTRBASECLASS/FREEZE; recoverable=是; primary=是; agingAllowed=是; initialUnavailable=否</x:v>
      </x:c>
      <x:c r="H17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3" s="144" t="str">
        <x:v>交付 Event→DTC→Debounce→Aging→Memory→NvM 的可编辑配置、回调清单与自动测试 ID；禁止用参考 ARXML/生成代码作为输入。</x:v>
      </x:c>
      <x:c r="J173" s="144" t="str">
        <x:v>逐项注入 FAILED/PASSED、确认阈值、老化40周期、掉电恢复、ClearDTC、满40 Entry、回调失败；0x19 结果与内部状态一致。</x:v>
      </x:c>
      <x:c r="K173" s="144" t="str">
        <x:v>coem/BYD_UKE/gen_bsw/Dem/Dem_Cfg_EventId.h:112; coem/BYD_UKE/gen_bsw/Dem/Dem_Cfg_Events_DataStructures.c:112; coem/BYD_UKE/gen_bsw/Dem/Dem_Cfg_Events_DataStructures.c:334; coem/BYD_UKE/gen_bsw/Dem/Dem_Cfg_DtcId.h:212</x:v>
      </x:c>
    </x:row>
    <x:row r="174" ht="68" customHeight="1">
      <x:c r="A174" s="144" t="str">
        <x:v>DemEvent</x:v>
      </x:c>
      <x:c r="B174" s="144" t="str">
        <x:v>EVT-087</x:v>
      </x:c>
      <x:c r="C174" s="144" t="str">
        <x:v>Fault_RRL_Obj00A_CRC</x:v>
      </x:c>
      <x:c r="D174" s="144" t="str">
        <x:v>DTC=0xC1EA83; Priority=64; Aging=40; Confirm=1; FFmax=2</x:v>
      </x:c>
      <x:c r="E174" s="144" t="str">
        <x:v>OperationCycle=POWER; Storage=NONE; Enable=EnableConditionsPrivateCAN</x:v>
      </x:c>
      <x:c r="F174" s="144" t="str">
        <x:v>诊断权限不适用；事件可用性由 Enable/Storage Condition 控制</x:v>
      </x:c>
      <x:c r="G174" s="144" t="str">
        <x:v>DTC_ID=45 DTC_Private_Can_CRC; debounce=ARCTRBASECLASS/FREEZE; recoverable=是; primary=是; agingAllowed=是; initialUnavailable=否</x:v>
      </x:c>
      <x:c r="H17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4" s="144" t="str">
        <x:v>交付 Event→DTC→Debounce→Aging→Memory→NvM 的可编辑配置、回调清单与自动测试 ID；禁止用参考 ARXML/生成代码作为输入。</x:v>
      </x:c>
      <x:c r="J174" s="144" t="str">
        <x:v>逐项注入 FAILED/PASSED、确认阈值、老化40周期、掉电恢复、ClearDTC、满40 Entry、回调失败；0x19 结果与内部状态一致。</x:v>
      </x:c>
      <x:c r="K174" s="144" t="str">
        <x:v>coem/BYD_UKE/gen_bsw/Dem/Dem_Cfg_EventId.h:113; coem/BYD_UKE/gen_bsw/Dem/Dem_Cfg_Events_DataStructures.c:113; coem/BYD_UKE/gen_bsw/Dem/Dem_Cfg_Events_DataStructures.c:335; coem/BYD_UKE/gen_bsw/Dem/Dem_Cfg_DtcId.h:213</x:v>
      </x:c>
    </x:row>
    <x:row r="175" ht="68" customHeight="1">
      <x:c r="A175" s="144" t="str">
        <x:v>DemEvent</x:v>
      </x:c>
      <x:c r="B175" s="144" t="str">
        <x:v>EVT-088</x:v>
      </x:c>
      <x:c r="C175" s="144" t="str">
        <x:v>Fault_RRL_Obj00B_ALC</x:v>
      </x:c>
      <x:c r="D175" s="144" t="str">
        <x:v>DTC=0xC1EA82; Priority=64; Aging=40; Confirm=1; FFmax=2</x:v>
      </x:c>
      <x:c r="E175" s="144" t="str">
        <x:v>OperationCycle=POWER; Storage=NONE; Enable=EnableConditionsPrivateCAN</x:v>
      </x:c>
      <x:c r="F175" s="144" t="str">
        <x:v>诊断权限不适用；事件可用性由 Enable/Storage Condition 控制</x:v>
      </x:c>
      <x:c r="G175" s="144" t="str">
        <x:v>DTC_ID=44 DTC_Private_Can_ALC; debounce=ARCTRBASECLASS/FREEZE; recoverable=是; primary=是; agingAllowed=是; initialUnavailable=否</x:v>
      </x:c>
      <x:c r="H17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5" s="144" t="str">
        <x:v>交付 Event→DTC→Debounce→Aging→Memory→NvM 的可编辑配置、回调清单与自动测试 ID；禁止用参考 ARXML/生成代码作为输入。</x:v>
      </x:c>
      <x:c r="J175" s="144" t="str">
        <x:v>逐项注入 FAILED/PASSED、确认阈值、老化40周期、掉电恢复、ClearDTC、满40 Entry、回调失败；0x19 结果与内部状态一致。</x:v>
      </x:c>
      <x:c r="K175" s="144" t="str">
        <x:v>coem/BYD_UKE/gen_bsw/Dem/Dem_Cfg_EventId.h:114; coem/BYD_UKE/gen_bsw/Dem/Dem_Cfg_Events_DataStructures.c:114; coem/BYD_UKE/gen_bsw/Dem/Dem_Cfg_Events_DataStructures.c:336; coem/BYD_UKE/gen_bsw/Dem/Dem_Cfg_DtcId.h:214</x:v>
      </x:c>
    </x:row>
    <x:row r="176" ht="68" customHeight="1">
      <x:c r="A176" s="144" t="str">
        <x:v>DemEvent</x:v>
      </x:c>
      <x:c r="B176" s="144" t="str">
        <x:v>EVT-089</x:v>
      </x:c>
      <x:c r="C176" s="144" t="str">
        <x:v>Fault_RRL_Obj00B_CRC</x:v>
      </x:c>
      <x:c r="D176" s="144" t="str">
        <x:v>DTC=0xC1EA83; Priority=64; Aging=40; Confirm=1; FFmax=2</x:v>
      </x:c>
      <x:c r="E176" s="144" t="str">
        <x:v>OperationCycle=POWER; Storage=NONE; Enable=EnableConditionsPrivateCAN</x:v>
      </x:c>
      <x:c r="F176" s="144" t="str">
        <x:v>诊断权限不适用；事件可用性由 Enable/Storage Condition 控制</x:v>
      </x:c>
      <x:c r="G176" s="144" t="str">
        <x:v>DTC_ID=45 DTC_Private_Can_CRC; debounce=ARCTRBASECLASS/FREEZE; recoverable=是; primary=是; agingAllowed=是; initialUnavailable=否</x:v>
      </x:c>
      <x:c r="H17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6" s="144" t="str">
        <x:v>交付 Event→DTC→Debounce→Aging→Memory→NvM 的可编辑配置、回调清单与自动测试 ID；禁止用参考 ARXML/生成代码作为输入。</x:v>
      </x:c>
      <x:c r="J176" s="144" t="str">
        <x:v>逐项注入 FAILED/PASSED、确认阈值、老化40周期、掉电恢复、ClearDTC、满40 Entry、回调失败；0x19 结果与内部状态一致。</x:v>
      </x:c>
      <x:c r="K176" s="144" t="str">
        <x:v>coem/BYD_UKE/gen_bsw/Dem/Dem_Cfg_EventId.h:115; coem/BYD_UKE/gen_bsw/Dem/Dem_Cfg_Events_DataStructures.c:115; coem/BYD_UKE/gen_bsw/Dem/Dem_Cfg_Events_DataStructures.c:337; coem/BYD_UKE/gen_bsw/Dem/Dem_Cfg_DtcId.h:215</x:v>
      </x:c>
    </x:row>
    <x:row r="177" ht="68" customHeight="1">
      <x:c r="A177" s="144" t="str">
        <x:v>DemEvent</x:v>
      </x:c>
      <x:c r="B177" s="144" t="str">
        <x:v>EVT-090</x:v>
      </x:c>
      <x:c r="C177" s="144" t="str">
        <x:v>Fault_RRL_status_ALC</x:v>
      </x:c>
      <x:c r="D177" s="144" t="str">
        <x:v>DTC=0xC1EA82; Priority=64; Aging=40; Confirm=1; FFmax=2</x:v>
      </x:c>
      <x:c r="E177" s="144" t="str">
        <x:v>OperationCycle=POWER; Storage=NONE; Enable=EnableConditionsPrivateCAN</x:v>
      </x:c>
      <x:c r="F177" s="144" t="str">
        <x:v>诊断权限不适用；事件可用性由 Enable/Storage Condition 控制</x:v>
      </x:c>
      <x:c r="G177" s="144" t="str">
        <x:v>DTC_ID=44 DTC_Private_Can_ALC; debounce=ARCTRBASECLASS/FREEZE; recoverable=是; primary=是; agingAllowed=是; initialUnavailable=否</x:v>
      </x:c>
      <x:c r="H17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7" s="144" t="str">
        <x:v>交付 Event→DTC→Debounce→Aging→Memory→NvM 的可编辑配置、回调清单与自动测试 ID；禁止用参考 ARXML/生成代码作为输入。</x:v>
      </x:c>
      <x:c r="J177" s="144" t="str">
        <x:v>逐项注入 FAILED/PASSED、确认阈值、老化40周期、掉电恢复、ClearDTC、满40 Entry、回调失败；0x19 结果与内部状态一致。</x:v>
      </x:c>
      <x:c r="K177" s="144" t="str">
        <x:v>coem/BYD_UKE/gen_bsw/Dem/Dem_Cfg_EventId.h:116; coem/BYD_UKE/gen_bsw/Dem/Dem_Cfg_Events_DataStructures.c:116; coem/BYD_UKE/gen_bsw/Dem/Dem_Cfg_Events_DataStructures.c:338; coem/BYD_UKE/gen_bsw/Dem/Dem_Cfg_DtcId.h:216</x:v>
      </x:c>
    </x:row>
    <x:row r="178" ht="68" customHeight="1">
      <x:c r="A178" s="144" t="str">
        <x:v>DemEvent</x:v>
      </x:c>
      <x:c r="B178" s="144" t="str">
        <x:v>EVT-091</x:v>
      </x:c>
      <x:c r="C178" s="144" t="str">
        <x:v>Fault_RRL_status_CRC</x:v>
      </x:c>
      <x:c r="D178" s="144" t="str">
        <x:v>DTC=0xC1EA83; Priority=64; Aging=40; Confirm=1; FFmax=2</x:v>
      </x:c>
      <x:c r="E178" s="144" t="str">
        <x:v>OperationCycle=POWER; Storage=NONE; Enable=EnableConditionsPrivateCAN</x:v>
      </x:c>
      <x:c r="F178" s="144" t="str">
        <x:v>诊断权限不适用；事件可用性由 Enable/Storage Condition 控制</x:v>
      </x:c>
      <x:c r="G178" s="144" t="str">
        <x:v>DTC_ID=45 DTC_Private_Can_CRC; debounce=ARCTRBASECLASS/FREEZE; recoverable=是; primary=是; agingAllowed=是; initialUnavailable=否</x:v>
      </x:c>
      <x:c r="H17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8" s="144" t="str">
        <x:v>交付 Event→DTC→Debounce→Aging→Memory→NvM 的可编辑配置、回调清单与自动测试 ID；禁止用参考 ARXML/生成代码作为输入。</x:v>
      </x:c>
      <x:c r="J178" s="144" t="str">
        <x:v>逐项注入 FAILED/PASSED、确认阈值、老化40周期、掉电恢复、ClearDTC、满40 Entry、回调失败；0x19 结果与内部状态一致。</x:v>
      </x:c>
      <x:c r="K178" s="144" t="str">
        <x:v>coem/BYD_UKE/gen_bsw/Dem/Dem_Cfg_EventId.h:117; coem/BYD_UKE/gen_bsw/Dem/Dem_Cfg_Events_DataStructures.c:117; coem/BYD_UKE/gen_bsw/Dem/Dem_Cfg_Events_DataStructures.c:339; coem/BYD_UKE/gen_bsw/Dem/Dem_Cfg_DtcId.h:217</x:v>
      </x:c>
    </x:row>
    <x:row r="179" ht="68" customHeight="1">
      <x:c r="A179" s="144" t="str">
        <x:v>DemEvent</x:v>
      </x:c>
      <x:c r="B179" s="144" t="str">
        <x:v>EVT-092</x:v>
      </x:c>
      <x:c r="C179" s="144" t="str">
        <x:v>Fault_RRL_status_Timeout</x:v>
      </x:c>
      <x:c r="D179" s="144" t="str">
        <x:v>DTC=0xC1EA87; Priority=64; Aging=40; Confirm=1; FFmax=2</x:v>
      </x:c>
      <x:c r="E179" s="144" t="str">
        <x:v>OperationCycle=POWER; Storage=NONE; Enable=EnableConditionsPrivateCAN</x:v>
      </x:c>
      <x:c r="F179" s="144" t="str">
        <x:v>诊断权限不适用；事件可用性由 Enable/Storage Condition 控制</x:v>
      </x:c>
      <x:c r="G179" s="144" t="str">
        <x:v>DTC_ID=46 DTC_Private_Can_TIMEOUT; debounce=ARCTRBASECLASS/FREEZE; recoverable=是; primary=是; agingAllowed=是; initialUnavailable=否</x:v>
      </x:c>
      <x:c r="H17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9" s="144" t="str">
        <x:v>交付 Event→DTC→Debounce→Aging→Memory→NvM 的可编辑配置、回调清单与自动测试 ID；禁止用参考 ARXML/生成代码作为输入。</x:v>
      </x:c>
      <x:c r="J179" s="144" t="str">
        <x:v>逐项注入 FAILED/PASSED、确认阈值、老化40周期、掉电恢复、ClearDTC、满40 Entry、回调失败；0x19 结果与内部状态一致。</x:v>
      </x:c>
      <x:c r="K179" s="144" t="str">
        <x:v>coem/BYD_UKE/gen_bsw/Dem/Dem_Cfg_EventId.h:118; coem/BYD_UKE/gen_bsw/Dem/Dem_Cfg_Events_DataStructures.c:118; coem/BYD_UKE/gen_bsw/Dem/Dem_Cfg_Events_DataStructures.c:340; coem/BYD_UKE/gen_bsw/Dem/Dem_Cfg_DtcId.h:218</x:v>
      </x:c>
    </x:row>
    <x:row r="180" ht="68" customHeight="1">
      <x:c r="A180" s="144" t="str">
        <x:v>DemEvent</x:v>
      </x:c>
      <x:c r="B180" s="144" t="str">
        <x:v>EVT-093</x:v>
      </x:c>
      <x:c r="C180" s="144" t="str">
        <x:v>Fault_RRR_HU_SelReq_ALC</x:v>
      </x:c>
      <x:c r="D180" s="144" t="str">
        <x:v>DTC=0xC1EA82; Priority=64; Aging=40; Confirm=1; FFmax=2</x:v>
      </x:c>
      <x:c r="E180" s="144" t="str">
        <x:v>OperationCycle=POWER; Storage=NONE; Enable=EnableConditionsPrivateCAN</x:v>
      </x:c>
      <x:c r="F180" s="144" t="str">
        <x:v>诊断权限不适用；事件可用性由 Enable/Storage Condition 控制</x:v>
      </x:c>
      <x:c r="G180" s="144" t="str">
        <x:v>DTC_ID=44 DTC_Private_Can_ALC; debounce=ARCTRBASECLASS/FREEZE; recoverable=是; primary=是; agingAllowed=是; initialUnavailable=否</x:v>
      </x:c>
      <x:c r="H18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0" s="144" t="str">
        <x:v>交付 Event→DTC→Debounce→Aging→Memory→NvM 的可编辑配置、回调清单与自动测试 ID；禁止用参考 ARXML/生成代码作为输入。</x:v>
      </x:c>
      <x:c r="J180" s="144" t="str">
        <x:v>逐项注入 FAILED/PASSED、确认阈值、老化40周期、掉电恢复、ClearDTC、满40 Entry、回调失败；0x19 结果与内部状态一致。</x:v>
      </x:c>
      <x:c r="K180" s="144" t="str">
        <x:v>coem/BYD_UKE/gen_bsw/Dem/Dem_Cfg_EventId.h:119; coem/BYD_UKE/gen_bsw/Dem/Dem_Cfg_Events_DataStructures.c:119; coem/BYD_UKE/gen_bsw/Dem/Dem_Cfg_Events_DataStructures.c:341; coem/BYD_UKE/gen_bsw/Dem/Dem_Cfg_DtcId.h:219</x:v>
      </x:c>
    </x:row>
    <x:row r="181" ht="68" customHeight="1">
      <x:c r="A181" s="144" t="str">
        <x:v>DemEvent</x:v>
      </x:c>
      <x:c r="B181" s="144" t="str">
        <x:v>EVT-094</x:v>
      </x:c>
      <x:c r="C181" s="144" t="str">
        <x:v>Fault_RRR_HU_SelReq_CRC</x:v>
      </x:c>
      <x:c r="D181" s="144" t="str">
        <x:v>DTC=0xC1EA83; Priority=64; Aging=40; Confirm=1; FFmax=2</x:v>
      </x:c>
      <x:c r="E181" s="144" t="str">
        <x:v>OperationCycle=POWER; Storage=NONE; Enable=EnableConditionsPrivateCAN</x:v>
      </x:c>
      <x:c r="F181" s="144" t="str">
        <x:v>诊断权限不适用；事件可用性由 Enable/Storage Condition 控制</x:v>
      </x:c>
      <x:c r="G181" s="144" t="str">
        <x:v>DTC_ID=45 DTC_Private_Can_CRC; debounce=ARCTRBASECLASS/FREEZE; recoverable=是; primary=是; agingAllowed=是; initialUnavailable=否</x:v>
      </x:c>
      <x:c r="H18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1" s="144" t="str">
        <x:v>交付 Event→DTC→Debounce→Aging→Memory→NvM 的可编辑配置、回调清单与自动测试 ID；禁止用参考 ARXML/生成代码作为输入。</x:v>
      </x:c>
      <x:c r="J181" s="144" t="str">
        <x:v>逐项注入 FAILED/PASSED、确认阈值、老化40周期、掉电恢复、ClearDTC、满40 Entry、回调失败；0x19 结果与内部状态一致。</x:v>
      </x:c>
      <x:c r="K181" s="144" t="str">
        <x:v>coem/BYD_UKE/gen_bsw/Dem/Dem_Cfg_EventId.h:120; coem/BYD_UKE/gen_bsw/Dem/Dem_Cfg_Events_DataStructures.c:120; coem/BYD_UKE/gen_bsw/Dem/Dem_Cfg_Events_DataStructures.c:342; coem/BYD_UKE/gen_bsw/Dem/Dem_Cfg_DtcId.h:220</x:v>
      </x:c>
    </x:row>
    <x:row r="182" ht="68" customHeight="1">
      <x:c r="A182" s="144" t="str">
        <x:v>DemEvent</x:v>
      </x:c>
      <x:c r="B182" s="144" t="str">
        <x:v>EVT-095</x:v>
      </x:c>
      <x:c r="C182" s="144" t="str">
        <x:v>Fault_RRR_HU_SelReq_Timeout</x:v>
      </x:c>
      <x:c r="D182" s="144" t="str">
        <x:v>DTC=0xC1EA87; Priority=64; Aging=40; Confirm=1; FFmax=2</x:v>
      </x:c>
      <x:c r="E182" s="144" t="str">
        <x:v>OperationCycle=POWER; Storage=NONE; Enable=EnableConditionsPrivateCAN</x:v>
      </x:c>
      <x:c r="F182" s="144" t="str">
        <x:v>诊断权限不适用；事件可用性由 Enable/Storage Condition 控制</x:v>
      </x:c>
      <x:c r="G182" s="144" t="str">
        <x:v>DTC_ID=46 DTC_Private_Can_TIMEOUT; debounce=ARCTRBASECLASS/FREEZE; recoverable=是; primary=是; agingAllowed=是; initialUnavailable=否</x:v>
      </x:c>
      <x:c r="H18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2" s="144" t="str">
        <x:v>交付 Event→DTC→Debounce→Aging→Memory→NvM 的可编辑配置、回调清单与自动测试 ID；禁止用参考 ARXML/生成代码作为输入。</x:v>
      </x:c>
      <x:c r="J182" s="144" t="str">
        <x:v>逐项注入 FAILED/PASSED、确认阈值、老化40周期、掉电恢复、ClearDTC、满40 Entry、回调失败；0x19 结果与内部状态一致。</x:v>
      </x:c>
      <x:c r="K182" s="144" t="str">
        <x:v>coem/BYD_UKE/gen_bsw/Dem/Dem_Cfg_EventId.h:121; coem/BYD_UKE/gen_bsw/Dem/Dem_Cfg_Events_DataStructures.c:121; coem/BYD_UKE/gen_bsw/Dem/Dem_Cfg_Events_DataStructures.c:343; coem/BYD_UKE/gen_bsw/Dem/Dem_Cfg_DtcId.h:221</x:v>
      </x:c>
    </x:row>
    <x:row r="183" ht="68" customHeight="1">
      <x:c r="A183" s="144" t="str">
        <x:v>DemEvent</x:v>
      </x:c>
      <x:c r="B183" s="144" t="str">
        <x:v>EVT-096</x:v>
      </x:c>
      <x:c r="C183" s="144" t="str">
        <x:v>PF_Event_ADCBUF_MMWave_getCQBufAddr</x:v>
      </x:c>
      <x:c r="D183" s="144" t="str">
        <x:v>DTC=0xACE500; Priority=64; Aging=40; Confirm=1; FFmax=2</x:v>
      </x:c>
      <x:c r="E183" s="144" t="str">
        <x:v>OperationCycle=POWER; Storage=NONE; Enable=NONE</x:v>
      </x:c>
      <x:c r="F183" s="144" t="str">
        <x:v>诊断权限不适用；事件可用性由 Enable/Storage Condition 控制</x:v>
      </x:c>
      <x:c r="G183" s="144" t="str">
        <x:v>DTC_ID=28 DTC_ADC_SELF_TEST_FAILURE; debounce=ARCTRBASECLASS/FREEZE; recoverable=是; primary=是; agingAllowed=是; initialUnavailable=否</x:v>
      </x:c>
      <x:c r="H18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3" s="144" t="str">
        <x:v>交付 Event→DTC→Debounce→Aging→Memory→NvM 的可编辑配置、回调清单与自动测试 ID；禁止用参考 ARXML/生成代码作为输入。</x:v>
      </x:c>
      <x:c r="J183" s="144" t="str">
        <x:v>逐项注入 FAILED/PASSED、确认阈值、老化40周期、掉电恢复、ClearDTC、满40 Entry、回调失败；0x19 结果与内部状态一致。</x:v>
      </x:c>
      <x:c r="K183" s="144" t="str">
        <x:v>coem/BYD_UKE/gen_bsw/Dem/Dem_Cfg_EventId.h:122; coem/BYD_UKE/gen_bsw/Dem/Dem_Cfg_Events_DataStructures.c:122; coem/BYD_UKE/gen_bsw/Dem/Dem_Cfg_Events_DataStructures.c:344; coem/BYD_UKE/gen_bsw/Dem/Dem_Cfg_DtcId.h:222</x:v>
      </x:c>
    </x:row>
    <x:row r="184" ht="68" customHeight="1">
      <x:c r="A184" s="144" t="str">
        <x:v>DemEvent</x:v>
      </x:c>
      <x:c r="B184" s="144" t="str">
        <x:v>EVT-097</x:v>
      </x:c>
      <x:c r="C184" s="144" t="str">
        <x:v>PF_Event_ADCBUF_MMWave_open</x:v>
      </x:c>
      <x:c r="D184" s="144" t="str">
        <x:v>DTC=0xACE500; Priority=64; Aging=40; Confirm=1; FFmax=2</x:v>
      </x:c>
      <x:c r="E184" s="144" t="str">
        <x:v>OperationCycle=POWER; Storage=NONE; Enable=NONE</x:v>
      </x:c>
      <x:c r="F184" s="144" t="str">
        <x:v>诊断权限不适用；事件可用性由 Enable/Storage Condition 控制</x:v>
      </x:c>
      <x:c r="G184" s="144" t="str">
        <x:v>DTC_ID=28 DTC_ADC_SELF_TEST_FAILURE; debounce=ARCTRBASECLASS/FREEZE; recoverable=是; primary=是; agingAllowed=是; initialUnavailable=否</x:v>
      </x:c>
      <x:c r="H18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4" s="144" t="str">
        <x:v>交付 Event→DTC→Debounce→Aging→Memory→NvM 的可编辑配置、回调清单与自动测试 ID；禁止用参考 ARXML/生成代码作为输入。</x:v>
      </x:c>
      <x:c r="J184" s="144" t="str">
        <x:v>逐项注入 FAILED/PASSED、确认阈值、老化40周期、掉电恢复、ClearDTC、满40 Entry、回调失败；0x19 结果与内部状态一致。</x:v>
      </x:c>
      <x:c r="K184" s="144" t="str">
        <x:v>coem/BYD_UKE/gen_bsw/Dem/Dem_Cfg_EventId.h:123; coem/BYD_UKE/gen_bsw/Dem/Dem_Cfg_Events_DataStructures.c:123; coem/BYD_UKE/gen_bsw/Dem/Dem_Cfg_Events_DataStructures.c:345; coem/BYD_UKE/gen_bsw/Dem/Dem_Cfg_DtcId.h:223</x:v>
      </x:c>
    </x:row>
    <x:row r="185" ht="68" customHeight="1">
      <x:c r="A185" s="144" t="str">
        <x:v>DemEvent</x:v>
      </x:c>
      <x:c r="B185" s="144" t="str">
        <x:v>EVT-098</x:v>
      </x:c>
      <x:c r="C185" s="144" t="str">
        <x:v>PF_Event_ADCBuf_ChannelNotSupport</x:v>
      </x:c>
      <x:c r="D185" s="144" t="str">
        <x:v>DTC=0xACE500; Priority=64; Aging=40; Confirm=1; FFmax=2</x:v>
      </x:c>
      <x:c r="E185" s="144" t="str">
        <x:v>OperationCycle=POWER; Storage=NONE; Enable=NONE</x:v>
      </x:c>
      <x:c r="F185" s="144" t="str">
        <x:v>诊断权限不适用；事件可用性由 Enable/Storage Condition 控制</x:v>
      </x:c>
      <x:c r="G185" s="144" t="str">
        <x:v>DTC_ID=28 DTC_ADC_SELF_TEST_FAILURE; debounce=ARCTRBASECLASS/FREEZE; recoverable=是; primary=是; agingAllowed=是; initialUnavailable=否</x:v>
      </x:c>
      <x:c r="H18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5" s="144" t="str">
        <x:v>交付 Event→DTC→Debounce→Aging→Memory→NvM 的可编辑配置、回调清单与自动测试 ID；禁止用参考 ARXML/生成代码作为输入。</x:v>
      </x:c>
      <x:c r="J185" s="144" t="str">
        <x:v>逐项注入 FAILED/PASSED、确认阈值、老化40周期、掉电恢复、ClearDTC、满40 Entry、回调失败；0x19 结果与内部状态一致。</x:v>
      </x:c>
      <x:c r="K185" s="144" t="str">
        <x:v>coem/BYD_UKE/gen_bsw/Dem/Dem_Cfg_EventId.h:124; coem/BYD_UKE/gen_bsw/Dem/Dem_Cfg_Events_DataStructures.c:124; coem/BYD_UKE/gen_bsw/Dem/Dem_Cfg_Events_DataStructures.c:346; coem/BYD_UKE/gen_bsw/Dem/Dem_Cfg_DtcId.h:224</x:v>
      </x:c>
    </x:row>
    <x:row r="186" ht="68" customHeight="1">
      <x:c r="A186" s="144" t="str">
        <x:v>DemEvent</x:v>
      </x:c>
      <x:c r="B186" s="144" t="str">
        <x:v>EVT-099</x:v>
      </x:c>
      <x:c r="C186" s="144" t="str">
        <x:v>PF_Event_ADCBuf_Close</x:v>
      </x:c>
      <x:c r="D186" s="144" t="str">
        <x:v>DTC=0xACE500; Priority=64; Aging=40; Confirm=1; FFmax=2</x:v>
      </x:c>
      <x:c r="E186" s="144" t="str">
        <x:v>OperationCycle=POWER; Storage=NONE; Enable=NONE</x:v>
      </x:c>
      <x:c r="F186" s="144" t="str">
        <x:v>诊断权限不适用；事件可用性由 Enable/Storage Condition 控制</x:v>
      </x:c>
      <x:c r="G186" s="144" t="str">
        <x:v>DTC_ID=28 DTC_ADC_SELF_TEST_FAILURE; debounce=ARCTRBASECLASS/FREEZE; recoverable=是; primary=是; agingAllowed=是; initialUnavailable=否</x:v>
      </x:c>
      <x:c r="H18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6" s="144" t="str">
        <x:v>交付 Event→DTC→Debounce→Aging→Memory→NvM 的可编辑配置、回调清单与自动测试 ID；禁止用参考 ARXML/生成代码作为输入。</x:v>
      </x:c>
      <x:c r="J186" s="144" t="str">
        <x:v>逐项注入 FAILED/PASSED、确认阈值、老化40周期、掉电恢复、ClearDTC、满40 Entry、回调失败；0x19 结果与内部状态一致。</x:v>
      </x:c>
      <x:c r="K186" s="144" t="str">
        <x:v>coem/BYD_UKE/gen_bsw/Dem/Dem_Cfg_EventId.h:125; coem/BYD_UKE/gen_bsw/Dem/Dem_Cfg_Events_DataStructures.c:125; coem/BYD_UKE/gen_bsw/Dem/Dem_Cfg_Events_DataStructures.c:347; coem/BYD_UKE/gen_bsw/Dem/Dem_Cfg_DtcId.h:225</x:v>
      </x:c>
    </x:row>
    <x:row r="187" ht="68" customHeight="1">
      <x:c r="A187" s="144" t="str">
        <x:v>DemEvent</x:v>
      </x:c>
      <x:c r="B187" s="144" t="str">
        <x:v>EVT-100</x:v>
      </x:c>
      <x:c r="C187" s="144" t="str">
        <x:v>PF_Event_ADCBuf_Init</x:v>
      </x:c>
      <x:c r="D187" s="144" t="str">
        <x:v>DTC=0xACE500; Priority=64; Aging=40; Confirm=1; FFmax=2</x:v>
      </x:c>
      <x:c r="E187" s="144" t="str">
        <x:v>OperationCycle=POWER; Storage=NONE; Enable=NONE</x:v>
      </x:c>
      <x:c r="F187" s="144" t="str">
        <x:v>诊断权限不适用；事件可用性由 Enable/Storage Condition 控制</x:v>
      </x:c>
      <x:c r="G187" s="144" t="str">
        <x:v>DTC_ID=28 DTC_ADC_SELF_TEST_FAILURE; debounce=ARCTRBASECLASS/FREEZE; recoverable=是; primary=是; agingAllowed=是; initialUnavailable=否</x:v>
      </x:c>
      <x:c r="H18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7" s="144" t="str">
        <x:v>交付 Event→DTC→Debounce→Aging→Memory→NvM 的可编辑配置、回调清单与自动测试 ID；禁止用参考 ARXML/生成代码作为输入。</x:v>
      </x:c>
      <x:c r="J187" s="144" t="str">
        <x:v>逐项注入 FAILED/PASSED、确认阈值、老化40周期、掉电恢复、ClearDTC、满40 Entry、回调失败；0x19 结果与内部状态一致。</x:v>
      </x:c>
      <x:c r="K187" s="144" t="str">
        <x:v>coem/BYD_UKE/gen_bsw/Dem/Dem_Cfg_EventId.h:126; coem/BYD_UKE/gen_bsw/Dem/Dem_Cfg_Events_DataStructures.c:126; coem/BYD_UKE/gen_bsw/Dem/Dem_Cfg_Events_DataStructures.c:348; coem/BYD_UKE/gen_bsw/Dem/Dem_Cfg_DtcId.h:226</x:v>
      </x:c>
    </x:row>
    <x:row r="188" ht="68" customHeight="1">
      <x:c r="A188" s="144" t="str">
        <x:v>DemEvent</x:v>
      </x:c>
      <x:c r="B188" s="144" t="str">
        <x:v>EVT-101</x:v>
      </x:c>
      <x:c r="C188" s="144" t="str">
        <x:v>PF_Event_ADCBuf_getChanBufAddr</x:v>
      </x:c>
      <x:c r="D188" s="144" t="str">
        <x:v>DTC=0xACE500; Priority=64; Aging=40; Confirm=1; FFmax=2</x:v>
      </x:c>
      <x:c r="E188" s="144" t="str">
        <x:v>OperationCycle=POWER; Storage=NONE; Enable=NONE</x:v>
      </x:c>
      <x:c r="F188" s="144" t="str">
        <x:v>诊断权限不适用；事件可用性由 Enable/Storage Condition 控制</x:v>
      </x:c>
      <x:c r="G188" s="144" t="str">
        <x:v>DTC_ID=28 DTC_ADC_SELF_TEST_FAILURE; debounce=ARCTRBASECLASS/FREEZE; recoverable=是; primary=是; agingAllowed=是; initialUnavailable=否</x:v>
      </x:c>
      <x:c r="H18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8" s="144" t="str">
        <x:v>交付 Event→DTC→Debounce→Aging→Memory→NvM 的可编辑配置、回调清单与自动测试 ID；禁止用参考 ARXML/生成代码作为输入。</x:v>
      </x:c>
      <x:c r="J188" s="144" t="str">
        <x:v>逐项注入 FAILED/PASSED、确认阈值、老化40周期、掉电恢复、ClearDTC、满40 Entry、回调失败；0x19 结果与内部状态一致。</x:v>
      </x:c>
      <x:c r="K188" s="144" t="str">
        <x:v>coem/BYD_UKE/gen_bsw/Dem/Dem_Cfg_EventId.h:127; coem/BYD_UKE/gen_bsw/Dem/Dem_Cfg_Events_DataStructures.c:127; coem/BYD_UKE/gen_bsw/Dem/Dem_Cfg_Events_DataStructures.c:349; coem/BYD_UKE/gen_bsw/Dem/Dem_Cfg_DtcId.h:227</x:v>
      </x:c>
    </x:row>
    <x:row r="189" ht="68" customHeight="1">
      <x:c r="A189" s="144" t="str">
        <x:v>DemEvent</x:v>
      </x:c>
      <x:c r="B189" s="144" t="str">
        <x:v>EVT-102</x:v>
      </x:c>
      <x:c r="C189" s="144" t="str">
        <x:v>PF_Event_ANTENNA_AUTHENTIC_BOOT_FAIL</x:v>
      </x:c>
      <x:c r="D189" s="144" t="str">
        <x:v>DTC=0xACED00; Priority=64; Aging=40; Confirm=1; FFmax=2</x:v>
      </x:c>
      <x:c r="E189" s="144" t="str">
        <x:v>OperationCycle=POWER; Storage=NONE; Enable=NONE</x:v>
      </x:c>
      <x:c r="F189" s="144" t="str">
        <x:v>诊断权限不适用；事件可用性由 Enable/Storage Condition 控制</x:v>
      </x:c>
      <x:c r="G189" s="144" t="str">
        <x:v>DTC_ID=34 DTC_AntennaDiagram_INVALID; debounce=ARCTRBASECLASS/FREEZE; recoverable=是; primary=是; agingAllowed=是; initialUnavailable=否</x:v>
      </x:c>
      <x:c r="H18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9" s="144" t="str">
        <x:v>交付 Event→DTC→Debounce→Aging→Memory→NvM 的可编辑配置、回调清单与自动测试 ID；禁止用参考 ARXML/生成代码作为输入。</x:v>
      </x:c>
      <x:c r="J189" s="144" t="str">
        <x:v>逐项注入 FAILED/PASSED、确认阈值、老化40周期、掉电恢复、ClearDTC、满40 Entry、回调失败；0x19 结果与内部状态一致。</x:v>
      </x:c>
      <x:c r="K189" s="144" t="str">
        <x:v>coem/BYD_UKE/gen_bsw/Dem/Dem_Cfg_EventId.h:128; coem/BYD_UKE/gen_bsw/Dem/Dem_Cfg_Events_DataStructures.c:128; coem/BYD_UKE/gen_bsw/Dem/Dem_Cfg_Events_DataStructures.c:350; coem/BYD_UKE/gen_bsw/Dem/Dem_Cfg_DtcId.h:228</x:v>
      </x:c>
    </x:row>
    <x:row r="190" ht="68" customHeight="1">
      <x:c r="A190" s="144" t="str">
        <x:v>DemEvent</x:v>
      </x:c>
      <x:c r="B190" s="144" t="str">
        <x:v>EVT-103</x:v>
      </x:c>
      <x:c r="C190" s="144" t="str">
        <x:v>PF_Event_Absorption_Blind</x:v>
      </x:c>
      <x:c r="D190" s="144" t="str">
        <x:v>DTC=0xACE876; Priority=64; Aging=40; Confirm=1; FFmax=2</x:v>
      </x:c>
      <x:c r="E190" s="144" t="str">
        <x:v>OperationCycle=POWER; Storage=NONE; Enable=EC_Group_Blindness</x:v>
      </x:c>
      <x:c r="F190" s="144" t="str">
        <x:v>诊断权限不适用；事件可用性由 Enable/Storage Condition 控制</x:v>
      </x:c>
      <x:c r="G190" s="144" t="str">
        <x:v>DTC_ID=31 DTC_SYS_BLIND; debounce=ARCTRBASECLASS/FREEZE; recoverable=是; primary=是; agingAllowed=是; initialUnavailable=否</x:v>
      </x:c>
      <x:c r="H19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0" s="144" t="str">
        <x:v>交付 Event→DTC→Debounce→Aging→Memory→NvM 的可编辑配置、回调清单与自动测试 ID；禁止用参考 ARXML/生成代码作为输入。</x:v>
      </x:c>
      <x:c r="J190" s="144" t="str">
        <x:v>逐项注入 FAILED/PASSED、确认阈值、老化40周期、掉电恢复、ClearDTC、满40 Entry、回调失败；0x19 结果与内部状态一致。</x:v>
      </x:c>
      <x:c r="K190" s="144" t="str">
        <x:v>coem/BYD_UKE/gen_bsw/Dem/Dem_Cfg_EventId.h:129; coem/BYD_UKE/gen_bsw/Dem/Dem_Cfg_Events_DataStructures.c:129; coem/BYD_UKE/gen_bsw/Dem/Dem_Cfg_Events_DataStructures.c:351; coem/BYD_UKE/gen_bsw/Dem/Dem_Cfg_DtcId.h:229</x:v>
      </x:c>
    </x:row>
    <x:row r="191" ht="68" customHeight="1">
      <x:c r="A191" s="144" t="str">
        <x:v>DemEvent</x:v>
      </x:c>
      <x:c r="B191" s="144" t="str">
        <x:v>EVT-104</x:v>
      </x:c>
      <x:c r="C191" s="144" t="str">
        <x:v>PF_Event_DSP_FAILURE</x:v>
      </x:c>
      <x:c r="D191" s="144" t="str">
        <x:v>DTC=-; Priority=255; Aging=1; Confirm=1; FFmax=0</x:v>
      </x:c>
      <x:c r="E191" s="144" t="str">
        <x:v>OperationCycle=POWER; Storage=NONE; Enable=NONE</x:v>
      </x:c>
      <x:c r="F191" s="144" t="str">
        <x:v>诊断权限不适用；事件可用性由 Enable/Storage Condition 控制</x:v>
      </x:c>
      <x:c r="G191" s="144" t="str">
        <x:v>DTC_ID=0 NO_DTC; debounce=ARCTRBASECLASS/FREEZE; recoverable=是; primary=否; agingAllowed=否; initialUnavailable=否</x:v>
      </x:c>
      <x:c r="H19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1" s="144" t="str">
        <x:v>交付 Event→DTC→Debounce→Aging→Memory→NvM 的可编辑配置、回调清单与自动测试 ID；禁止用参考 ARXML/生成代码作为输入。</x:v>
      </x:c>
      <x:c r="J191" s="144" t="str">
        <x:v>逐项注入 FAILED/PASSED、确认阈值、老化40周期、掉电恢复、ClearDTC、满40 Entry、回调失败；0x19 结果与内部状态一致。</x:v>
      </x:c>
      <x:c r="K191" s="144" t="str">
        <x:v>coem/BYD_UKE/gen_bsw/Dem/Dem_Cfg_EventId.h:130; coem/BYD_UKE/gen_bsw/Dem/Dem_Cfg_Events_DataStructures.c:130; coem/BYD_UKE/gen_bsw/Dem/Dem_Cfg_Events_DataStructures.c:352; coem/BYD_UKE/gen_bsw/Dem/Dem_Cfg_DtcId.h:230</x:v>
      </x:c>
    </x:row>
    <x:row r="192" ht="68" customHeight="1">
      <x:c r="A192" s="144" t="str">
        <x:v>DemEvent</x:v>
      </x:c>
      <x:c r="B192" s="144" t="str">
        <x:v>EVT-105</x:v>
      </x:c>
      <x:c r="C192" s="144" t="str">
        <x:v>PF_Event_Distortion_Blind</x:v>
      </x:c>
      <x:c r="D192" s="144" t="str">
        <x:v>DTC=0xACE876; Priority=64; Aging=40; Confirm=1; FFmax=2</x:v>
      </x:c>
      <x:c r="E192" s="144" t="str">
        <x:v>OperationCycle=POWER; Storage=NONE; Enable=EC_Group_Blindness</x:v>
      </x:c>
      <x:c r="F192" s="144" t="str">
        <x:v>诊断权限不适用；事件可用性由 Enable/Storage Condition 控制</x:v>
      </x:c>
      <x:c r="G192" s="144" t="str">
        <x:v>DTC_ID=31 DTC_SYS_BLIND; debounce=ARCTRBASECLASS/FREEZE; recoverable=是; primary=是; agingAllowed=是; initialUnavailable=否</x:v>
      </x:c>
      <x:c r="H19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2" s="144" t="str">
        <x:v>交付 Event→DTC→Debounce→Aging→Memory→NvM 的可编辑配置、回调清单与自动测试 ID；禁止用参考 ARXML/生成代码作为输入。</x:v>
      </x:c>
      <x:c r="J192" s="144" t="str">
        <x:v>逐项注入 FAILED/PASSED、确认阈值、老化40周期、掉电恢复、ClearDTC、满40 Entry、回调失败；0x19 结果与内部状态一致。</x:v>
      </x:c>
      <x:c r="K192" s="144" t="str">
        <x:v>coem/BYD_UKE/gen_bsw/Dem/Dem_Cfg_EventId.h:131; coem/BYD_UKE/gen_bsw/Dem/Dem_Cfg_Events_DataStructures.c:131; coem/BYD_UKE/gen_bsw/Dem/Dem_Cfg_Events_DataStructures.c:353; coem/BYD_UKE/gen_bsw/Dem/Dem_Cfg_DtcId.h:231</x:v>
      </x:c>
    </x:row>
    <x:row r="193" ht="68" customHeight="1">
      <x:c r="A193" s="144" t="str">
        <x:v>DemEvent</x:v>
      </x:c>
      <x:c r="B193" s="144" t="str">
        <x:v>EVT-106</x:v>
      </x:c>
      <x:c r="C193" s="144" t="str">
        <x:v>PF_Event_DualClockComparator</x:v>
      </x:c>
      <x:c r="D193" s="144" t="str">
        <x:v>DTC=0xACD740; Priority=64; Aging=40; Confirm=1; FFmax=2</x:v>
      </x:c>
      <x:c r="E193" s="144" t="str">
        <x:v>OperationCycle=POWER; Storage=NONE; Enable=NONE</x:v>
      </x:c>
      <x:c r="F193" s="144" t="str">
        <x:v>诊断权限不适用；事件可用性由 Enable/Storage Condition 控制</x:v>
      </x:c>
      <x:c r="G193" s="144" t="str">
        <x:v>DTC_ID=14 DTC_INTERNAL_UC_SYS_FAILURE; debounce=ARCTRBASECLASS/FREEZE; recoverable=是; primary=是; agingAllowed=是; initialUnavailable=否</x:v>
      </x:c>
      <x:c r="H19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3" s="144" t="str">
        <x:v>交付 Event→DTC→Debounce→Aging→Memory→NvM 的可编辑配置、回调清单与自动测试 ID；禁止用参考 ARXML/生成代码作为输入。</x:v>
      </x:c>
      <x:c r="J193" s="144" t="str">
        <x:v>逐项注入 FAILED/PASSED、确认阈值、老化40周期、掉电恢复、ClearDTC、满40 Entry、回调失败；0x19 结果与内部状态一致。</x:v>
      </x:c>
      <x:c r="K193" s="144" t="str">
        <x:v>coem/BYD_UKE/gen_bsw/Dem/Dem_Cfg_EventId.h:132; coem/BYD_UKE/gen_bsw/Dem/Dem_Cfg_Events_DataStructures.c:132; coem/BYD_UKE/gen_bsw/Dem/Dem_Cfg_Events_DataStructures.c:354; coem/BYD_UKE/gen_bsw/Dem/Dem_Cfg_DtcId.h:232</x:v>
      </x:c>
    </x:row>
    <x:row r="194" ht="68" customHeight="1">
      <x:c r="A194" s="144" t="str">
        <x:v>DemEvent</x:v>
      </x:c>
      <x:c r="B194" s="144" t="str">
        <x:v>EVT-107</x:v>
      </x:c>
      <x:c r="C194" s="144" t="str">
        <x:v>PF_Event_FACTORYDATA_FAILURE0</x:v>
      </x:c>
      <x:c r="D194" s="144" t="str">
        <x:v>DTC=0xACD488; Priority=64; Aging=40; Confirm=1; FFmax=2</x:v>
      </x:c>
      <x:c r="E194" s="144" t="str">
        <x:v>OperationCycle=POWER; Storage=NONE; Enable=NONE</x:v>
      </x:c>
      <x:c r="F194" s="144" t="str">
        <x:v>诊断权限不适用；事件可用性由 Enable/Storage Condition 控制</x:v>
      </x:c>
      <x:c r="G194" s="144" t="str">
        <x:v>DTC_ID=11 DTC_FACTORYDATA_FAILURE; debounce=ARCTRBASECLASS/FREEZE; recoverable=是; primary=是; agingAllowed=是; initialUnavailable=否</x:v>
      </x:c>
      <x:c r="H19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4" s="144" t="str">
        <x:v>交付 Event→DTC→Debounce→Aging→Memory→NvM 的可编辑配置、回调清单与自动测试 ID；禁止用参考 ARXML/生成代码作为输入。</x:v>
      </x:c>
      <x:c r="J194" s="144" t="str">
        <x:v>逐项注入 FAILED/PASSED、确认阈值、老化40周期、掉电恢复、ClearDTC、满40 Entry、回调失败；0x19 结果与内部状态一致。</x:v>
      </x:c>
      <x:c r="K194" s="144" t="str">
        <x:v>coem/BYD_UKE/gen_bsw/Dem/Dem_Cfg_EventId.h:133; coem/BYD_UKE/gen_bsw/Dem/Dem_Cfg_Events_DataStructures.c:133; coem/BYD_UKE/gen_bsw/Dem/Dem_Cfg_Events_DataStructures.c:355; coem/BYD_UKE/gen_bsw/Dem/Dem_Cfg_DtcId.h:233</x:v>
      </x:c>
    </x:row>
    <x:row r="195" ht="68" customHeight="1">
      <x:c r="A195" s="144" t="str">
        <x:v>DemEvent</x:v>
      </x:c>
      <x:c r="B195" s="144" t="str">
        <x:v>EVT-108</x:v>
      </x:c>
      <x:c r="C195" s="144" t="str">
        <x:v>PF_Event_FACTORYDATA_FAILURE1</x:v>
      </x:c>
      <x:c r="D195" s="144" t="str">
        <x:v>DTC=0xACE791; Priority=64; Aging=40; Confirm=1; FFmax=2</x:v>
      </x:c>
      <x:c r="E195" s="144" t="str">
        <x:v>OperationCycle=POWER; Storage=NONE; Enable=NONE</x:v>
      </x:c>
      <x:c r="F195" s="144" t="str">
        <x:v>诊断权限不适用；事件可用性由 Enable/Storage Condition 控制</x:v>
      </x:c>
      <x:c r="G195" s="144" t="str">
        <x:v>DTC_ID=30 DTC_CUDA_Invalid; debounce=ARCTRBASECLASS/FREEZE; recoverable=是; primary=是; agingAllowed=是; initialUnavailable=否</x:v>
      </x:c>
      <x:c r="H19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5" s="144" t="str">
        <x:v>交付 Event→DTC→Debounce→Aging→Memory→NvM 的可编辑配置、回调清单与自动测试 ID；禁止用参考 ARXML/生成代码作为输入。</x:v>
      </x:c>
      <x:c r="J195" s="144" t="str">
        <x:v>逐项注入 FAILED/PASSED、确认阈值、老化40周期、掉电恢复、ClearDTC、满40 Entry、回调失败；0x19 结果与内部状态一致。</x:v>
      </x:c>
      <x:c r="K195" s="144" t="str">
        <x:v>coem/BYD_UKE/gen_bsw/Dem/Dem_Cfg_EventId.h:134; coem/BYD_UKE/gen_bsw/Dem/Dem_Cfg_Events_DataStructures.c:134; coem/BYD_UKE/gen_bsw/Dem/Dem_Cfg_Events_DataStructures.c:356; coem/BYD_UKE/gen_bsw/Dem/Dem_Cfg_DtcId.h:234</x:v>
      </x:c>
    </x:row>
    <x:row r="196" ht="68" customHeight="1">
      <x:c r="A196" s="144" t="str">
        <x:v>DemEvent</x:v>
      </x:c>
      <x:c r="B196" s="144" t="str">
        <x:v>EVT-109</x:v>
      </x:c>
      <x:c r="C196" s="144" t="str">
        <x:v>PF_Event_FACTORYDATA_FAILURE2</x:v>
      </x:c>
      <x:c r="D196" s="144" t="str">
        <x:v>DTC=-; Priority=255; Aging=1; Confirm=1; FFmax=0</x:v>
      </x:c>
      <x:c r="E196" s="144" t="str">
        <x:v>OperationCycle=POWER; Storage=NONE; Enable=NONE</x:v>
      </x:c>
      <x:c r="F196" s="144" t="str">
        <x:v>诊断权限不适用；事件可用性由 Enable/Storage Condition 控制</x:v>
      </x:c>
      <x:c r="G196" s="144" t="str">
        <x:v>DTC_ID=0 NO_DTC; debounce=ARCTRBASECLASS/FREEZE; recoverable=是; primary=否; agingAllowed=否; initialUnavailable=否</x:v>
      </x:c>
      <x:c r="H19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6" s="144" t="str">
        <x:v>交付 Event→DTC→Debounce→Aging→Memory→NvM 的可编辑配置、回调清单与自动测试 ID；禁止用参考 ARXML/生成代码作为输入。</x:v>
      </x:c>
      <x:c r="J196" s="144" t="str">
        <x:v>逐项注入 FAILED/PASSED、确认阈值、老化40周期、掉电恢复、ClearDTC、满40 Entry、回调失败；0x19 结果与内部状态一致。</x:v>
      </x:c>
      <x:c r="K196" s="144" t="str">
        <x:v>coem/BYD_UKE/gen_bsw/Dem/Dem_Cfg_EventId.h:135; coem/BYD_UKE/gen_bsw/Dem/Dem_Cfg_Events_DataStructures.c:135; coem/BYD_UKE/gen_bsw/Dem/Dem_Cfg_Events_DataStructures.c:357; coem/BYD_UKE/gen_bsw/Dem/Dem_Cfg_DtcId.h:235</x:v>
      </x:c>
    </x:row>
    <x:row r="197" ht="68" customHeight="1">
      <x:c r="A197" s="144" t="str">
        <x:v>DemEvent</x:v>
      </x:c>
      <x:c r="B197" s="144" t="str">
        <x:v>EVT-110</x:v>
      </x:c>
      <x:c r="C197" s="144" t="str">
        <x:v>PF_Event_FAULT_Time_SYNC_LeapFuture</x:v>
      </x:c>
      <x:c r="D197" s="144" t="str">
        <x:v>DTC=0xACEE00; Priority=64; Aging=40; Confirm=1; FFmax=2</x:v>
      </x:c>
      <x:c r="E197" s="144" t="str">
        <x:v>OperationCycle=POWER; Storage=NONE; Enable=EC_Group_Network</x:v>
      </x:c>
      <x:c r="F197" s="144" t="str">
        <x:v>诊断权限不适用；事件可用性由 Enable/Storage Condition 控制</x:v>
      </x:c>
      <x:c r="G197" s="144" t="str">
        <x:v>DTC_ID=35 DTC_Time_SYNC_FAIL; debounce=ARCTRBASECLASS/FREEZE; recoverable=是; primary=是; agingAllowed=是; initialUnavailable=否</x:v>
      </x:c>
      <x:c r="H19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7" s="144" t="str">
        <x:v>交付 Event→DTC→Debounce→Aging→Memory→NvM 的可编辑配置、回调清单与自动测试 ID；禁止用参考 ARXML/生成代码作为输入。</x:v>
      </x:c>
      <x:c r="J197" s="144" t="str">
        <x:v>逐项注入 FAILED/PASSED、确认阈值、老化40周期、掉电恢复、ClearDTC、满40 Entry、回调失败；0x19 结果与内部状态一致。</x:v>
      </x:c>
      <x:c r="K197" s="144" t="str">
        <x:v>coem/BYD_UKE/gen_bsw/Dem/Dem_Cfg_EventId.h:136; coem/BYD_UKE/gen_bsw/Dem/Dem_Cfg_Events_DataStructures.c:136; coem/BYD_UKE/gen_bsw/Dem/Dem_Cfg_Events_DataStructures.c:358; coem/BYD_UKE/gen_bsw/Dem/Dem_Cfg_DtcId.h:236</x:v>
      </x:c>
    </x:row>
    <x:row r="198" ht="68" customHeight="1">
      <x:c r="A198" s="144" t="str">
        <x:v>DemEvent</x:v>
      </x:c>
      <x:c r="B198" s="144" t="str">
        <x:v>EVT-111</x:v>
      </x:c>
      <x:c r="C198" s="144" t="str">
        <x:v>PF_Event_FAULT_Time_SYNC_LeapPast</x:v>
      </x:c>
      <x:c r="D198" s="144" t="str">
        <x:v>DTC=0xACEE00; Priority=64; Aging=40; Confirm=1; FFmax=2</x:v>
      </x:c>
      <x:c r="E198" s="144" t="str">
        <x:v>OperationCycle=POWER; Storage=NONE; Enable=EC_Group_Network</x:v>
      </x:c>
      <x:c r="F198" s="144" t="str">
        <x:v>诊断权限不适用；事件可用性由 Enable/Storage Condition 控制</x:v>
      </x:c>
      <x:c r="G198" s="144" t="str">
        <x:v>DTC_ID=35 DTC_Time_SYNC_FAIL; debounce=ARCTRBASECLASS/FREEZE; recoverable=是; primary=是; agingAllowed=是; initialUnavailable=否</x:v>
      </x:c>
      <x:c r="H19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8" s="144" t="str">
        <x:v>交付 Event→DTC→Debounce→Aging→Memory→NvM 的可编辑配置、回调清单与自动测试 ID；禁止用参考 ARXML/生成代码作为输入。</x:v>
      </x:c>
      <x:c r="J198" s="144" t="str">
        <x:v>逐项注入 FAILED/PASSED、确认阈值、老化40周期、掉电恢复、ClearDTC、满40 Entry、回调失败；0x19 结果与内部状态一致。</x:v>
      </x:c>
      <x:c r="K198" s="144" t="str">
        <x:v>coem/BYD_UKE/gen_bsw/Dem/Dem_Cfg_EventId.h:137; coem/BYD_UKE/gen_bsw/Dem/Dem_Cfg_Events_DataStructures.c:137; coem/BYD_UKE/gen_bsw/Dem/Dem_Cfg_Events_DataStructures.c:359; coem/BYD_UKE/gen_bsw/Dem/Dem_Cfg_DtcId.h:237</x:v>
      </x:c>
    </x:row>
    <x:row r="199" ht="68" customHeight="1">
      <x:c r="A199" s="144" t="str">
        <x:v>DemEvent</x:v>
      </x:c>
      <x:c r="B199" s="144" t="str">
        <x:v>EVT-112</x:v>
      </x:c>
      <x:c r="C199" s="144" t="str">
        <x:v>PF_Event_FAULT_Time_SYNC_TimeOut</x:v>
      </x:c>
      <x:c r="D199" s="144" t="str">
        <x:v>DTC=0xACEE00; Priority=64; Aging=40; Confirm=1; FFmax=2</x:v>
      </x:c>
      <x:c r="E199" s="144" t="str">
        <x:v>OperationCycle=POWER; Storage=NONE; Enable=EC_Group_Network</x:v>
      </x:c>
      <x:c r="F199" s="144" t="str">
        <x:v>诊断权限不适用；事件可用性由 Enable/Storage Condition 控制</x:v>
      </x:c>
      <x:c r="G199" s="144" t="str">
        <x:v>DTC_ID=35 DTC_Time_SYNC_FAIL; debounce=ARCTRBASECLASS/FREEZE; recoverable=是; primary=是; agingAllowed=是; initialUnavailable=否</x:v>
      </x:c>
      <x:c r="H19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9" s="144" t="str">
        <x:v>交付 Event→DTC→Debounce→Aging→Memory→NvM 的可编辑配置、回调清单与自动测试 ID；禁止用参考 ARXML/生成代码作为输入。</x:v>
      </x:c>
      <x:c r="J199" s="144" t="str">
        <x:v>逐项注入 FAILED/PASSED、确认阈值、老化40周期、掉电恢复、ClearDTC、满40 Entry、回调失败；0x19 结果与内部状态一致。</x:v>
      </x:c>
      <x:c r="K199" s="144" t="str">
        <x:v>coem/BYD_UKE/gen_bsw/Dem/Dem_Cfg_EventId.h:138; coem/BYD_UKE/gen_bsw/Dem/Dem_Cfg_Events_DataStructures.c:138; coem/BYD_UKE/gen_bsw/Dem/Dem_Cfg_Events_DataStructures.c:360; coem/BYD_UKE/gen_bsw/Dem/Dem_Cfg_DtcId.h:238</x:v>
      </x:c>
    </x:row>
    <x:row r="200" ht="68" customHeight="1">
      <x:c r="A200" s="144" t="str">
        <x:v>DemEvent</x:v>
      </x:c>
      <x:c r="B200" s="144" t="str">
        <x:v>EVT-113</x:v>
      </x:c>
      <x:c r="C200" s="144" t="str">
        <x:v>PF_Event_Internal_Analog_Signals_GPADC_Monitor</x:v>
      </x:c>
      <x:c r="D200" s="144" t="str">
        <x:v>DTC=0xACD740; Priority=64; Aging=40; Confirm=1; FFmax=2</x:v>
      </x:c>
      <x:c r="E200" s="144" t="str">
        <x:v>OperationCycle=POWER; Storage=NONE; Enable=NONE</x:v>
      </x:c>
      <x:c r="F200" s="144" t="str">
        <x:v>诊断权限不适用；事件可用性由 Enable/Storage Condition 控制</x:v>
      </x:c>
      <x:c r="G200" s="144" t="str">
        <x:v>DTC_ID=14 DTC_INTERNAL_UC_SYS_FAILURE; debounce=ARCTRBASECLASS/FREEZE; recoverable=是; primary=是; agingAllowed=是; initialUnavailable=否</x:v>
      </x:c>
      <x:c r="H20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0" s="144" t="str">
        <x:v>交付 Event→DTC→Debounce→Aging→Memory→NvM 的可编辑配置、回调清单与自动测试 ID；禁止用参考 ARXML/生成代码作为输入。</x:v>
      </x:c>
      <x:c r="J200" s="144" t="str">
        <x:v>逐项注入 FAILED/PASSED、确认阈值、老化40周期、掉电恢复、ClearDTC、满40 Entry、回调失败；0x19 结果与内部状态一致。</x:v>
      </x:c>
      <x:c r="K200" s="144" t="str">
        <x:v>coem/BYD_UKE/gen_bsw/Dem/Dem_Cfg_EventId.h:139; coem/BYD_UKE/gen_bsw/Dem/Dem_Cfg_Events_DataStructures.c:139; coem/BYD_UKE/gen_bsw/Dem/Dem_Cfg_Events_DataStructures.c:361; coem/BYD_UKE/gen_bsw/Dem/Dem_Cfg_DtcId.h:239</x:v>
      </x:c>
    </x:row>
    <x:row r="201" ht="68" customHeight="1">
      <x:c r="A201" s="144" t="str">
        <x:v>DemEvent</x:v>
      </x:c>
      <x:c r="B201" s="144" t="str">
        <x:v>EVT-114</x:v>
      </x:c>
      <x:c r="C201" s="144" t="str">
        <x:v>PF_Event_Internal_Analog_Signals_PMCLKLO_Monitor</x:v>
      </x:c>
      <x:c r="D201" s="144" t="str">
        <x:v>DTC=0xACD740; Priority=64; Aging=40; Confirm=1; FFmax=2</x:v>
      </x:c>
      <x:c r="E201" s="144" t="str">
        <x:v>OperationCycle=POWER; Storage=NONE; Enable=NONE</x:v>
      </x:c>
      <x:c r="F201" s="144" t="str">
        <x:v>诊断权限不适用；事件可用性由 Enable/Storage Condition 控制</x:v>
      </x:c>
      <x:c r="G201" s="144" t="str">
        <x:v>DTC_ID=14 DTC_INTERNAL_UC_SYS_FAILURE; debounce=ARCTRBASECLASS/FREEZE; recoverable=是; primary=是; agingAllowed=是; initialUnavailable=否</x:v>
      </x:c>
      <x:c r="H20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1" s="144" t="str">
        <x:v>交付 Event→DTC→Debounce→Aging→Memory→NvM 的可编辑配置、回调清单与自动测试 ID；禁止用参考 ARXML/生成代码作为输入。</x:v>
      </x:c>
      <x:c r="J201" s="144" t="str">
        <x:v>逐项注入 FAILED/PASSED、确认阈值、老化40周期、掉电恢复、ClearDTC、满40 Entry、回调失败；0x19 结果与内部状态一致。</x:v>
      </x:c>
      <x:c r="K201" s="144" t="str">
        <x:v>coem/BYD_UKE/gen_bsw/Dem/Dem_Cfg_EventId.h:140; coem/BYD_UKE/gen_bsw/Dem/Dem_Cfg_Events_DataStructures.c:140; coem/BYD_UKE/gen_bsw/Dem/Dem_Cfg_Events_DataStructures.c:362; coem/BYD_UKE/gen_bsw/Dem/Dem_Cfg_DtcId.h:240</x:v>
      </x:c>
    </x:row>
    <x:row r="202" ht="68" customHeight="1">
      <x:c r="A202" s="144" t="str">
        <x:v>DemEvent</x:v>
      </x:c>
      <x:c r="B202" s="144" t="str">
        <x:v>EVT-115</x:v>
      </x:c>
      <x:c r="C202" s="144" t="str">
        <x:v>PF_Event_Internal_Analog_Signals_RX_Monitor</x:v>
      </x:c>
      <x:c r="D202" s="144" t="str">
        <x:v>DTC=0xACD740; Priority=64; Aging=40; Confirm=1; FFmax=2</x:v>
      </x:c>
      <x:c r="E202" s="144" t="str">
        <x:v>OperationCycle=POWER; Storage=NONE; Enable=NONE</x:v>
      </x:c>
      <x:c r="F202" s="144" t="str">
        <x:v>诊断权限不适用；事件可用性由 Enable/Storage Condition 控制</x:v>
      </x:c>
      <x:c r="G202" s="144" t="str">
        <x:v>DTC_ID=14 DTC_INTERNAL_UC_SYS_FAILURE; debounce=ARCTRBASECLASS/FREEZE; recoverable=是; primary=是; agingAllowed=是; initialUnavailable=否</x:v>
      </x:c>
      <x:c r="H20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2" s="144" t="str">
        <x:v>交付 Event→DTC→Debounce→Aging→Memory→NvM 的可编辑配置、回调清单与自动测试 ID；禁止用参考 ARXML/生成代码作为输入。</x:v>
      </x:c>
      <x:c r="J202" s="144" t="str">
        <x:v>逐项注入 FAILED/PASSED、确认阈值、老化40周期、掉电恢复、ClearDTC、满40 Entry、回调失败；0x19 结果与内部状态一致。</x:v>
      </x:c>
      <x:c r="K202" s="144" t="str">
        <x:v>coem/BYD_UKE/gen_bsw/Dem/Dem_Cfg_EventId.h:141; coem/BYD_UKE/gen_bsw/Dem/Dem_Cfg_Events_DataStructures.c:141; coem/BYD_UKE/gen_bsw/Dem/Dem_Cfg_Events_DataStructures.c:363; coem/BYD_UKE/gen_bsw/Dem/Dem_Cfg_DtcId.h:241</x:v>
      </x:c>
    </x:row>
    <x:row r="203" ht="68" customHeight="1">
      <x:c r="A203" s="144" t="str">
        <x:v>DemEvent</x:v>
      </x:c>
      <x:c r="B203" s="144" t="str">
        <x:v>EVT-116</x:v>
      </x:c>
      <x:c r="C203" s="144" t="str">
        <x:v>PF_Event_Internal_Analog_Signals_TX0_Monitor</x:v>
      </x:c>
      <x:c r="D203" s="144" t="str">
        <x:v>DTC=0xACD740; Priority=64; Aging=40; Confirm=1; FFmax=2</x:v>
      </x:c>
      <x:c r="E203" s="144" t="str">
        <x:v>OperationCycle=POWER; Storage=NONE; Enable=NONE</x:v>
      </x:c>
      <x:c r="F203" s="144" t="str">
        <x:v>诊断权限不适用；事件可用性由 Enable/Storage Condition 控制</x:v>
      </x:c>
      <x:c r="G203" s="144" t="str">
        <x:v>DTC_ID=14 DTC_INTERNAL_UC_SYS_FAILURE; debounce=ARCTRBASECLASS/FREEZE; recoverable=是; primary=是; agingAllowed=是; initialUnavailable=否</x:v>
      </x:c>
      <x:c r="H20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3" s="144" t="str">
        <x:v>交付 Event→DTC→Debounce→Aging→Memory→NvM 的可编辑配置、回调清单与自动测试 ID；禁止用参考 ARXML/生成代码作为输入。</x:v>
      </x:c>
      <x:c r="J203" s="144" t="str">
        <x:v>逐项注入 FAILED/PASSED、确认阈值、老化40周期、掉电恢复、ClearDTC、满40 Entry、回调失败；0x19 结果与内部状态一致。</x:v>
      </x:c>
      <x:c r="K203" s="144" t="str">
        <x:v>coem/BYD_UKE/gen_bsw/Dem/Dem_Cfg_EventId.h:142; coem/BYD_UKE/gen_bsw/Dem/Dem_Cfg_Events_DataStructures.c:142; coem/BYD_UKE/gen_bsw/Dem/Dem_Cfg_Events_DataStructures.c:364; coem/BYD_UKE/gen_bsw/Dem/Dem_Cfg_DtcId.h:242</x:v>
      </x:c>
    </x:row>
    <x:row r="204" ht="68" customHeight="1">
      <x:c r="A204" s="144" t="str">
        <x:v>DemEvent</x:v>
      </x:c>
      <x:c r="B204" s="144" t="str">
        <x:v>EVT-117</x:v>
      </x:c>
      <x:c r="C204" s="144" t="str">
        <x:v>PF_Event_Internal_Analog_Signals_TX1_Monitor</x:v>
      </x:c>
      <x:c r="D204" s="144" t="str">
        <x:v>DTC=0xACD740; Priority=64; Aging=40; Confirm=1; FFmax=2</x:v>
      </x:c>
      <x:c r="E204" s="144" t="str">
        <x:v>OperationCycle=POWER; Storage=NONE; Enable=NONE</x:v>
      </x:c>
      <x:c r="F204" s="144" t="str">
        <x:v>诊断权限不适用；事件可用性由 Enable/Storage Condition 控制</x:v>
      </x:c>
      <x:c r="G204" s="144" t="str">
        <x:v>DTC_ID=14 DTC_INTERNAL_UC_SYS_FAILURE; debounce=ARCTRBASECLASS/FREEZE; recoverable=是; primary=是; agingAllowed=是; initialUnavailable=否</x:v>
      </x:c>
      <x:c r="H20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4" s="144" t="str">
        <x:v>交付 Event→DTC→Debounce→Aging→Memory→NvM 的可编辑配置、回调清单与自动测试 ID；禁止用参考 ARXML/生成代码作为输入。</x:v>
      </x:c>
      <x:c r="J204" s="144" t="str">
        <x:v>逐项注入 FAILED/PASSED、确认阈值、老化40周期、掉电恢复、ClearDTC、满40 Entry、回调失败；0x19 结果与内部状态一致。</x:v>
      </x:c>
      <x:c r="K204" s="144" t="str">
        <x:v>coem/BYD_UKE/gen_bsw/Dem/Dem_Cfg_EventId.h:143; coem/BYD_UKE/gen_bsw/Dem/Dem_Cfg_Events_DataStructures.c:143; coem/BYD_UKE/gen_bsw/Dem/Dem_Cfg_Events_DataStructures.c:365; coem/BYD_UKE/gen_bsw/Dem/Dem_Cfg_DtcId.h:243</x:v>
      </x:c>
    </x:row>
    <x:row r="205" ht="68" customHeight="1">
      <x:c r="A205" s="144" t="str">
        <x:v>DemEvent</x:v>
      </x:c>
      <x:c r="B205" s="144" t="str">
        <x:v>EVT-118</x:v>
      </x:c>
      <x:c r="C205" s="144" t="str">
        <x:v>PF_Event_Internal_Analog_Signals_TX2_Monitor</x:v>
      </x:c>
      <x:c r="D205" s="144" t="str">
        <x:v>DTC=0xACD740; Priority=64; Aging=40; Confirm=1; FFmax=2</x:v>
      </x:c>
      <x:c r="E205" s="144" t="str">
        <x:v>OperationCycle=POWER; Storage=NONE; Enable=NONE</x:v>
      </x:c>
      <x:c r="F205" s="144" t="str">
        <x:v>诊断权限不适用；事件可用性由 Enable/Storage Condition 控制</x:v>
      </x:c>
      <x:c r="G205" s="144" t="str">
        <x:v>DTC_ID=14 DTC_INTERNAL_UC_SYS_FAILURE; debounce=ARCTRBASECLASS/FREEZE; recoverable=是; primary=是; agingAllowed=是; initialUnavailable=否</x:v>
      </x:c>
      <x:c r="H20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5" s="144" t="str">
        <x:v>交付 Event→DTC→Debounce→Aging→Memory→NvM 的可编辑配置、回调清单与自动测试 ID；禁止用参考 ARXML/生成代码作为输入。</x:v>
      </x:c>
      <x:c r="J205" s="144" t="str">
        <x:v>逐项注入 FAILED/PASSED、确认阈值、老化40周期、掉电恢复、ClearDTC、满40 Entry、回调失败；0x19 结果与内部状态一致。</x:v>
      </x:c>
      <x:c r="K205" s="144" t="str">
        <x:v>coem/BYD_UKE/gen_bsw/Dem/Dem_Cfg_EventId.h:144; coem/BYD_UKE/gen_bsw/Dem/Dem_Cfg_Events_DataStructures.c:144; coem/BYD_UKE/gen_bsw/Dem/Dem_Cfg_Events_DataStructures.c:366; coem/BYD_UKE/gen_bsw/Dem/Dem_Cfg_DtcId.h:244</x:v>
      </x:c>
    </x:row>
    <x:row r="206" ht="68" customHeight="1">
      <x:c r="A206" s="144" t="str">
        <x:v>DemEvent</x:v>
      </x:c>
      <x:c r="B206" s="144" t="str">
        <x:v>EVT-119</x:v>
      </x:c>
      <x:c r="C206" s="144" t="str">
        <x:v>PF_Event_Internal_Analog_Signals_TX3_Monitor</x:v>
      </x:c>
      <x:c r="D206" s="144" t="str">
        <x:v>DTC=0xACD740; Priority=64; Aging=40; Confirm=1; FFmax=2</x:v>
      </x:c>
      <x:c r="E206" s="144" t="str">
        <x:v>OperationCycle=POWER; Storage=NONE; Enable=NONE</x:v>
      </x:c>
      <x:c r="F206" s="144" t="str">
        <x:v>诊断权限不适用；事件可用性由 Enable/Storage Condition 控制</x:v>
      </x:c>
      <x:c r="G206" s="144" t="str">
        <x:v>DTC_ID=14 DTC_INTERNAL_UC_SYS_FAILURE; debounce=ARCTRBASECLASS/FREEZE; recoverable=是; primary=是; agingAllowed=是; initialUnavailable=否</x:v>
      </x:c>
      <x:c r="H20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6" s="144" t="str">
        <x:v>交付 Event→DTC→Debounce→Aging→Memory→NvM 的可编辑配置、回调清单与自动测试 ID；禁止用参考 ARXML/生成代码作为输入。</x:v>
      </x:c>
      <x:c r="J206" s="144" t="str">
        <x:v>逐项注入 FAILED/PASSED、确认阈值、老化40周期、掉电恢复、ClearDTC、满40 Entry、回调失败；0x19 结果与内部状态一致。</x:v>
      </x:c>
      <x:c r="K206" s="144" t="str">
        <x:v>coem/BYD_UKE/gen_bsw/Dem/Dem_Cfg_EventId.h:145; coem/BYD_UKE/gen_bsw/Dem/Dem_Cfg_Events_DataStructures.c:145; coem/BYD_UKE/gen_bsw/Dem/Dem_Cfg_Events_DataStructures.c:367; coem/BYD_UKE/gen_bsw/Dem/Dem_Cfg_DtcId.h:245</x:v>
      </x:c>
    </x:row>
    <x:row r="207" ht="68" customHeight="1">
      <x:c r="A207" s="144" t="str">
        <x:v>DemEvent</x:v>
      </x:c>
      <x:c r="B207" s="144" t="str">
        <x:v>EVT-120</x:v>
      </x:c>
      <x:c r="C207" s="144" t="str">
        <x:v>PF_Event_MR1</x:v>
      </x:c>
      <x:c r="D207" s="144" t="str">
        <x:v>DTC=0xACD804; Priority=64; Aging=40; Confirm=1; FFmax=2</x:v>
      </x:c>
      <x:c r="E207" s="144" t="str">
        <x:v>OperationCycle=POWER; Storage=NONE; Enable=NONE</x:v>
      </x:c>
      <x:c r="F207" s="144" t="str">
        <x:v>诊断权限不适用；事件可用性由 Enable/Storage Condition 控制</x:v>
      </x:c>
      <x:c r="G207" s="144" t="str">
        <x:v>DTC_ID=15 DTC_INTERNAL_HW_FAILURE; debounce=ARCTRBASECLASS/FREEZE; recoverable=是; primary=是; agingAllowed=是; initialUnavailable=否</x:v>
      </x:c>
      <x:c r="H20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7" s="144" t="str">
        <x:v>交付 Event→DTC→Debounce→Aging→Memory→NvM 的可编辑配置、回调清单与自动测试 ID；禁止用参考 ARXML/生成代码作为输入。</x:v>
      </x:c>
      <x:c r="J207" s="144" t="str">
        <x:v>逐项注入 FAILED/PASSED、确认阈值、老化40周期、掉电恢复、ClearDTC、满40 Entry、回调失败；0x19 结果与内部状态一致。</x:v>
      </x:c>
      <x:c r="K207" s="144" t="str">
        <x:v>coem/BYD_UKE/gen_bsw/Dem/Dem_Cfg_EventId.h:146; coem/BYD_UKE/gen_bsw/Dem/Dem_Cfg_Events_DataStructures.c:146; coem/BYD_UKE/gen_bsw/Dem/Dem_Cfg_Events_DataStructures.c:368; coem/BYD_UKE/gen_bsw/Dem/Dem_Cfg_DtcId.h:246</x:v>
      </x:c>
    </x:row>
    <x:row r="208" ht="68" customHeight="1">
      <x:c r="A208" s="144" t="str">
        <x:v>DemEvent</x:v>
      </x:c>
      <x:c r="B208" s="144" t="str">
        <x:v>EVT-121</x:v>
      </x:c>
      <x:c r="C208" s="144" t="str">
        <x:v>PF_Event_MR2</x:v>
      </x:c>
      <x:c r="D208" s="144" t="str">
        <x:v>DTC=0xACD804; Priority=64; Aging=40; Confirm=1; FFmax=2</x:v>
      </x:c>
      <x:c r="E208" s="144" t="str">
        <x:v>OperationCycle=POWER; Storage=NONE; Enable=NONE</x:v>
      </x:c>
      <x:c r="F208" s="144" t="str">
        <x:v>诊断权限不适用；事件可用性由 Enable/Storage Condition 控制</x:v>
      </x:c>
      <x:c r="G208" s="144" t="str">
        <x:v>DTC_ID=15 DTC_INTERNAL_HW_FAILURE; debounce=ARCTRBASECLASS/FREEZE; recoverable=是; primary=是; agingAllowed=是; initialUnavailable=否</x:v>
      </x:c>
      <x:c r="H20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8" s="144" t="str">
        <x:v>交付 Event→DTC→Debounce→Aging→Memory→NvM 的可编辑配置、回调清单与自动测试 ID；禁止用参考 ARXML/生成代码作为输入。</x:v>
      </x:c>
      <x:c r="J208" s="144" t="str">
        <x:v>逐项注入 FAILED/PASSED、确认阈值、老化40周期、掉电恢复、ClearDTC、满40 Entry、回调失败；0x19 结果与内部状态一致。</x:v>
      </x:c>
      <x:c r="K208" s="144" t="str">
        <x:v>coem/BYD_UKE/gen_bsw/Dem/Dem_Cfg_EventId.h:147; coem/BYD_UKE/gen_bsw/Dem/Dem_Cfg_Events_DataStructures.c:147; coem/BYD_UKE/gen_bsw/Dem/Dem_Cfg_Events_DataStructures.c:369; coem/BYD_UKE/gen_bsw/Dem/Dem_Cfg_DtcId.h:247</x:v>
      </x:c>
    </x:row>
    <x:row r="209" ht="68" customHeight="1">
      <x:c r="A209" s="144" t="str">
        <x:v>DemEvent</x:v>
      </x:c>
      <x:c r="B209" s="144" t="str">
        <x:v>EVT-122</x:v>
      </x:c>
      <x:c r="C209" s="144" t="str">
        <x:v>PF_Event_NvM_Read</x:v>
      </x:c>
      <x:c r="D209" s="144" t="str">
        <x:v>DTC=0xACD804; Priority=64; Aging=40; Confirm=1; FFmax=2</x:v>
      </x:c>
      <x:c r="E209" s="144" t="str">
        <x:v>OperationCycle=POWER; Storage=NONE; Enable=NONE</x:v>
      </x:c>
      <x:c r="F209" s="144" t="str">
        <x:v>诊断权限不适用；事件可用性由 Enable/Storage Condition 控制</x:v>
      </x:c>
      <x:c r="G209" s="144" t="str">
        <x:v>DTC_ID=15 DTC_INTERNAL_HW_FAILURE; debounce=ARCTRBASECLASS/FREEZE; recoverable=是; primary=是; agingAllowed=是; initialUnavailable=否</x:v>
      </x:c>
      <x:c r="H20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9" s="144" t="str">
        <x:v>交付 Event→DTC→Debounce→Aging→Memory→NvM 的可编辑配置、回调清单与自动测试 ID；禁止用参考 ARXML/生成代码作为输入。</x:v>
      </x:c>
      <x:c r="J209" s="144" t="str">
        <x:v>逐项注入 FAILED/PASSED、确认阈值、老化40周期、掉电恢复、ClearDTC、满40 Entry、回调失败；0x19 结果与内部状态一致。</x:v>
      </x:c>
      <x:c r="K209" s="144" t="str">
        <x:v>coem/BYD_UKE/gen_bsw/Dem/Dem_Cfg_EventId.h:148; coem/BYD_UKE/gen_bsw/Dem/Dem_Cfg_Events_DataStructures.c:148; coem/BYD_UKE/gen_bsw/Dem/Dem_Cfg_Events_DataStructures.c:370; coem/BYD_UKE/gen_bsw/Dem/Dem_Cfg_DtcId.h:248</x:v>
      </x:c>
    </x:row>
    <x:row r="210" ht="68" customHeight="1">
      <x:c r="A210" s="144" t="str">
        <x:v>DemEvent</x:v>
      </x:c>
      <x:c r="B210" s="144" t="str">
        <x:v>EVT-123</x:v>
      </x:c>
      <x:c r="C210" s="144" t="str">
        <x:v>PF_Event_NvM_Write</x:v>
      </x:c>
      <x:c r="D210" s="144" t="str">
        <x:v>DTC=0xACD804; Priority=64; Aging=40; Confirm=1; FFmax=2</x:v>
      </x:c>
      <x:c r="E210" s="144" t="str">
        <x:v>OperationCycle=POWER; Storage=NONE; Enable=NONE</x:v>
      </x:c>
      <x:c r="F210" s="144" t="str">
        <x:v>诊断权限不适用；事件可用性由 Enable/Storage Condition 控制</x:v>
      </x:c>
      <x:c r="G210" s="144" t="str">
        <x:v>DTC_ID=15 DTC_INTERNAL_HW_FAILURE; debounce=ARCTRBASECLASS/FREEZE; recoverable=是; primary=是; agingAllowed=是; initialUnavailable=否</x:v>
      </x:c>
      <x:c r="H21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0" s="144" t="str">
        <x:v>交付 Event→DTC→Debounce→Aging→Memory→NvM 的可编辑配置、回调清单与自动测试 ID；禁止用参考 ARXML/生成代码作为输入。</x:v>
      </x:c>
      <x:c r="J210" s="144" t="str">
        <x:v>逐项注入 FAILED/PASSED、确认阈值、老化40周期、掉电恢复、ClearDTC、满40 Entry、回调失败；0x19 结果与内部状态一致。</x:v>
      </x:c>
      <x:c r="K210" s="144" t="str">
        <x:v>coem/BYD_UKE/gen_bsw/Dem/Dem_Cfg_EventId.h:149; coem/BYD_UKE/gen_bsw/Dem/Dem_Cfg_Events_DataStructures.c:149; coem/BYD_UKE/gen_bsw/Dem/Dem_Cfg_Events_DataStructures.c:371; coem/BYD_UKE/gen_bsw/Dem/Dem_Cfg_DtcId.h:249</x:v>
      </x:c>
    </x:row>
    <x:row r="211" ht="68" customHeight="1">
      <x:c r="A211" s="144" t="str">
        <x:v>DemEvent</x:v>
      </x:c>
      <x:c r="B211" s="144" t="str">
        <x:v>EVT-124</x:v>
      </x:c>
      <x:c r="C211" s="144" t="str">
        <x:v>PF_Event_OS_ERROR</x:v>
      </x:c>
      <x:c r="D211" s="144" t="str">
        <x:v>DTC=0xACDF52; Priority=64; Aging=40; Confirm=1; FFmax=2</x:v>
      </x:c>
      <x:c r="E211" s="144" t="str">
        <x:v>OperationCycle=POWER; Storage=NONE; Enable=NONE</x:v>
      </x:c>
      <x:c r="F211" s="144" t="str">
        <x:v>诊断权限不适用；事件可用性由 Enable/Storage Condition 控制</x:v>
      </x:c>
      <x:c r="G211" s="144" t="str">
        <x:v>DTC_ID=22 DTC_SW_FAILURE; debounce=ARCTRBASECLASS/FREEZE; recoverable=是; primary=是; agingAllowed=是; initialUnavailable=否</x:v>
      </x:c>
      <x:c r="H21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1" s="144" t="str">
        <x:v>交付 Event→DTC→Debounce→Aging→Memory→NvM 的可编辑配置、回调清单与自动测试 ID；禁止用参考 ARXML/生成代码作为输入。</x:v>
      </x:c>
      <x:c r="J211" s="144" t="str">
        <x:v>逐项注入 FAILED/PASSED、确认阈值、老化40周期、掉电恢复、ClearDTC、满40 Entry、回调失败；0x19 结果与内部状态一致。</x:v>
      </x:c>
      <x:c r="K211" s="144" t="str">
        <x:v>coem/BYD_UKE/gen_bsw/Dem/Dem_Cfg_EventId.h:150; coem/BYD_UKE/gen_bsw/Dem/Dem_Cfg_Events_DataStructures.c:150; coem/BYD_UKE/gen_bsw/Dem/Dem_Cfg_Events_DataStructures.c:372; coem/BYD_UKE/gen_bsw/Dem/Dem_Cfg_DtcId.h:250</x:v>
      </x:c>
    </x:row>
    <x:row r="212" ht="68" customHeight="1">
      <x:c r="A212" s="144" t="str">
        <x:v>DemEvent</x:v>
      </x:c>
      <x:c r="B212" s="144" t="str">
        <x:v>EVT-125</x:v>
      </x:c>
      <x:c r="C212" s="144" t="str">
        <x:v>PF_Event_PLLVoltageMonitor</x:v>
      </x:c>
      <x:c r="D212" s="144" t="str">
        <x:v>DTC=0xACD740; Priority=64; Aging=40; Confirm=1; FFmax=2</x:v>
      </x:c>
      <x:c r="E212" s="144" t="str">
        <x:v>OperationCycle=POWER; Storage=NONE; Enable=NONE</x:v>
      </x:c>
      <x:c r="F212" s="144" t="str">
        <x:v>诊断权限不适用；事件可用性由 Enable/Storage Condition 控制</x:v>
      </x:c>
      <x:c r="G212" s="144" t="str">
        <x:v>DTC_ID=14 DTC_INTERNAL_UC_SYS_FAILURE; debounce=ARCTRBASECLASS/FREEZE; recoverable=是; primary=是; agingAllowed=是; initialUnavailable=否</x:v>
      </x:c>
      <x:c r="H21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2" s="144" t="str">
        <x:v>交付 Event→DTC→Debounce→Aging→Memory→NvM 的可编辑配置、回调清单与自动测试 ID；禁止用参考 ARXML/生成代码作为输入。</x:v>
      </x:c>
      <x:c r="J212" s="144" t="str">
        <x:v>逐项注入 FAILED/PASSED、确认阈值、老化40周期、掉电恢复、ClearDTC、满40 Entry、回调失败；0x19 结果与内部状态一致。</x:v>
      </x:c>
      <x:c r="K212" s="144" t="str">
        <x:v>coem/BYD_UKE/gen_bsw/Dem/Dem_Cfg_EventId.h:151; coem/BYD_UKE/gen_bsw/Dem/Dem_Cfg_Events_DataStructures.c:151; coem/BYD_UKE/gen_bsw/Dem/Dem_Cfg_Events_DataStructures.c:373; coem/BYD_UKE/gen_bsw/Dem/Dem_Cfg_DtcId.h:251</x:v>
      </x:c>
    </x:row>
    <x:row r="213" ht="68" customHeight="1">
      <x:c r="A213" s="144" t="str">
        <x:v>DemEvent</x:v>
      </x:c>
      <x:c r="B213" s="144" t="str">
        <x:v>EVT-126</x:v>
      </x:c>
      <x:c r="C213" s="144" t="str">
        <x:v>PF_Event_PMIC_BOOST_5V_OV</x:v>
      </x:c>
      <x:c r="D213" s="144" t="str">
        <x:v>DTC=0xACD917; Priority=64; Aging=40; Confirm=1; FFmax=2</x:v>
      </x:c>
      <x:c r="E213" s="144" t="str">
        <x:v>OperationCycle=POWER; Storage=NONE; Enable=NONE</x:v>
      </x:c>
      <x:c r="F213" s="144" t="str">
        <x:v>诊断权限不适用；事件可用性由 Enable/Storage Condition 控制</x:v>
      </x:c>
      <x:c r="G213" s="144" t="str">
        <x:v>DTC_ID=16 DTC_POWER_MANAGEMENT_CHIP_VOLTAGE_HIGH; debounce=ARCTRBASECLASS/FREEZE; recoverable=是; primary=是; agingAllowed=是; initialUnavailable=否</x:v>
      </x:c>
      <x:c r="H21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3" s="144" t="str">
        <x:v>交付 Event→DTC→Debounce→Aging→Memory→NvM 的可编辑配置、回调清单与自动测试 ID；禁止用参考 ARXML/生成代码作为输入。</x:v>
      </x:c>
      <x:c r="J213" s="144" t="str">
        <x:v>逐项注入 FAILED/PASSED、确认阈值、老化40周期、掉电恢复、ClearDTC、满40 Entry、回调失败；0x19 结果与内部状态一致。</x:v>
      </x:c>
      <x:c r="K213" s="144" t="str">
        <x:v>coem/BYD_UKE/gen_bsw/Dem/Dem_Cfg_EventId.h:152; coem/BYD_UKE/gen_bsw/Dem/Dem_Cfg_Events_DataStructures.c:152; coem/BYD_UKE/gen_bsw/Dem/Dem_Cfg_Events_DataStructures.c:374; coem/BYD_UKE/gen_bsw/Dem/Dem_Cfg_DtcId.h:252</x:v>
      </x:c>
    </x:row>
    <x:row r="214" ht="68" customHeight="1">
      <x:c r="A214" s="144" t="str">
        <x:v>DemEvent</x:v>
      </x:c>
      <x:c r="B214" s="144" t="str">
        <x:v>EVT-127</x:v>
      </x:c>
      <x:c r="C214" s="144" t="str">
        <x:v>PF_Event_PMIC_BOOST_5V_OVER_CURRENT</x:v>
      </x:c>
      <x:c r="D214" s="144" t="str">
        <x:v>DTC=0xACD640; Priority=64; Aging=40; Confirm=1; FFmax=2</x:v>
      </x:c>
      <x:c r="E214" s="144" t="str">
        <x:v>OperationCycle=POWER; Storage=NONE; Enable=NONE</x:v>
      </x:c>
      <x:c r="F214" s="144" t="str">
        <x:v>诊断权限不适用；事件可用性由 Enable/Storage Condition 控制</x:v>
      </x:c>
      <x:c r="G214" s="144" t="str">
        <x:v>DTC_ID=13 DTC_INTERNAL_POWER_MANAGEMENT_SYS_FAILURE; debounce=ARCTRBASECLASS/FREEZE; recoverable=是; primary=是; agingAllowed=是; initialUnavailable=否</x:v>
      </x:c>
      <x:c r="H21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4" s="144" t="str">
        <x:v>交付 Event→DTC→Debounce→Aging→Memory→NvM 的可编辑配置、回调清单与自动测试 ID；禁止用参考 ARXML/生成代码作为输入。</x:v>
      </x:c>
      <x:c r="J214" s="144" t="str">
        <x:v>逐项注入 FAILED/PASSED、确认阈值、老化40周期、掉电恢复、ClearDTC、满40 Entry、回调失败；0x19 结果与内部状态一致。</x:v>
      </x:c>
      <x:c r="K214" s="144" t="str">
        <x:v>coem/BYD_UKE/gen_bsw/Dem/Dem_Cfg_EventId.h:153; coem/BYD_UKE/gen_bsw/Dem/Dem_Cfg_Events_DataStructures.c:153; coem/BYD_UKE/gen_bsw/Dem/Dem_Cfg_Events_DataStructures.c:375; coem/BYD_UKE/gen_bsw/Dem/Dem_Cfg_DtcId.h:253</x:v>
      </x:c>
    </x:row>
    <x:row r="215" ht="68" customHeight="1">
      <x:c r="A215" s="144" t="str">
        <x:v>DemEvent</x:v>
      </x:c>
      <x:c r="B215" s="144" t="str">
        <x:v>EVT-128</x:v>
      </x:c>
      <x:c r="C215" s="144" t="str">
        <x:v>PF_Event_PMIC_BOOST_5V_SC</x:v>
      </x:c>
      <x:c r="D215" s="144" t="str">
        <x:v>DTC=0xACD640; Priority=64; Aging=40; Confirm=1; FFmax=2</x:v>
      </x:c>
      <x:c r="E215" s="144" t="str">
        <x:v>OperationCycle=POWER; Storage=NONE; Enable=NONE</x:v>
      </x:c>
      <x:c r="F215" s="144" t="str">
        <x:v>诊断权限不适用；事件可用性由 Enable/Storage Condition 控制</x:v>
      </x:c>
      <x:c r="G215" s="144" t="str">
        <x:v>DTC_ID=13 DTC_INTERNAL_POWER_MANAGEMENT_SYS_FAILURE; debounce=ARCTRBASECLASS/FREEZE; recoverable=是; primary=是; agingAllowed=是; initialUnavailable=否</x:v>
      </x:c>
      <x:c r="H21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5" s="144" t="str">
        <x:v>交付 Event→DTC→Debounce→Aging→Memory→NvM 的可编辑配置、回调清单与自动测试 ID；禁止用参考 ARXML/生成代码作为输入。</x:v>
      </x:c>
      <x:c r="J215" s="144" t="str">
        <x:v>逐项注入 FAILED/PASSED、确认阈值、老化40周期、掉电恢复、ClearDTC、满40 Entry、回调失败；0x19 结果与内部状态一致。</x:v>
      </x:c>
      <x:c r="K215" s="144" t="str">
        <x:v>coem/BYD_UKE/gen_bsw/Dem/Dem_Cfg_EventId.h:154; coem/BYD_UKE/gen_bsw/Dem/Dem_Cfg_Events_DataStructures.c:154; coem/BYD_UKE/gen_bsw/Dem/Dem_Cfg_Events_DataStructures.c:376; coem/BYD_UKE/gen_bsw/Dem/Dem_Cfg_DtcId.h:254</x:v>
      </x:c>
    </x:row>
    <x:row r="216" ht="68" customHeight="1">
      <x:c r="A216" s="144" t="str">
        <x:v>DemEvent</x:v>
      </x:c>
      <x:c r="B216" s="144" t="str">
        <x:v>EVT-129</x:v>
      </x:c>
      <x:c r="C216" s="144" t="str">
        <x:v>PF_Event_PMIC_BOOST_5V_UV</x:v>
      </x:c>
      <x:c r="D216" s="144" t="str">
        <x:v>DTC=0xACDB16; Priority=64; Aging=40; Confirm=1; FFmax=2</x:v>
      </x:c>
      <x:c r="E216" s="144" t="str">
        <x:v>OperationCycle=POWER; Storage=NONE; Enable=NONE</x:v>
      </x:c>
      <x:c r="F216" s="144" t="str">
        <x:v>诊断权限不适用；事件可用性由 Enable/Storage Condition 控制</x:v>
      </x:c>
      <x:c r="G216" s="144" t="str">
        <x:v>DTC_ID=18 DTC_POWER_MANAGEMENT_CHIP_VOLTAGE_LOW; debounce=ARCTRBASECLASS/FREEZE; recoverable=是; primary=是; agingAllowed=是; initialUnavailable=否</x:v>
      </x:c>
      <x:c r="H21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6" s="144" t="str">
        <x:v>交付 Event→DTC→Debounce→Aging→Memory→NvM 的可编辑配置、回调清单与自动测试 ID；禁止用参考 ARXML/生成代码作为输入。</x:v>
      </x:c>
      <x:c r="J216" s="144" t="str">
        <x:v>逐项注入 FAILED/PASSED、确认阈值、老化40周期、掉电恢复、ClearDTC、满40 Entry、回调失败；0x19 结果与内部状态一致。</x:v>
      </x:c>
      <x:c r="K216" s="144" t="str">
        <x:v>coem/BYD_UKE/gen_bsw/Dem/Dem_Cfg_EventId.h:155; coem/BYD_UKE/gen_bsw/Dem/Dem_Cfg_Events_DataStructures.c:155; coem/BYD_UKE/gen_bsw/Dem/Dem_Cfg_Events_DataStructures.c:377; coem/BYD_UKE/gen_bsw/Dem/Dem_Cfg_DtcId.h:255</x:v>
      </x:c>
    </x:row>
    <x:row r="217" ht="68" customHeight="1">
      <x:c r="A217" s="144" t="str">
        <x:v>DemEvent</x:v>
      </x:c>
      <x:c r="B217" s="144" t="str">
        <x:v>EVT-130</x:v>
      </x:c>
      <x:c r="C217" s="144" t="str">
        <x:v>PF_Event_PMIC_BUCK1_1V8_OV</x:v>
      </x:c>
      <x:c r="D217" s="144" t="str">
        <x:v>DTC=0xACD917; Priority=64; Aging=40; Confirm=1; FFmax=2</x:v>
      </x:c>
      <x:c r="E217" s="144" t="str">
        <x:v>OperationCycle=POWER; Storage=NONE; Enable=NONE</x:v>
      </x:c>
      <x:c r="F217" s="144" t="str">
        <x:v>诊断权限不适用；事件可用性由 Enable/Storage Condition 控制</x:v>
      </x:c>
      <x:c r="G217" s="144" t="str">
        <x:v>DTC_ID=16 DTC_POWER_MANAGEMENT_CHIP_VOLTAGE_HIGH; debounce=ARCTRBASECLASS/FREEZE; recoverable=是; primary=是; agingAllowed=是; initialUnavailable=否</x:v>
      </x:c>
      <x:c r="H21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7" s="144" t="str">
        <x:v>交付 Event→DTC→Debounce→Aging→Memory→NvM 的可编辑配置、回调清单与自动测试 ID；禁止用参考 ARXML/生成代码作为输入。</x:v>
      </x:c>
      <x:c r="J217" s="144" t="str">
        <x:v>逐项注入 FAILED/PASSED、确认阈值、老化40周期、掉电恢复、ClearDTC、满40 Entry、回调失败；0x19 结果与内部状态一致。</x:v>
      </x:c>
      <x:c r="K217" s="144" t="str">
        <x:v>coem/BYD_UKE/gen_bsw/Dem/Dem_Cfg_EventId.h:156; coem/BYD_UKE/gen_bsw/Dem/Dem_Cfg_Events_DataStructures.c:156; coem/BYD_UKE/gen_bsw/Dem/Dem_Cfg_Events_DataStructures.c:378; coem/BYD_UKE/gen_bsw/Dem/Dem_Cfg_DtcId.h:256</x:v>
      </x:c>
    </x:row>
    <x:row r="218" ht="68" customHeight="1">
      <x:c r="A218" s="144" t="str">
        <x:v>DemEvent</x:v>
      </x:c>
      <x:c r="B218" s="144" t="str">
        <x:v>EVT-131</x:v>
      </x:c>
      <x:c r="C218" s="144" t="str">
        <x:v>PF_Event_PMIC_BUCK1_1V8_OVER_CURRENT</x:v>
      </x:c>
      <x:c r="D218" s="144" t="str">
        <x:v>DTC=0xACD640; Priority=64; Aging=40; Confirm=1; FFmax=2</x:v>
      </x:c>
      <x:c r="E218" s="144" t="str">
        <x:v>OperationCycle=POWER; Storage=NONE; Enable=NONE</x:v>
      </x:c>
      <x:c r="F218" s="144" t="str">
        <x:v>诊断权限不适用；事件可用性由 Enable/Storage Condition 控制</x:v>
      </x:c>
      <x:c r="G218" s="144" t="str">
        <x:v>DTC_ID=13 DTC_INTERNAL_POWER_MANAGEMENT_SYS_FAILURE; debounce=ARCTRBASECLASS/FREEZE; recoverable=是; primary=是; agingAllowed=是; initialUnavailable=否</x:v>
      </x:c>
      <x:c r="H21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8" s="144" t="str">
        <x:v>交付 Event→DTC→Debounce→Aging→Memory→NvM 的可编辑配置、回调清单与自动测试 ID；禁止用参考 ARXML/生成代码作为输入。</x:v>
      </x:c>
      <x:c r="J218" s="144" t="str">
        <x:v>逐项注入 FAILED/PASSED、确认阈值、老化40周期、掉电恢复、ClearDTC、满40 Entry、回调失败；0x19 结果与内部状态一致。</x:v>
      </x:c>
      <x:c r="K218" s="144" t="str">
        <x:v>coem/BYD_UKE/gen_bsw/Dem/Dem_Cfg_EventId.h:157; coem/BYD_UKE/gen_bsw/Dem/Dem_Cfg_Events_DataStructures.c:157; coem/BYD_UKE/gen_bsw/Dem/Dem_Cfg_Events_DataStructures.c:379; coem/BYD_UKE/gen_bsw/Dem/Dem_Cfg_DtcId.h:257</x:v>
      </x:c>
    </x:row>
    <x:row r="219" ht="68" customHeight="1">
      <x:c r="A219" s="144" t="str">
        <x:v>DemEvent</x:v>
      </x:c>
      <x:c r="B219" s="144" t="str">
        <x:v>EVT-132</x:v>
      </x:c>
      <x:c r="C219" s="144" t="str">
        <x:v>PF_Event_PMIC_BUCK1_1V8_SC</x:v>
      </x:c>
      <x:c r="D219" s="144" t="str">
        <x:v>DTC=0xACD640; Priority=64; Aging=40; Confirm=1; FFmax=2</x:v>
      </x:c>
      <x:c r="E219" s="144" t="str">
        <x:v>OperationCycle=POWER; Storage=NONE; Enable=NONE</x:v>
      </x:c>
      <x:c r="F219" s="144" t="str">
        <x:v>诊断权限不适用；事件可用性由 Enable/Storage Condition 控制</x:v>
      </x:c>
      <x:c r="G219" s="144" t="str">
        <x:v>DTC_ID=13 DTC_INTERNAL_POWER_MANAGEMENT_SYS_FAILURE; debounce=ARCTRBASECLASS/FREEZE; recoverable=是; primary=是; agingAllowed=是; initialUnavailable=否</x:v>
      </x:c>
      <x:c r="H21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9" s="144" t="str">
        <x:v>交付 Event→DTC→Debounce→Aging→Memory→NvM 的可编辑配置、回调清单与自动测试 ID；禁止用参考 ARXML/生成代码作为输入。</x:v>
      </x:c>
      <x:c r="J219" s="144" t="str">
        <x:v>逐项注入 FAILED/PASSED、确认阈值、老化40周期、掉电恢复、ClearDTC、满40 Entry、回调失败；0x19 结果与内部状态一致。</x:v>
      </x:c>
      <x:c r="K219" s="144" t="str">
        <x:v>coem/BYD_UKE/gen_bsw/Dem/Dem_Cfg_EventId.h:158; coem/BYD_UKE/gen_bsw/Dem/Dem_Cfg_Events_DataStructures.c:158; coem/BYD_UKE/gen_bsw/Dem/Dem_Cfg_Events_DataStructures.c:380; coem/BYD_UKE/gen_bsw/Dem/Dem_Cfg_DtcId.h:258</x:v>
      </x:c>
    </x:row>
    <x:row r="220" ht="68" customHeight="1">
      <x:c r="A220" s="144" t="str">
        <x:v>DemEvent</x:v>
      </x:c>
      <x:c r="B220" s="144" t="str">
        <x:v>EVT-133</x:v>
      </x:c>
      <x:c r="C220" s="144" t="str">
        <x:v>PF_Event_PMIC_BUCK1_1V8_UV</x:v>
      </x:c>
      <x:c r="D220" s="144" t="str">
        <x:v>DTC=0xACDB16; Priority=64; Aging=40; Confirm=1; FFmax=2</x:v>
      </x:c>
      <x:c r="E220" s="144" t="str">
        <x:v>OperationCycle=POWER; Storage=NONE; Enable=NONE</x:v>
      </x:c>
      <x:c r="F220" s="144" t="str">
        <x:v>诊断权限不适用；事件可用性由 Enable/Storage Condition 控制</x:v>
      </x:c>
      <x:c r="G220" s="144" t="str">
        <x:v>DTC_ID=18 DTC_POWER_MANAGEMENT_CHIP_VOLTAGE_LOW; debounce=ARCTRBASECLASS/FREEZE; recoverable=是; primary=是; agingAllowed=是; initialUnavailable=否</x:v>
      </x:c>
      <x:c r="H22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0" s="144" t="str">
        <x:v>交付 Event→DTC→Debounce→Aging→Memory→NvM 的可编辑配置、回调清单与自动测试 ID；禁止用参考 ARXML/生成代码作为输入。</x:v>
      </x:c>
      <x:c r="J220" s="144" t="str">
        <x:v>逐项注入 FAILED/PASSED、确认阈值、老化40周期、掉电恢复、ClearDTC、满40 Entry、回调失败；0x19 结果与内部状态一致。</x:v>
      </x:c>
      <x:c r="K220" s="144" t="str">
        <x:v>coem/BYD_UKE/gen_bsw/Dem/Dem_Cfg_EventId.h:159; coem/BYD_UKE/gen_bsw/Dem/Dem_Cfg_Events_DataStructures.c:159; coem/BYD_UKE/gen_bsw/Dem/Dem_Cfg_Events_DataStructures.c:381; coem/BYD_UKE/gen_bsw/Dem/Dem_Cfg_DtcId.h:259</x:v>
      </x:c>
    </x:row>
    <x:row r="221" ht="68" customHeight="1">
      <x:c r="A221" s="144" t="str">
        <x:v>DemEvent</x:v>
      </x:c>
      <x:c r="B221" s="144" t="str">
        <x:v>EVT-134</x:v>
      </x:c>
      <x:c r="C221" s="144" t="str">
        <x:v>PF_Event_PMIC_BUCK2_1V_OV</x:v>
      </x:c>
      <x:c r="D221" s="144" t="str">
        <x:v>DTC=0xACD917; Priority=64; Aging=40; Confirm=1; FFmax=2</x:v>
      </x:c>
      <x:c r="E221" s="144" t="str">
        <x:v>OperationCycle=POWER; Storage=NONE; Enable=NONE</x:v>
      </x:c>
      <x:c r="F221" s="144" t="str">
        <x:v>诊断权限不适用；事件可用性由 Enable/Storage Condition 控制</x:v>
      </x:c>
      <x:c r="G221" s="144" t="str">
        <x:v>DTC_ID=16 DTC_POWER_MANAGEMENT_CHIP_VOLTAGE_HIGH; debounce=ARCTRBASECLASS/FREEZE; recoverable=是; primary=是; agingAllowed=是; initialUnavailable=否</x:v>
      </x:c>
      <x:c r="H22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1" s="144" t="str">
        <x:v>交付 Event→DTC→Debounce→Aging→Memory→NvM 的可编辑配置、回调清单与自动测试 ID；禁止用参考 ARXML/生成代码作为输入。</x:v>
      </x:c>
      <x:c r="J221" s="144" t="str">
        <x:v>逐项注入 FAILED/PASSED、确认阈值、老化40周期、掉电恢复、ClearDTC、满40 Entry、回调失败；0x19 结果与内部状态一致。</x:v>
      </x:c>
      <x:c r="K221" s="144" t="str">
        <x:v>coem/BYD_UKE/gen_bsw/Dem/Dem_Cfg_EventId.h:160; coem/BYD_UKE/gen_bsw/Dem/Dem_Cfg_Events_DataStructures.c:160; coem/BYD_UKE/gen_bsw/Dem/Dem_Cfg_Events_DataStructures.c:382; coem/BYD_UKE/gen_bsw/Dem/Dem_Cfg_DtcId.h:260</x:v>
      </x:c>
    </x:row>
    <x:row r="222" ht="68" customHeight="1">
      <x:c r="A222" s="144" t="str">
        <x:v>DemEvent</x:v>
      </x:c>
      <x:c r="B222" s="144" t="str">
        <x:v>EVT-135</x:v>
      </x:c>
      <x:c r="C222" s="144" t="str">
        <x:v>PF_Event_PMIC_BUCK2_1V_OVER_CURRENT</x:v>
      </x:c>
      <x:c r="D222" s="144" t="str">
        <x:v>DTC=0xACD640; Priority=64; Aging=40; Confirm=1; FFmax=2</x:v>
      </x:c>
      <x:c r="E222" s="144" t="str">
        <x:v>OperationCycle=POWER; Storage=NONE; Enable=NONE</x:v>
      </x:c>
      <x:c r="F222" s="144" t="str">
        <x:v>诊断权限不适用；事件可用性由 Enable/Storage Condition 控制</x:v>
      </x:c>
      <x:c r="G222" s="144" t="str">
        <x:v>DTC_ID=13 DTC_INTERNAL_POWER_MANAGEMENT_SYS_FAILURE; debounce=ARCTRBASECLASS/FREEZE; recoverable=是; primary=是; agingAllowed=是; initialUnavailable=否</x:v>
      </x:c>
      <x:c r="H22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2" s="144" t="str">
        <x:v>交付 Event→DTC→Debounce→Aging→Memory→NvM 的可编辑配置、回调清单与自动测试 ID；禁止用参考 ARXML/生成代码作为输入。</x:v>
      </x:c>
      <x:c r="J222" s="144" t="str">
        <x:v>逐项注入 FAILED/PASSED、确认阈值、老化40周期、掉电恢复、ClearDTC、满40 Entry、回调失败；0x19 结果与内部状态一致。</x:v>
      </x:c>
      <x:c r="K222" s="144" t="str">
        <x:v>coem/BYD_UKE/gen_bsw/Dem/Dem_Cfg_EventId.h:161; coem/BYD_UKE/gen_bsw/Dem/Dem_Cfg_Events_DataStructures.c:161; coem/BYD_UKE/gen_bsw/Dem/Dem_Cfg_Events_DataStructures.c:383; coem/BYD_UKE/gen_bsw/Dem/Dem_Cfg_DtcId.h:261</x:v>
      </x:c>
    </x:row>
    <x:row r="223" ht="68" customHeight="1">
      <x:c r="A223" s="144" t="str">
        <x:v>DemEvent</x:v>
      </x:c>
      <x:c r="B223" s="144" t="str">
        <x:v>EVT-136</x:v>
      </x:c>
      <x:c r="C223" s="144" t="str">
        <x:v>PF_Event_PMIC_BUCK2_1V_SC</x:v>
      </x:c>
      <x:c r="D223" s="144" t="str">
        <x:v>DTC=0xACD640; Priority=64; Aging=40; Confirm=1; FFmax=2</x:v>
      </x:c>
      <x:c r="E223" s="144" t="str">
        <x:v>OperationCycle=POWER; Storage=NONE; Enable=NONE</x:v>
      </x:c>
      <x:c r="F223" s="144" t="str">
        <x:v>诊断权限不适用；事件可用性由 Enable/Storage Condition 控制</x:v>
      </x:c>
      <x:c r="G223" s="144" t="str">
        <x:v>DTC_ID=13 DTC_INTERNAL_POWER_MANAGEMENT_SYS_FAILURE; debounce=ARCTRBASECLASS/FREEZE; recoverable=是; primary=是; agingAllowed=是; initialUnavailable=否</x:v>
      </x:c>
      <x:c r="H22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3" s="144" t="str">
        <x:v>交付 Event→DTC→Debounce→Aging→Memory→NvM 的可编辑配置、回调清单与自动测试 ID；禁止用参考 ARXML/生成代码作为输入。</x:v>
      </x:c>
      <x:c r="J223" s="144" t="str">
        <x:v>逐项注入 FAILED/PASSED、确认阈值、老化40周期、掉电恢复、ClearDTC、满40 Entry、回调失败；0x19 结果与内部状态一致。</x:v>
      </x:c>
      <x:c r="K223" s="144" t="str">
        <x:v>coem/BYD_UKE/gen_bsw/Dem/Dem_Cfg_EventId.h:162; coem/BYD_UKE/gen_bsw/Dem/Dem_Cfg_Events_DataStructures.c:162; coem/BYD_UKE/gen_bsw/Dem/Dem_Cfg_Events_DataStructures.c:384; coem/BYD_UKE/gen_bsw/Dem/Dem_Cfg_DtcId.h:262</x:v>
      </x:c>
    </x:row>
    <x:row r="224" ht="68" customHeight="1">
      <x:c r="A224" s="144" t="str">
        <x:v>DemEvent</x:v>
      </x:c>
      <x:c r="B224" s="144" t="str">
        <x:v>EVT-137</x:v>
      </x:c>
      <x:c r="C224" s="144" t="str">
        <x:v>PF_Event_PMIC_BUCK2_1V_UV</x:v>
      </x:c>
      <x:c r="D224" s="144" t="str">
        <x:v>DTC=0xACDB16; Priority=64; Aging=40; Confirm=1; FFmax=2</x:v>
      </x:c>
      <x:c r="E224" s="144" t="str">
        <x:v>OperationCycle=POWER; Storage=NONE; Enable=NONE</x:v>
      </x:c>
      <x:c r="F224" s="144" t="str">
        <x:v>诊断权限不适用；事件可用性由 Enable/Storage Condition 控制</x:v>
      </x:c>
      <x:c r="G224" s="144" t="str">
        <x:v>DTC_ID=18 DTC_POWER_MANAGEMENT_CHIP_VOLTAGE_LOW; debounce=ARCTRBASECLASS/FREEZE; recoverable=是; primary=是; agingAllowed=是; initialUnavailable=否</x:v>
      </x:c>
      <x:c r="H22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4" s="144" t="str">
        <x:v>交付 Event→DTC→Debounce→Aging→Memory→NvM 的可编辑配置、回调清单与自动测试 ID；禁止用参考 ARXML/生成代码作为输入。</x:v>
      </x:c>
      <x:c r="J224" s="144" t="str">
        <x:v>逐项注入 FAILED/PASSED、确认阈值、老化40周期、掉电恢复、ClearDTC、满40 Entry、回调失败；0x19 结果与内部状态一致。</x:v>
      </x:c>
      <x:c r="K224" s="144" t="str">
        <x:v>coem/BYD_UKE/gen_bsw/Dem/Dem_Cfg_EventId.h:163; coem/BYD_UKE/gen_bsw/Dem/Dem_Cfg_Events_DataStructures.c:163; coem/BYD_UKE/gen_bsw/Dem/Dem_Cfg_Events_DataStructures.c:385; coem/BYD_UKE/gen_bsw/Dem/Dem_Cfg_DtcId.h:263</x:v>
      </x:c>
    </x:row>
    <x:row r="225" ht="68" customHeight="1">
      <x:c r="A225" s="144" t="str">
        <x:v>DemEvent</x:v>
      </x:c>
      <x:c r="B225" s="144" t="str">
        <x:v>EVT-138</x:v>
      </x:c>
      <x:c r="C225" s="144" t="str">
        <x:v>PF_Event_PMIC_BUCK3_1V2_OV</x:v>
      </x:c>
      <x:c r="D225" s="144" t="str">
        <x:v>DTC=0xACD917; Priority=64; Aging=40; Confirm=1; FFmax=2</x:v>
      </x:c>
      <x:c r="E225" s="144" t="str">
        <x:v>OperationCycle=POWER; Storage=NONE; Enable=NONE</x:v>
      </x:c>
      <x:c r="F225" s="144" t="str">
        <x:v>诊断权限不适用；事件可用性由 Enable/Storage Condition 控制</x:v>
      </x:c>
      <x:c r="G225" s="144" t="str">
        <x:v>DTC_ID=16 DTC_POWER_MANAGEMENT_CHIP_VOLTAGE_HIGH; debounce=ARCTRBASECLASS/FREEZE; recoverable=是; primary=是; agingAllowed=是; initialUnavailable=否</x:v>
      </x:c>
      <x:c r="H22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5" s="144" t="str">
        <x:v>交付 Event→DTC→Debounce→Aging→Memory→NvM 的可编辑配置、回调清单与自动测试 ID；禁止用参考 ARXML/生成代码作为输入。</x:v>
      </x:c>
      <x:c r="J225" s="144" t="str">
        <x:v>逐项注入 FAILED/PASSED、确认阈值、老化40周期、掉电恢复、ClearDTC、满40 Entry、回调失败；0x19 结果与内部状态一致。</x:v>
      </x:c>
      <x:c r="K225" s="144" t="str">
        <x:v>coem/BYD_UKE/gen_bsw/Dem/Dem_Cfg_EventId.h:164; coem/BYD_UKE/gen_bsw/Dem/Dem_Cfg_Events_DataStructures.c:164; coem/BYD_UKE/gen_bsw/Dem/Dem_Cfg_Events_DataStructures.c:386; coem/BYD_UKE/gen_bsw/Dem/Dem_Cfg_DtcId.h:264</x:v>
      </x:c>
    </x:row>
    <x:row r="226" ht="68" customHeight="1">
      <x:c r="A226" s="144" t="str">
        <x:v>DemEvent</x:v>
      </x:c>
      <x:c r="B226" s="144" t="str">
        <x:v>EVT-139</x:v>
      </x:c>
      <x:c r="C226" s="144" t="str">
        <x:v>PF_Event_PMIC_BUCK3_1V2_OVER_CURRENT</x:v>
      </x:c>
      <x:c r="D226" s="144" t="str">
        <x:v>DTC=0xACD640; Priority=64; Aging=40; Confirm=1; FFmax=2</x:v>
      </x:c>
      <x:c r="E226" s="144" t="str">
        <x:v>OperationCycle=POWER; Storage=NONE; Enable=NONE</x:v>
      </x:c>
      <x:c r="F226" s="144" t="str">
        <x:v>诊断权限不适用；事件可用性由 Enable/Storage Condition 控制</x:v>
      </x:c>
      <x:c r="G226" s="144" t="str">
        <x:v>DTC_ID=13 DTC_INTERNAL_POWER_MANAGEMENT_SYS_FAILURE; debounce=ARCTRBASECLASS/FREEZE; recoverable=是; primary=是; agingAllowed=是; initialUnavailable=否</x:v>
      </x:c>
      <x:c r="H22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6" s="144" t="str">
        <x:v>交付 Event→DTC→Debounce→Aging→Memory→NvM 的可编辑配置、回调清单与自动测试 ID；禁止用参考 ARXML/生成代码作为输入。</x:v>
      </x:c>
      <x:c r="J226" s="144" t="str">
        <x:v>逐项注入 FAILED/PASSED、确认阈值、老化40周期、掉电恢复、ClearDTC、满40 Entry、回调失败；0x19 结果与内部状态一致。</x:v>
      </x:c>
      <x:c r="K226" s="144" t="str">
        <x:v>coem/BYD_UKE/gen_bsw/Dem/Dem_Cfg_EventId.h:165; coem/BYD_UKE/gen_bsw/Dem/Dem_Cfg_Events_DataStructures.c:165; coem/BYD_UKE/gen_bsw/Dem/Dem_Cfg_Events_DataStructures.c:387; coem/BYD_UKE/gen_bsw/Dem/Dem_Cfg_DtcId.h:265</x:v>
      </x:c>
    </x:row>
    <x:row r="227" ht="68" customHeight="1">
      <x:c r="A227" s="144" t="str">
        <x:v>DemEvent</x:v>
      </x:c>
      <x:c r="B227" s="144" t="str">
        <x:v>EVT-140</x:v>
      </x:c>
      <x:c r="C227" s="144" t="str">
        <x:v>PF_Event_PMIC_BUCK3_1V2_SC</x:v>
      </x:c>
      <x:c r="D227" s="144" t="str">
        <x:v>DTC=0xACD640; Priority=64; Aging=40; Confirm=1; FFmax=2</x:v>
      </x:c>
      <x:c r="E227" s="144" t="str">
        <x:v>OperationCycle=POWER; Storage=NONE; Enable=NONE</x:v>
      </x:c>
      <x:c r="F227" s="144" t="str">
        <x:v>诊断权限不适用；事件可用性由 Enable/Storage Condition 控制</x:v>
      </x:c>
      <x:c r="G227" s="144" t="str">
        <x:v>DTC_ID=13 DTC_INTERNAL_POWER_MANAGEMENT_SYS_FAILURE; debounce=ARCTRBASECLASS/FREEZE; recoverable=是; primary=是; agingAllowed=是; initialUnavailable=否</x:v>
      </x:c>
      <x:c r="H22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7" s="144" t="str">
        <x:v>交付 Event→DTC→Debounce→Aging→Memory→NvM 的可编辑配置、回调清单与自动测试 ID；禁止用参考 ARXML/生成代码作为输入。</x:v>
      </x:c>
      <x:c r="J227" s="144" t="str">
        <x:v>逐项注入 FAILED/PASSED、确认阈值、老化40周期、掉电恢复、ClearDTC、满40 Entry、回调失败；0x19 结果与内部状态一致。</x:v>
      </x:c>
      <x:c r="K227" s="144" t="str">
        <x:v>coem/BYD_UKE/gen_bsw/Dem/Dem_Cfg_EventId.h:166; coem/BYD_UKE/gen_bsw/Dem/Dem_Cfg_Events_DataStructures.c:166; coem/BYD_UKE/gen_bsw/Dem/Dem_Cfg_Events_DataStructures.c:388; coem/BYD_UKE/gen_bsw/Dem/Dem_Cfg_DtcId.h:266</x:v>
      </x:c>
    </x:row>
    <x:row r="228" ht="68" customHeight="1">
      <x:c r="A228" s="144" t="str">
        <x:v>DemEvent</x:v>
      </x:c>
      <x:c r="B228" s="144" t="str">
        <x:v>EVT-141</x:v>
      </x:c>
      <x:c r="C228" s="144" t="str">
        <x:v>PF_Event_PMIC_BUCK3_1V2_UV</x:v>
      </x:c>
      <x:c r="D228" s="144" t="str">
        <x:v>DTC=0xACDB16; Priority=64; Aging=40; Confirm=1; FFmax=2</x:v>
      </x:c>
      <x:c r="E228" s="144" t="str">
        <x:v>OperationCycle=POWER; Storage=NONE; Enable=NONE</x:v>
      </x:c>
      <x:c r="F228" s="144" t="str">
        <x:v>诊断权限不适用；事件可用性由 Enable/Storage Condition 控制</x:v>
      </x:c>
      <x:c r="G228" s="144" t="str">
        <x:v>DTC_ID=18 DTC_POWER_MANAGEMENT_CHIP_VOLTAGE_LOW; debounce=ARCTRBASECLASS/FREEZE; recoverable=是; primary=是; agingAllowed=是; initialUnavailable=否</x:v>
      </x:c>
      <x:c r="H22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8" s="144" t="str">
        <x:v>交付 Event→DTC→Debounce→Aging→Memory→NvM 的可编辑配置、回调清单与自动测试 ID；禁止用参考 ARXML/生成代码作为输入。</x:v>
      </x:c>
      <x:c r="J228" s="144" t="str">
        <x:v>逐项注入 FAILED/PASSED、确认阈值、老化40周期、掉电恢复、ClearDTC、满40 Entry、回调失败；0x19 结果与内部状态一致。</x:v>
      </x:c>
      <x:c r="K228" s="144" t="str">
        <x:v>coem/BYD_UKE/gen_bsw/Dem/Dem_Cfg_EventId.h:167; coem/BYD_UKE/gen_bsw/Dem/Dem_Cfg_Events_DataStructures.c:167; coem/BYD_UKE/gen_bsw/Dem/Dem_Cfg_Events_DataStructures.c:389; coem/BYD_UKE/gen_bsw/Dem/Dem_Cfg_DtcId.h:267</x:v>
      </x:c>
    </x:row>
    <x:row r="229" ht="68" customHeight="1">
      <x:c r="A229" s="144" t="str">
        <x:v>DemEvent</x:v>
      </x:c>
      <x:c r="B229" s="144" t="str">
        <x:v>EVT-142</x:v>
      </x:c>
      <x:c r="C229" s="144" t="str">
        <x:v>PF_Event_PMIC_GENERAL_FAULT</x:v>
      </x:c>
      <x:c r="D229" s="144" t="str">
        <x:v>DTC=0xACD640; Priority=64; Aging=40; Confirm=1; FFmax=2</x:v>
      </x:c>
      <x:c r="E229" s="144" t="str">
        <x:v>OperationCycle=POWER; Storage=NONE; Enable=NONE</x:v>
      </x:c>
      <x:c r="F229" s="144" t="str">
        <x:v>诊断权限不适用；事件可用性由 Enable/Storage Condition 控制</x:v>
      </x:c>
      <x:c r="G229" s="144" t="str">
        <x:v>DTC_ID=13 DTC_INTERNAL_POWER_MANAGEMENT_SYS_FAILURE; debounce=ARCTRBASECLASS/FREEZE; recoverable=是; primary=是; agingAllowed=是; initialUnavailable=否</x:v>
      </x:c>
      <x:c r="H22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9" s="144" t="str">
        <x:v>交付 Event→DTC→Debounce→Aging→Memory→NvM 的可编辑配置、回调清单与自动测试 ID；禁止用参考 ARXML/生成代码作为输入。</x:v>
      </x:c>
      <x:c r="J229" s="144" t="str">
        <x:v>逐项注入 FAILED/PASSED、确认阈值、老化40周期、掉电恢复、ClearDTC、满40 Entry、回调失败；0x19 结果与内部状态一致。</x:v>
      </x:c>
      <x:c r="K229" s="144" t="str">
        <x:v>coem/BYD_UKE/gen_bsw/Dem/Dem_Cfg_EventId.h:168; coem/BYD_UKE/gen_bsw/Dem/Dem_Cfg_Events_DataStructures.c:168; coem/BYD_UKE/gen_bsw/Dem/Dem_Cfg_Events_DataStructures.c:390; coem/BYD_UKE/gen_bsw/Dem/Dem_Cfg_DtcId.h:268</x:v>
      </x:c>
    </x:row>
    <x:row r="230" ht="68" customHeight="1">
      <x:c r="A230" s="144" t="str">
        <x:v>DemEvent</x:v>
      </x:c>
      <x:c r="B230" s="144" t="str">
        <x:v>EVT-143</x:v>
      </x:c>
      <x:c r="C230" s="144" t="str">
        <x:v>PF_Event_PMIC_LDO_3V3_OV</x:v>
      </x:c>
      <x:c r="D230" s="144" t="str">
        <x:v>DTC=0xACD917; Priority=64; Aging=40; Confirm=1; FFmax=2</x:v>
      </x:c>
      <x:c r="E230" s="144" t="str">
        <x:v>OperationCycle=POWER; Storage=NONE; Enable=NONE</x:v>
      </x:c>
      <x:c r="F230" s="144" t="str">
        <x:v>诊断权限不适用；事件可用性由 Enable/Storage Condition 控制</x:v>
      </x:c>
      <x:c r="G230" s="144" t="str">
        <x:v>DTC_ID=16 DTC_POWER_MANAGEMENT_CHIP_VOLTAGE_HIGH; debounce=ARCTRBASECLASS/FREEZE; recoverable=是; primary=是; agingAllowed=是; initialUnavailable=否</x:v>
      </x:c>
      <x:c r="H23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0" s="144" t="str">
        <x:v>交付 Event→DTC→Debounce→Aging→Memory→NvM 的可编辑配置、回调清单与自动测试 ID；禁止用参考 ARXML/生成代码作为输入。</x:v>
      </x:c>
      <x:c r="J230" s="144" t="str">
        <x:v>逐项注入 FAILED/PASSED、确认阈值、老化40周期、掉电恢复、ClearDTC、满40 Entry、回调失败；0x19 结果与内部状态一致。</x:v>
      </x:c>
      <x:c r="K230" s="144" t="str">
        <x:v>coem/BYD_UKE/gen_bsw/Dem/Dem_Cfg_EventId.h:169; coem/BYD_UKE/gen_bsw/Dem/Dem_Cfg_Events_DataStructures.c:169; coem/BYD_UKE/gen_bsw/Dem/Dem_Cfg_Events_DataStructures.c:391; coem/BYD_UKE/gen_bsw/Dem/Dem_Cfg_DtcId.h:269</x:v>
      </x:c>
    </x:row>
    <x:row r="231" ht="68" customHeight="1">
      <x:c r="A231" s="144" t="str">
        <x:v>DemEvent</x:v>
      </x:c>
      <x:c r="B231" s="144" t="str">
        <x:v>EVT-144</x:v>
      </x:c>
      <x:c r="C231" s="144" t="str">
        <x:v>PF_Event_PMIC_LDO_3V3_OVER_CURRENT</x:v>
      </x:c>
      <x:c r="D231" s="144" t="str">
        <x:v>DTC=0xACD640; Priority=64; Aging=40; Confirm=1; FFmax=2</x:v>
      </x:c>
      <x:c r="E231" s="144" t="str">
        <x:v>OperationCycle=POWER; Storage=NONE; Enable=NONE</x:v>
      </x:c>
      <x:c r="F231" s="144" t="str">
        <x:v>诊断权限不适用；事件可用性由 Enable/Storage Condition 控制</x:v>
      </x:c>
      <x:c r="G231" s="144" t="str">
        <x:v>DTC_ID=13 DTC_INTERNAL_POWER_MANAGEMENT_SYS_FAILURE; debounce=ARCTRBASECLASS/FREEZE; recoverable=是; primary=是; agingAllowed=是; initialUnavailable=否</x:v>
      </x:c>
      <x:c r="H23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1" s="144" t="str">
        <x:v>交付 Event→DTC→Debounce→Aging→Memory→NvM 的可编辑配置、回调清单与自动测试 ID；禁止用参考 ARXML/生成代码作为输入。</x:v>
      </x:c>
      <x:c r="J231" s="144" t="str">
        <x:v>逐项注入 FAILED/PASSED、确认阈值、老化40周期、掉电恢复、ClearDTC、满40 Entry、回调失败；0x19 结果与内部状态一致。</x:v>
      </x:c>
      <x:c r="K231" s="144" t="str">
        <x:v>coem/BYD_UKE/gen_bsw/Dem/Dem_Cfg_EventId.h:170; coem/BYD_UKE/gen_bsw/Dem/Dem_Cfg_Events_DataStructures.c:170; coem/BYD_UKE/gen_bsw/Dem/Dem_Cfg_Events_DataStructures.c:392; coem/BYD_UKE/gen_bsw/Dem/Dem_Cfg_DtcId.h:270</x:v>
      </x:c>
    </x:row>
    <x:row r="232" ht="68" customHeight="1">
      <x:c r="A232" s="144" t="str">
        <x:v>DemEvent</x:v>
      </x:c>
      <x:c r="B232" s="144" t="str">
        <x:v>EVT-145</x:v>
      </x:c>
      <x:c r="C232" s="144" t="str">
        <x:v>PF_Event_PMIC_LDO_3V3_SC</x:v>
      </x:c>
      <x:c r="D232" s="144" t="str">
        <x:v>DTC=0xACD640; Priority=64; Aging=40; Confirm=1; FFmax=2</x:v>
      </x:c>
      <x:c r="E232" s="144" t="str">
        <x:v>OperationCycle=POWER; Storage=NONE; Enable=NONE</x:v>
      </x:c>
      <x:c r="F232" s="144" t="str">
        <x:v>诊断权限不适用；事件可用性由 Enable/Storage Condition 控制</x:v>
      </x:c>
      <x:c r="G232" s="144" t="str">
        <x:v>DTC_ID=13 DTC_INTERNAL_POWER_MANAGEMENT_SYS_FAILURE; debounce=ARCTRBASECLASS/FREEZE; recoverable=是; primary=是; agingAllowed=是; initialUnavailable=否</x:v>
      </x:c>
      <x:c r="H23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2" s="144" t="str">
        <x:v>交付 Event→DTC→Debounce→Aging→Memory→NvM 的可编辑配置、回调清单与自动测试 ID；禁止用参考 ARXML/生成代码作为输入。</x:v>
      </x:c>
      <x:c r="J232" s="144" t="str">
        <x:v>逐项注入 FAILED/PASSED、确认阈值、老化40周期、掉电恢复、ClearDTC、满40 Entry、回调失败；0x19 结果与内部状态一致。</x:v>
      </x:c>
      <x:c r="K232" s="144" t="str">
        <x:v>coem/BYD_UKE/gen_bsw/Dem/Dem_Cfg_EventId.h:171; coem/BYD_UKE/gen_bsw/Dem/Dem_Cfg_Events_DataStructures.c:171; coem/BYD_UKE/gen_bsw/Dem/Dem_Cfg_Events_DataStructures.c:393; coem/BYD_UKE/gen_bsw/Dem/Dem_Cfg_DtcId.h:271</x:v>
      </x:c>
    </x:row>
    <x:row r="233" ht="68" customHeight="1">
      <x:c r="A233" s="144" t="str">
        <x:v>DemEvent</x:v>
      </x:c>
      <x:c r="B233" s="144" t="str">
        <x:v>EVT-146</x:v>
      </x:c>
      <x:c r="C233" s="144" t="str">
        <x:v>PF_Event_PMIC_LDO_3V3_UV</x:v>
      </x:c>
      <x:c r="D233" s="144" t="str">
        <x:v>DTC=0xACDB16; Priority=64; Aging=40; Confirm=1; FFmax=2</x:v>
      </x:c>
      <x:c r="E233" s="144" t="str">
        <x:v>OperationCycle=POWER; Storage=NONE; Enable=NONE</x:v>
      </x:c>
      <x:c r="F233" s="144" t="str">
        <x:v>诊断权限不适用；事件可用性由 Enable/Storage Condition 控制</x:v>
      </x:c>
      <x:c r="G233" s="144" t="str">
        <x:v>DTC_ID=18 DTC_POWER_MANAGEMENT_CHIP_VOLTAGE_LOW; debounce=ARCTRBASECLASS/FREEZE; recoverable=是; primary=是; agingAllowed=是; initialUnavailable=否</x:v>
      </x:c>
      <x:c r="H23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3" s="144" t="str">
        <x:v>交付 Event→DTC→Debounce→Aging→Memory→NvM 的可编辑配置、回调清单与自动测试 ID；禁止用参考 ARXML/生成代码作为输入。</x:v>
      </x:c>
      <x:c r="J233" s="144" t="str">
        <x:v>逐项注入 FAILED/PASSED、确认阈值、老化40周期、掉电恢复、ClearDTC、满40 Entry、回调失败；0x19 结果与内部状态一致。</x:v>
      </x:c>
      <x:c r="K233" s="144" t="str">
        <x:v>coem/BYD_UKE/gen_bsw/Dem/Dem_Cfg_EventId.h:172; coem/BYD_UKE/gen_bsw/Dem/Dem_Cfg_Events_DataStructures.c:172; coem/BYD_UKE/gen_bsw/Dem/Dem_Cfg_Events_DataStructures.c:394; coem/BYD_UKE/gen_bsw/Dem/Dem_Cfg_DtcId.h:272</x:v>
      </x:c>
    </x:row>
    <x:row r="234" ht="68" customHeight="1">
      <x:c r="A234" s="144" t="str">
        <x:v>DemEvent</x:v>
      </x:c>
      <x:c r="B234" s="144" t="str">
        <x:v>EVT-147</x:v>
      </x:c>
      <x:c r="C234" s="144" t="str">
        <x:v>PF_Event_PMIC_SPICOM_TX</x:v>
      </x:c>
      <x:c r="D234" s="144" t="str">
        <x:v>DTC=0xACD640; Priority=64; Aging=40; Confirm=1; FFmax=2</x:v>
      </x:c>
      <x:c r="E234" s="144" t="str">
        <x:v>OperationCycle=POWER; Storage=NONE; Enable=NONE</x:v>
      </x:c>
      <x:c r="F234" s="144" t="str">
        <x:v>诊断权限不适用；事件可用性由 Enable/Storage Condition 控制</x:v>
      </x:c>
      <x:c r="G234" s="144" t="str">
        <x:v>DTC_ID=13 DTC_INTERNAL_POWER_MANAGEMENT_SYS_FAILURE; debounce=ARCTRBASECLASS/FREEZE; recoverable=是; primary=是; agingAllowed=是; initialUnavailable=否</x:v>
      </x:c>
      <x:c r="H23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4" s="144" t="str">
        <x:v>交付 Event→DTC→Debounce→Aging→Memory→NvM 的可编辑配置、回调清单与自动测试 ID；禁止用参考 ARXML/生成代码作为输入。</x:v>
      </x:c>
      <x:c r="J234" s="144" t="str">
        <x:v>逐项注入 FAILED/PASSED、确认阈值、老化40周期、掉电恢复、ClearDTC、满40 Entry、回调失败；0x19 结果与内部状态一致。</x:v>
      </x:c>
      <x:c r="K234" s="144" t="str">
        <x:v>coem/BYD_UKE/gen_bsw/Dem/Dem_Cfg_EventId.h:173; coem/BYD_UKE/gen_bsw/Dem/Dem_Cfg_Events_DataStructures.c:173; coem/BYD_UKE/gen_bsw/Dem/Dem_Cfg_Events_DataStructures.c:395; coem/BYD_UKE/gen_bsw/Dem/Dem_Cfg_DtcId.h:273</x:v>
      </x:c>
    </x:row>
    <x:row r="235" ht="68" customHeight="1">
      <x:c r="A235" s="144" t="str">
        <x:v>DemEvent</x:v>
      </x:c>
      <x:c r="B235" s="144" t="str">
        <x:v>EVT-148</x:v>
      </x:c>
      <x:c r="C235" s="144" t="str">
        <x:v>PF_Event_PMIC_VCCA_OV</x:v>
      </x:c>
      <x:c r="D235" s="144" t="str">
        <x:v>DTC=0xACD917; Priority=64; Aging=40; Confirm=1; FFmax=2</x:v>
      </x:c>
      <x:c r="E235" s="144" t="str">
        <x:v>OperationCycle=POWER; Storage=NONE; Enable=NONE</x:v>
      </x:c>
      <x:c r="F235" s="144" t="str">
        <x:v>诊断权限不适用；事件可用性由 Enable/Storage Condition 控制</x:v>
      </x:c>
      <x:c r="G235" s="144" t="str">
        <x:v>DTC_ID=16 DTC_POWER_MANAGEMENT_CHIP_VOLTAGE_HIGH; debounce=ARCTRBASECLASS/FREEZE; recoverable=是; primary=是; agingAllowed=是; initialUnavailable=否</x:v>
      </x:c>
      <x:c r="H23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5" s="144" t="str">
        <x:v>交付 Event→DTC→Debounce→Aging→Memory→NvM 的可编辑配置、回调清单与自动测试 ID；禁止用参考 ARXML/生成代码作为输入。</x:v>
      </x:c>
      <x:c r="J235" s="144" t="str">
        <x:v>逐项注入 FAILED/PASSED、确认阈值、老化40周期、掉电恢复、ClearDTC、满40 Entry、回调失败；0x19 结果与内部状态一致。</x:v>
      </x:c>
      <x:c r="K235" s="144" t="str">
        <x:v>coem/BYD_UKE/gen_bsw/Dem/Dem_Cfg_EventId.h:174; coem/BYD_UKE/gen_bsw/Dem/Dem_Cfg_Events_DataStructures.c:174; coem/BYD_UKE/gen_bsw/Dem/Dem_Cfg_Events_DataStructures.c:396; coem/BYD_UKE/gen_bsw/Dem/Dem_Cfg_DtcId.h:274</x:v>
      </x:c>
    </x:row>
    <x:row r="236" ht="68" customHeight="1">
      <x:c r="A236" s="144" t="str">
        <x:v>DemEvent</x:v>
      </x:c>
      <x:c r="B236" s="144" t="str">
        <x:v>EVT-149</x:v>
      </x:c>
      <x:c r="C236" s="144" t="str">
        <x:v>PF_Event_PMIC_VCCA_UV</x:v>
      </x:c>
      <x:c r="D236" s="144" t="str">
        <x:v>DTC=0xACDB16; Priority=64; Aging=40; Confirm=1; FFmax=2</x:v>
      </x:c>
      <x:c r="E236" s="144" t="str">
        <x:v>OperationCycle=POWER; Storage=NONE; Enable=NONE</x:v>
      </x:c>
      <x:c r="F236" s="144" t="str">
        <x:v>诊断权限不适用；事件可用性由 Enable/Storage Condition 控制</x:v>
      </x:c>
      <x:c r="G236" s="144" t="str">
        <x:v>DTC_ID=18 DTC_POWER_MANAGEMENT_CHIP_VOLTAGE_LOW; debounce=ARCTRBASECLASS/FREEZE; recoverable=是; primary=是; agingAllowed=是; initialUnavailable=否</x:v>
      </x:c>
      <x:c r="H23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6" s="144" t="str">
        <x:v>交付 Event→DTC→Debounce→Aging→Memory→NvM 的可编辑配置、回调清单与自动测试 ID；禁止用参考 ARXML/生成代码作为输入。</x:v>
      </x:c>
      <x:c r="J236" s="144" t="str">
        <x:v>逐项注入 FAILED/PASSED、确认阈值、老化40周期、掉电恢复、ClearDTC、满40 Entry、回调失败；0x19 结果与内部状态一致。</x:v>
      </x:c>
      <x:c r="K236" s="144" t="str">
        <x:v>coem/BYD_UKE/gen_bsw/Dem/Dem_Cfg_EventId.h:175; coem/BYD_UKE/gen_bsw/Dem/Dem_Cfg_Events_DataStructures.c:175; coem/BYD_UKE/gen_bsw/Dem/Dem_Cfg_Events_DataStructures.c:397; coem/BYD_UKE/gen_bsw/Dem/Dem_Cfg_DtcId.h:275</x:v>
      </x:c>
    </x:row>
    <x:row r="237" ht="68" customHeight="1">
      <x:c r="A237" s="144" t="str">
        <x:v>DemEvent</x:v>
      </x:c>
      <x:c r="B237" s="144" t="str">
        <x:v>EVT-150</x:v>
      </x:c>
      <x:c r="C237" s="144" t="str">
        <x:v>PF_Event_PMIC_WATCHDOG</x:v>
      </x:c>
      <x:c r="D237" s="144" t="str">
        <x:v>DTC=0xACD640; Priority=64; Aging=40; Confirm=1; FFmax=2</x:v>
      </x:c>
      <x:c r="E237" s="144" t="str">
        <x:v>OperationCycle=POWER; Storage=NONE; Enable=NONE</x:v>
      </x:c>
      <x:c r="F237" s="144" t="str">
        <x:v>诊断权限不适用；事件可用性由 Enable/Storage Condition 控制</x:v>
      </x:c>
      <x:c r="G237" s="144" t="str">
        <x:v>DTC_ID=13 DTC_INTERNAL_POWER_MANAGEMENT_SYS_FAILURE; debounce=ARCTRBASECLASS/FREEZE; recoverable=是; primary=是; agingAllowed=是; initialUnavailable=否</x:v>
      </x:c>
      <x:c r="H23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7" s="144" t="str">
        <x:v>交付 Event→DTC→Debounce→Aging→Memory→NvM 的可编辑配置、回调清单与自动测试 ID；禁止用参考 ARXML/生成代码作为输入。</x:v>
      </x:c>
      <x:c r="J237" s="144" t="str">
        <x:v>逐项注入 FAILED/PASSED、确认阈值、老化40周期、掉电恢复、ClearDTC、满40 Entry、回调失败；0x19 结果与内部状态一致。</x:v>
      </x:c>
      <x:c r="K237" s="144" t="str">
        <x:v>coem/BYD_UKE/gen_bsw/Dem/Dem_Cfg_EventId.h:176; coem/BYD_UKE/gen_bsw/Dem/Dem_Cfg_Events_DataStructures.c:176; coem/BYD_UKE/gen_bsw/Dem/Dem_Cfg_Events_DataStructures.c:398; coem/BYD_UKE/gen_bsw/Dem/Dem_Cfg_DtcId.h:276</x:v>
      </x:c>
    </x:row>
    <x:row r="238" ht="68" customHeight="1">
      <x:c r="A238" s="144" t="str">
        <x:v>DemEvent</x:v>
      </x:c>
      <x:c r="B238" s="144" t="str">
        <x:v>EVT-151</x:v>
      </x:c>
      <x:c r="C238" s="144" t="str">
        <x:v>PF_Event_PowerHigh</x:v>
      </x:c>
      <x:c r="D238" s="144" t="str">
        <x:v>DTC=0xD10017; Priority=32; Aging=40; Confirm=1; FFmax=2</x:v>
      </x:c>
      <x:c r="E238" s="144" t="str">
        <x:v>OperationCycle=POWER; Storage=NONE; Enable=EC_Group_Voltage</x:v>
      </x:c>
      <x:c r="F238" s="144" t="str">
        <x:v>诊断权限不适用；事件可用性由 Enable/Storage Condition 控制</x:v>
      </x:c>
      <x:c r="G238" s="144" t="str">
        <x:v>DTC_ID=56 DTC_VBAT_HIGH; debounce=ARTIME/RESET; recoverable=是; primary=是; agingAllowed=是; initialUnavailable=否</x:v>
      </x:c>
      <x:c r="H23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8" s="144" t="str">
        <x:v>交付 Event→DTC→Debounce→Aging→Memory→NvM 的可编辑配置、回调清单与自动测试 ID；禁止用参考 ARXML/生成代码作为输入。</x:v>
      </x:c>
      <x:c r="J238" s="144" t="str">
        <x:v>逐项注入 FAILED/PASSED、确认阈值、老化40周期、掉电恢复、ClearDTC、满40 Entry、回调失败；0x19 结果与内部状态一致。</x:v>
      </x:c>
      <x:c r="K238" s="144" t="str">
        <x:v>coem/BYD_UKE/gen_bsw/Dem/Dem_Cfg_EventId.h:177; coem/BYD_UKE/gen_bsw/Dem/Dem_Cfg_Events_DataStructures.c:177; coem/BYD_UKE/gen_bsw/Dem/Dem_Cfg_Events_DataStructures.c:399; coem/BYD_UKE/gen_bsw/Dem/Dem_Cfg_DtcId.h:277</x:v>
      </x:c>
    </x:row>
    <x:row r="239" ht="68" customHeight="1">
      <x:c r="A239" s="144" t="str">
        <x:v>DemEvent</x:v>
      </x:c>
      <x:c r="B239" s="144" t="str">
        <x:v>EVT-152</x:v>
      </x:c>
      <x:c r="C239" s="144" t="str">
        <x:v>PF_Event_PowerHigh_LEVEL2</x:v>
      </x:c>
      <x:c r="D239" s="144" t="str">
        <x:v>DTC=0xD10017; Priority=32; Aging=40; Confirm=1; FFmax=2</x:v>
      </x:c>
      <x:c r="E239" s="144" t="str">
        <x:v>OperationCycle=POWER; Storage=NONE; Enable=EC_Group_Voltage</x:v>
      </x:c>
      <x:c r="F239" s="144" t="str">
        <x:v>诊断权限不适用；事件可用性由 Enable/Storage Condition 控制</x:v>
      </x:c>
      <x:c r="G239" s="144" t="str">
        <x:v>DTC_ID=56 DTC_VBAT_HIGH; debounce=ARCTRBASECLASS/FREEZE; recoverable=是; primary=是; agingAllowed=是; initialUnavailable=否</x:v>
      </x:c>
      <x:c r="H23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9" s="144" t="str">
        <x:v>交付 Event→DTC→Debounce→Aging→Memory→NvM 的可编辑配置、回调清单与自动测试 ID；禁止用参考 ARXML/生成代码作为输入。</x:v>
      </x:c>
      <x:c r="J239" s="144" t="str">
        <x:v>逐项注入 FAILED/PASSED、确认阈值、老化40周期、掉电恢复、ClearDTC、满40 Entry、回调失败；0x19 结果与内部状态一致。</x:v>
      </x:c>
      <x:c r="K239" s="144" t="str">
        <x:v>coem/BYD_UKE/gen_bsw/Dem/Dem_Cfg_EventId.h:178; coem/BYD_UKE/gen_bsw/Dem/Dem_Cfg_Events_DataStructures.c:178; coem/BYD_UKE/gen_bsw/Dem/Dem_Cfg_Events_DataStructures.c:400; coem/BYD_UKE/gen_bsw/Dem/Dem_Cfg_DtcId.h:278</x:v>
      </x:c>
    </x:row>
    <x:row r="240" ht="68" customHeight="1">
      <x:c r="A240" s="144" t="str">
        <x:v>DemEvent</x:v>
      </x:c>
      <x:c r="B240" s="144" t="str">
        <x:v>EVT-153</x:v>
      </x:c>
      <x:c r="C240" s="144" t="str">
        <x:v>PF_Event_PowerLow</x:v>
      </x:c>
      <x:c r="D240" s="144" t="str">
        <x:v>DTC=0xD10116; Priority=32; Aging=40; Confirm=1; FFmax=2</x:v>
      </x:c>
      <x:c r="E240" s="144" t="str">
        <x:v>OperationCycle=POWER; Storage=NONE; Enable=EC_Group_Voltage</x:v>
      </x:c>
      <x:c r="F240" s="144" t="str">
        <x:v>诊断权限不适用；事件可用性由 Enable/Storage Condition 控制</x:v>
      </x:c>
      <x:c r="G240" s="144" t="str">
        <x:v>DTC_ID=57 DTC_VBAT_LOW; debounce=ARTIME/RESET; recoverable=是; primary=是; agingAllowed=是; initialUnavailable=否</x:v>
      </x:c>
      <x:c r="H24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0" s="144" t="str">
        <x:v>交付 Event→DTC→Debounce→Aging→Memory→NvM 的可编辑配置、回调清单与自动测试 ID；禁止用参考 ARXML/生成代码作为输入。</x:v>
      </x:c>
      <x:c r="J240" s="144" t="str">
        <x:v>逐项注入 FAILED/PASSED、确认阈值、老化40周期、掉电恢复、ClearDTC、满40 Entry、回调失败；0x19 结果与内部状态一致。</x:v>
      </x:c>
      <x:c r="K240" s="144" t="str">
        <x:v>coem/BYD_UKE/gen_bsw/Dem/Dem_Cfg_EventId.h:179; coem/BYD_UKE/gen_bsw/Dem/Dem_Cfg_Events_DataStructures.c:179; coem/BYD_UKE/gen_bsw/Dem/Dem_Cfg_Events_DataStructures.c:401; coem/BYD_UKE/gen_bsw/Dem/Dem_Cfg_DtcId.h:279</x:v>
      </x:c>
    </x:row>
    <x:row r="241" ht="68" customHeight="1">
      <x:c r="A241" s="144" t="str">
        <x:v>DemEvent</x:v>
      </x:c>
      <x:c r="B241" s="144" t="str">
        <x:v>EVT-154</x:v>
      </x:c>
      <x:c r="C241" s="144" t="str">
        <x:v>PF_Event_PowerLow_LEVEL2</x:v>
      </x:c>
      <x:c r="D241" s="144" t="str">
        <x:v>DTC=0xD10116; Priority=32; Aging=40; Confirm=1; FFmax=2</x:v>
      </x:c>
      <x:c r="E241" s="144" t="str">
        <x:v>OperationCycle=POWER; Storage=NONE; Enable=EC_Group_Voltage</x:v>
      </x:c>
      <x:c r="F241" s="144" t="str">
        <x:v>诊断权限不适用；事件可用性由 Enable/Storage Condition 控制</x:v>
      </x:c>
      <x:c r="G241" s="144" t="str">
        <x:v>DTC_ID=57 DTC_VBAT_LOW; debounce=ARCTRBASECLASS/FREEZE; recoverable=是; primary=是; agingAllowed=是; initialUnavailable=否</x:v>
      </x:c>
      <x:c r="H24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1" s="144" t="str">
        <x:v>交付 Event→DTC→Debounce→Aging→Memory→NvM 的可编辑配置、回调清单与自动测试 ID；禁止用参考 ARXML/生成代码作为输入。</x:v>
      </x:c>
      <x:c r="J241" s="144" t="str">
        <x:v>逐项注入 FAILED/PASSED、确认阈值、老化40周期、掉电恢复、ClearDTC、满40 Entry、回调失败；0x19 结果与内部状态一致。</x:v>
      </x:c>
      <x:c r="K241" s="144" t="str">
        <x:v>coem/BYD_UKE/gen_bsw/Dem/Dem_Cfg_EventId.h:180; coem/BYD_UKE/gen_bsw/Dem/Dem_Cfg_Events_DataStructures.c:180; coem/BYD_UKE/gen_bsw/Dem/Dem_Cfg_Events_DataStructures.c:402; coem/BYD_UKE/gen_bsw/Dem/Dem_Cfg_DtcId.h:280</x:v>
      </x:c>
    </x:row>
    <x:row r="242" ht="68" customHeight="1">
      <x:c r="A242" s="144" t="str">
        <x:v>DemEvent</x:v>
      </x:c>
      <x:c r="B242" s="144" t="str">
        <x:v>EVT-155</x:v>
      </x:c>
      <x:c r="C242" s="144" t="str">
        <x:v>PF_Event_RADAR_MOUTING_ERROR</x:v>
      </x:c>
      <x:c r="D242" s="144" t="str">
        <x:v>DTC=-; Priority=255; Aging=1; Confirm=1; FFmax=0</x:v>
      </x:c>
      <x:c r="E242" s="144" t="str">
        <x:v>OperationCycle=POWER; Storage=NONE; Enable=NONE</x:v>
      </x:c>
      <x:c r="F242" s="144" t="str">
        <x:v>诊断权限不适用；事件可用性由 Enable/Storage Condition 控制</x:v>
      </x:c>
      <x:c r="G242" s="144" t="str">
        <x:v>DTC_ID=0 NO_DTC; debounce=ARCTRBASECLASS/FREEZE; recoverable=是; primary=否; agingAllowed=否; initialUnavailable=否</x:v>
      </x:c>
      <x:c r="H24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2" s="144" t="str">
        <x:v>交付 Event→DTC→Debounce→Aging→Memory→NvM 的可编辑配置、回调清单与自动测试 ID；禁止用参考 ARXML/生成代码作为输入。</x:v>
      </x:c>
      <x:c r="J242" s="144" t="str">
        <x:v>逐项注入 FAILED/PASSED、确认阈值、老化40周期、掉电恢复、ClearDTC、满40 Entry、回调失败；0x19 结果与内部状态一致。</x:v>
      </x:c>
      <x:c r="K242" s="144" t="str">
        <x:v>coem/BYD_UKE/gen_bsw/Dem/Dem_Cfg_EventId.h:181; coem/BYD_UKE/gen_bsw/Dem/Dem_Cfg_Events_DataStructures.c:181; coem/BYD_UKE/gen_bsw/Dem/Dem_Cfg_Events_DataStructures.c:403; coem/BYD_UKE/gen_bsw/Dem/Dem_Cfg_DtcId.h:281</x:v>
      </x:c>
    </x:row>
    <x:row r="243" ht="68" customHeight="1">
      <x:c r="A243" s="144" t="str">
        <x:v>DemEvent</x:v>
      </x:c>
      <x:c r="B243" s="144" t="str">
        <x:v>EVT-156</x:v>
      </x:c>
      <x:c r="C243" s="144" t="str">
        <x:v>PF_Event_RFStatus_CPUFault</x:v>
      </x:c>
      <x:c r="D243" s="144" t="str">
        <x:v>DTC=0xACD740; Priority=64; Aging=40; Confirm=1; FFmax=2</x:v>
      </x:c>
      <x:c r="E243" s="144" t="str">
        <x:v>OperationCycle=POWER; Storage=NONE; Enable=NONE</x:v>
      </x:c>
      <x:c r="F243" s="144" t="str">
        <x:v>诊断权限不适用；事件可用性由 Enable/Storage Condition 控制</x:v>
      </x:c>
      <x:c r="G243" s="144" t="str">
        <x:v>DTC_ID=14 DTC_INTERNAL_UC_SYS_FAILURE; debounce=ARCTRBASECLASS/FREEZE; recoverable=是; primary=是; agingAllowed=是; initialUnavailable=否</x:v>
      </x:c>
      <x:c r="H24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3" s="144" t="str">
        <x:v>交付 Event→DTC→Debounce→Aging→Memory→NvM 的可编辑配置、回调清单与自动测试 ID；禁止用参考 ARXML/生成代码作为输入。</x:v>
      </x:c>
      <x:c r="J243" s="144" t="str">
        <x:v>逐项注入 FAILED/PASSED、确认阈值、老化40周期、掉电恢复、ClearDTC、满40 Entry、回调失败；0x19 结果与内部状态一致。</x:v>
      </x:c>
      <x:c r="K243" s="144" t="str">
        <x:v>coem/BYD_UKE/gen_bsw/Dem/Dem_Cfg_EventId.h:182; coem/BYD_UKE/gen_bsw/Dem/Dem_Cfg_Events_DataStructures.c:182; coem/BYD_UKE/gen_bsw/Dem/Dem_Cfg_Events_DataStructures.c:404; coem/BYD_UKE/gen_bsw/Dem/Dem_Cfg_DtcId.h:282</x:v>
      </x:c>
    </x:row>
    <x:row r="244" ht="68" customHeight="1">
      <x:c r="A244" s="144" t="str">
        <x:v>DemEvent</x:v>
      </x:c>
      <x:c r="B244" s="144" t="str">
        <x:v>EVT-157</x:v>
      </x:c>
      <x:c r="C244" s="144" t="str">
        <x:v>PF_Event_RFStatus_ESMFault</x:v>
      </x:c>
      <x:c r="D244" s="144" t="str">
        <x:v>DTC=0xACD740; Priority=64; Aging=40; Confirm=1; FFmax=2</x:v>
      </x:c>
      <x:c r="E244" s="144" t="str">
        <x:v>OperationCycle=POWER; Storage=NONE; Enable=NONE</x:v>
      </x:c>
      <x:c r="F244" s="144" t="str">
        <x:v>诊断权限不适用；事件可用性由 Enable/Storage Condition 控制</x:v>
      </x:c>
      <x:c r="G244" s="144" t="str">
        <x:v>DTC_ID=14 DTC_INTERNAL_UC_SYS_FAILURE; debounce=ARCTRBASECLASS/FREEZE; recoverable=是; primary=是; agingAllowed=是; initialUnavailable=否</x:v>
      </x:c>
      <x:c r="H24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4" s="144" t="str">
        <x:v>交付 Event→DTC→Debounce→Aging→Memory→NvM 的可编辑配置、回调清单与自动测试 ID；禁止用参考 ARXML/生成代码作为输入。</x:v>
      </x:c>
      <x:c r="J244" s="144" t="str">
        <x:v>逐项注入 FAILED/PASSED、确认阈值、老化40周期、掉电恢复、ClearDTC、满40 Entry、回调失败；0x19 结果与内部状态一致。</x:v>
      </x:c>
      <x:c r="K244" s="144" t="str">
        <x:v>coem/BYD_UKE/gen_bsw/Dem/Dem_Cfg_EventId.h:183; coem/BYD_UKE/gen_bsw/Dem/Dem_Cfg_Events_DataStructures.c:183; coem/BYD_UKE/gen_bsw/Dem/Dem_Cfg_Events_DataStructures.c:405; coem/BYD_UKE/gen_bsw/Dem/Dem_Cfg_DtcId.h:283</x:v>
      </x:c>
    </x:row>
    <x:row r="245" ht="68" customHeight="1">
      <x:c r="A245" s="144" t="str">
        <x:v>DemEvent</x:v>
      </x:c>
      <x:c r="B245" s="144" t="str">
        <x:v>EVT-158</x:v>
      </x:c>
      <x:c r="C245" s="144" t="str">
        <x:v>PF_Event_RX_GainPhaseMonitorPHASE_MISMATCH</x:v>
      </x:c>
      <x:c r="D245" s="144" t="str">
        <x:v>DTC=0xACD740; Priority=64; Aging=40; Confirm=1; FFmax=2</x:v>
      </x:c>
      <x:c r="E245" s="144" t="str">
        <x:v>OperationCycle=POWER; Storage=NONE; Enable=NONE</x:v>
      </x:c>
      <x:c r="F245" s="144" t="str">
        <x:v>诊断权限不适用；事件可用性由 Enable/Storage Condition 控制</x:v>
      </x:c>
      <x:c r="G245" s="144" t="str">
        <x:v>DTC_ID=14 DTC_INTERNAL_UC_SYS_FAILURE; debounce=ARCTRBASECLASS/FREEZE; recoverable=是; primary=是; agingAllowed=是; initialUnavailable=否</x:v>
      </x:c>
      <x:c r="H24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5" s="144" t="str">
        <x:v>交付 Event→DTC→Debounce→Aging→Memory→NvM 的可编辑配置、回调清单与自动测试 ID；禁止用参考 ARXML/生成代码作为输入。</x:v>
      </x:c>
      <x:c r="J245" s="144" t="str">
        <x:v>逐项注入 FAILED/PASSED、确认阈值、老化40周期、掉电恢复、ClearDTC、满40 Entry、回调失败；0x19 结果与内部状态一致。</x:v>
      </x:c>
      <x:c r="K245" s="144" t="str">
        <x:v>coem/BYD_UKE/gen_bsw/Dem/Dem_Cfg_EventId.h:184; coem/BYD_UKE/gen_bsw/Dem/Dem_Cfg_Events_DataStructures.c:184; coem/BYD_UKE/gen_bsw/Dem/Dem_Cfg_Events_DataStructures.c:406; coem/BYD_UKE/gen_bsw/Dem/Dem_Cfg_DtcId.h:284</x:v>
      </x:c>
    </x:row>
    <x:row r="246" ht="68" customHeight="1">
      <x:c r="A246" s="144" t="str">
        <x:v>DemEvent</x:v>
      </x:c>
      <x:c r="B246" s="144" t="str">
        <x:v>EVT-159</x:v>
      </x:c>
      <x:c r="C246" s="144" t="str">
        <x:v>PF_Event_RX_GainPhaseMonitor_GAIN_ABS</x:v>
      </x:c>
      <x:c r="D246" s="144" t="str">
        <x:v>DTC=0xACD740; Priority=64; Aging=40; Confirm=1; FFmax=2</x:v>
      </x:c>
      <x:c r="E246" s="144" t="str">
        <x:v>OperationCycle=POWER; Storage=NONE; Enable=NONE</x:v>
      </x:c>
      <x:c r="F246" s="144" t="str">
        <x:v>诊断权限不适用；事件可用性由 Enable/Storage Condition 控制</x:v>
      </x:c>
      <x:c r="G246" s="144" t="str">
        <x:v>DTC_ID=14 DTC_INTERNAL_UC_SYS_FAILURE; debounce=ARCTRBASECLASS/FREEZE; recoverable=是; primary=是; agingAllowed=是; initialUnavailable=否</x:v>
      </x:c>
      <x:c r="H24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6" s="144" t="str">
        <x:v>交付 Event→DTC→Debounce→Aging→Memory→NvM 的可编辑配置、回调清单与自动测试 ID；禁止用参考 ARXML/生成代码作为输入。</x:v>
      </x:c>
      <x:c r="J246" s="144" t="str">
        <x:v>逐项注入 FAILED/PASSED、确认阈值、老化40周期、掉电恢复、ClearDTC、满40 Entry、回调失败；0x19 结果与内部状态一致。</x:v>
      </x:c>
      <x:c r="K246" s="144" t="str">
        <x:v>coem/BYD_UKE/gen_bsw/Dem/Dem_Cfg_EventId.h:185; coem/BYD_UKE/gen_bsw/Dem/Dem_Cfg_Events_DataStructures.c:185; coem/BYD_UKE/gen_bsw/Dem/Dem_Cfg_Events_DataStructures.c:407; coem/BYD_UKE/gen_bsw/Dem/Dem_Cfg_DtcId.h:285</x:v>
      </x:c>
    </x:row>
    <x:row r="247" ht="68" customHeight="1">
      <x:c r="A247" s="144" t="str">
        <x:v>DemEvent</x:v>
      </x:c>
      <x:c r="B247" s="144" t="str">
        <x:v>EVT-160</x:v>
      </x:c>
      <x:c r="C247" s="144" t="str">
        <x:v>PF_Event_RX_GainPhaseMonitor_GAIN_FLATNESS</x:v>
      </x:c>
      <x:c r="D247" s="144" t="str">
        <x:v>DTC=0xACD740; Priority=64; Aging=40; Confirm=1; FFmax=2</x:v>
      </x:c>
      <x:c r="E247" s="144" t="str">
        <x:v>OperationCycle=POWER; Storage=NONE; Enable=NONE</x:v>
      </x:c>
      <x:c r="F247" s="144" t="str">
        <x:v>诊断权限不适用；事件可用性由 Enable/Storage Condition 控制</x:v>
      </x:c>
      <x:c r="G247" s="144" t="str">
        <x:v>DTC_ID=14 DTC_INTERNAL_UC_SYS_FAILURE; debounce=ARCTRBASECLASS/FREEZE; recoverable=是; primary=是; agingAllowed=是; initialUnavailable=否</x:v>
      </x:c>
      <x:c r="H24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7" s="144" t="str">
        <x:v>交付 Event→DTC→Debounce→Aging→Memory→NvM 的可编辑配置、回调清单与自动测试 ID；禁止用参考 ARXML/生成代码作为输入。</x:v>
      </x:c>
      <x:c r="J247" s="144" t="str">
        <x:v>逐项注入 FAILED/PASSED、确认阈值、老化40周期、掉电恢复、ClearDTC、满40 Entry、回调失败；0x19 结果与内部状态一致。</x:v>
      </x:c>
      <x:c r="K247" s="144" t="str">
        <x:v>coem/BYD_UKE/gen_bsw/Dem/Dem_Cfg_EventId.h:186; coem/BYD_UKE/gen_bsw/Dem/Dem_Cfg_Events_DataStructures.c:186; coem/BYD_UKE/gen_bsw/Dem/Dem_Cfg_Events_DataStructures.c:408; coem/BYD_UKE/gen_bsw/Dem/Dem_Cfg_DtcId.h:286</x:v>
      </x:c>
    </x:row>
    <x:row r="248" ht="68" customHeight="1">
      <x:c r="A248" s="144" t="str">
        <x:v>DemEvent</x:v>
      </x:c>
      <x:c r="B248" s="144" t="str">
        <x:v>EVT-161</x:v>
      </x:c>
      <x:c r="C248" s="144" t="str">
        <x:v>PF_Event_RX_GainPhaseMonitor_GAIN_MISMATCH</x:v>
      </x:c>
      <x:c r="D248" s="144" t="str">
        <x:v>DTC=0xACD740; Priority=64; Aging=40; Confirm=1; FFmax=2</x:v>
      </x:c>
      <x:c r="E248" s="144" t="str">
        <x:v>OperationCycle=POWER; Storage=NONE; Enable=NONE</x:v>
      </x:c>
      <x:c r="F248" s="144" t="str">
        <x:v>诊断权限不适用；事件可用性由 Enable/Storage Condition 控制</x:v>
      </x:c>
      <x:c r="G248" s="144" t="str">
        <x:v>DTC_ID=14 DTC_INTERNAL_UC_SYS_FAILURE; debounce=ARCTRBASECLASS/FREEZE; recoverable=是; primary=是; agingAllowed=是; initialUnavailable=否</x:v>
      </x:c>
      <x:c r="H24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8" s="144" t="str">
        <x:v>交付 Event→DTC→Debounce→Aging→Memory→NvM 的可编辑配置、回调清单与自动测试 ID；禁止用参考 ARXML/生成代码作为输入。</x:v>
      </x:c>
      <x:c r="J248" s="144" t="str">
        <x:v>逐项注入 FAILED/PASSED、确认阈值、老化40周期、掉电恢复、ClearDTC、满40 Entry、回调失败；0x19 结果与内部状态一致。</x:v>
      </x:c>
      <x:c r="K248" s="144" t="str">
        <x:v>coem/BYD_UKE/gen_bsw/Dem/Dem_Cfg_EventId.h:187; coem/BYD_UKE/gen_bsw/Dem/Dem_Cfg_Events_DataStructures.c:187; coem/BYD_UKE/gen_bsw/Dem/Dem_Cfg_Events_DataStructures.c:409; coem/BYD_UKE/gen_bsw/Dem/Dem_Cfg_DtcId.h:287</x:v>
      </x:c>
    </x:row>
    <x:row r="249" ht="68" customHeight="1">
      <x:c r="A249" s="144" t="str">
        <x:v>DemEvent</x:v>
      </x:c>
      <x:c r="B249" s="144" t="str">
        <x:v>EVT-162</x:v>
      </x:c>
      <x:c r="C249" s="144" t="str">
        <x:v>PF_Event_RX_IFStageMonitor_HPF</x:v>
      </x:c>
      <x:c r="D249" s="144" t="str">
        <x:v>DTC=0xACD740; Priority=64; Aging=40; Confirm=1; FFmax=2</x:v>
      </x:c>
      <x:c r="E249" s="144" t="str">
        <x:v>OperationCycle=POWER; Storage=NONE; Enable=NONE</x:v>
      </x:c>
      <x:c r="F249" s="144" t="str">
        <x:v>诊断权限不适用；事件可用性由 Enable/Storage Condition 控制</x:v>
      </x:c>
      <x:c r="G249" s="144" t="str">
        <x:v>DTC_ID=14 DTC_INTERNAL_UC_SYS_FAILURE; debounce=ARCTRBASECLASS/FREEZE; recoverable=是; primary=是; agingAllowed=是; initialUnavailable=否</x:v>
      </x:c>
      <x:c r="H24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9" s="144" t="str">
        <x:v>交付 Event→DTC→Debounce→Aging→Memory→NvM 的可编辑配置、回调清单与自动测试 ID；禁止用参考 ARXML/生成代码作为输入。</x:v>
      </x:c>
      <x:c r="J249" s="144" t="str">
        <x:v>逐项注入 FAILED/PASSED、确认阈值、老化40周期、掉电恢复、ClearDTC、满40 Entry、回调失败；0x19 结果与内部状态一致。</x:v>
      </x:c>
      <x:c r="K249" s="144" t="str">
        <x:v>coem/BYD_UKE/gen_bsw/Dem/Dem_Cfg_EventId.h:188; coem/BYD_UKE/gen_bsw/Dem/Dem_Cfg_Events_DataStructures.c:188; coem/BYD_UKE/gen_bsw/Dem/Dem_Cfg_Events_DataStructures.c:410; coem/BYD_UKE/gen_bsw/Dem/Dem_Cfg_DtcId.h:288</x:v>
      </x:c>
    </x:row>
    <x:row r="250" ht="68" customHeight="1">
      <x:c r="A250" s="144" t="str">
        <x:v>DemEvent</x:v>
      </x:c>
      <x:c r="B250" s="144" t="str">
        <x:v>EVT-163</x:v>
      </x:c>
      <x:c r="C250" s="144" t="str">
        <x:v>PF_Event_RX_IFStageMonitor_IFA_GAIN</x:v>
      </x:c>
      <x:c r="D250" s="144" t="str">
        <x:v>DTC=0xACD740; Priority=64; Aging=40; Confirm=1; FFmax=2</x:v>
      </x:c>
      <x:c r="E250" s="144" t="str">
        <x:v>OperationCycle=POWER; Storage=NONE; Enable=NONE</x:v>
      </x:c>
      <x:c r="F250" s="144" t="str">
        <x:v>诊断权限不适用；事件可用性由 Enable/Storage Condition 控制</x:v>
      </x:c>
      <x:c r="G250" s="144" t="str">
        <x:v>DTC_ID=14 DTC_INTERNAL_UC_SYS_FAILURE; debounce=ARCTRBASECLASS/FREEZE; recoverable=是; primary=是; agingAllowed=是; initialUnavailable=否</x:v>
      </x:c>
      <x:c r="H25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0" s="144" t="str">
        <x:v>交付 Event→DTC→Debounce→Aging→Memory→NvM 的可编辑配置、回调清单与自动测试 ID；禁止用参考 ARXML/生成代码作为输入。</x:v>
      </x:c>
      <x:c r="J250" s="144" t="str">
        <x:v>逐项注入 FAILED/PASSED、确认阈值、老化40周期、掉电恢复、ClearDTC、满40 Entry、回调失败；0x19 结果与内部状态一致。</x:v>
      </x:c>
      <x:c r="K250" s="144" t="str">
        <x:v>coem/BYD_UKE/gen_bsw/Dem/Dem_Cfg_EventId.h:189; coem/BYD_UKE/gen_bsw/Dem/Dem_Cfg_Events_DataStructures.c:189; coem/BYD_UKE/gen_bsw/Dem/Dem_Cfg_Events_DataStructures.c:411; coem/BYD_UKE/gen_bsw/Dem/Dem_Cfg_DtcId.h:289</x:v>
      </x:c>
    </x:row>
    <x:row r="251" ht="68" customHeight="1">
      <x:c r="A251" s="144" t="str">
        <x:v>DemEvent</x:v>
      </x:c>
      <x:c r="B251" s="144" t="str">
        <x:v>EVT-164</x:v>
      </x:c>
      <x:c r="C251" s="144" t="str">
        <x:v>PF_Event_SLAVE_RADAR_MISSING</x:v>
      </x:c>
      <x:c r="D251" s="144" t="str">
        <x:v>DTC=0xC1EA87; Priority=64; Aging=40; Confirm=1; FFmax=2</x:v>
      </x:c>
      <x:c r="E251" s="144" t="str">
        <x:v>OperationCycle=POWER; Storage=NONE; Enable=NONE</x:v>
      </x:c>
      <x:c r="F251" s="144" t="str">
        <x:v>诊断权限不适用；事件可用性由 Enable/Storage Condition 控制</x:v>
      </x:c>
      <x:c r="G251" s="144" t="str">
        <x:v>DTC_ID=46 DTC_Private_Can_TIMEOUT; debounce=ARTIME/FREEZE; recoverable=是; primary=是; agingAllowed=是; initialUnavailable=否</x:v>
      </x:c>
      <x:c r="H25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1" s="144" t="str">
        <x:v>交付 Event→DTC→Debounce→Aging→Memory→NvM 的可编辑配置、回调清单与自动测试 ID；禁止用参考 ARXML/生成代码作为输入。</x:v>
      </x:c>
      <x:c r="J251" s="144" t="str">
        <x:v>逐项注入 FAILED/PASSED、确认阈值、老化40周期、掉电恢复、ClearDTC、满40 Entry、回调失败；0x19 结果与内部状态一致。</x:v>
      </x:c>
      <x:c r="K251" s="144" t="str">
        <x:v>coem/BYD_UKE/gen_bsw/Dem/Dem_Cfg_EventId.h:190; coem/BYD_UKE/gen_bsw/Dem/Dem_Cfg_Events_DataStructures.c:190; coem/BYD_UKE/gen_bsw/Dem/Dem_Cfg_Events_DataStructures.c:412; coem/BYD_UKE/gen_bsw/Dem/Dem_Cfg_DtcId.h:290</x:v>
      </x:c>
    </x:row>
    <x:row r="252" ht="68" customHeight="1">
      <x:c r="A252" s="144" t="str">
        <x:v>DemEvent</x:v>
      </x:c>
      <x:c r="B252" s="144" t="str">
        <x:v>EVT-165</x:v>
      </x:c>
      <x:c r="C252" s="144" t="str">
        <x:v>PF_Event_SW_FAILURE</x:v>
      </x:c>
      <x:c r="D252" s="144" t="str">
        <x:v>DTC=0xACDF52; Priority=64; Aging=40; Confirm=1; FFmax=2</x:v>
      </x:c>
      <x:c r="E252" s="144" t="str">
        <x:v>OperationCycle=POWER; Storage=NONE; Enable=NONE</x:v>
      </x:c>
      <x:c r="F252" s="144" t="str">
        <x:v>诊断权限不适用；事件可用性由 Enable/Storage Condition 控制</x:v>
      </x:c>
      <x:c r="G252" s="144" t="str">
        <x:v>DTC_ID=22 DTC_SW_FAILURE; debounce=ARCTRBASECLASS/FREEZE; recoverable=是; primary=是; agingAllowed=是; initialUnavailable=否</x:v>
      </x:c>
      <x:c r="H25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2" s="144" t="str">
        <x:v>交付 Event→DTC→Debounce→Aging→Memory→NvM 的可编辑配置、回调清单与自动测试 ID；禁止用参考 ARXML/生成代码作为输入。</x:v>
      </x:c>
      <x:c r="J252" s="144" t="str">
        <x:v>逐项注入 FAILED/PASSED、确认阈值、老化40周期、掉电恢复、ClearDTC、满40 Entry、回调失败；0x19 结果与内部状态一致。</x:v>
      </x:c>
      <x:c r="K252" s="144" t="str">
        <x:v>coem/BYD_UKE/gen_bsw/Dem/Dem_Cfg_EventId.h:191; coem/BYD_UKE/gen_bsw/Dem/Dem_Cfg_Events_DataStructures.c:191; coem/BYD_UKE/gen_bsw/Dem/Dem_Cfg_Events_DataStructures.c:413; coem/BYD_UKE/gen_bsw/Dem/Dem_Cfg_DtcId.h:291</x:v>
      </x:c>
    </x:row>
    <x:row r="253" ht="68" customHeight="1">
      <x:c r="A253" s="144" t="str">
        <x:v>DemEvent</x:v>
      </x:c>
      <x:c r="B253" s="144" t="str">
        <x:v>EVT-166</x:v>
      </x:c>
      <x:c r="C253" s="144" t="str">
        <x:v>PF_Event_SW_TRAP</x:v>
      </x:c>
      <x:c r="D253" s="144" t="str">
        <x:v>DTC=0xACDF52; Priority=64; Aging=40; Confirm=1; FFmax=2</x:v>
      </x:c>
      <x:c r="E253" s="144" t="str">
        <x:v>OperationCycle=POWER; Storage=NONE; Enable=NONE</x:v>
      </x:c>
      <x:c r="F253" s="144" t="str">
        <x:v>诊断权限不适用；事件可用性由 Enable/Storage Condition 控制</x:v>
      </x:c>
      <x:c r="G253" s="144" t="str">
        <x:v>DTC_ID=22 DTC_SW_FAILURE; debounce=ARCTRBASECLASS/FREEZE; recoverable=是; primary=是; agingAllowed=是; initialUnavailable=否</x:v>
      </x:c>
      <x:c r="H25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3" s="144" t="str">
        <x:v>交付 Event→DTC→Debounce→Aging→Memory→NvM 的可编辑配置、回调清单与自动测试 ID；禁止用参考 ARXML/生成代码作为输入。</x:v>
      </x:c>
      <x:c r="J253" s="144" t="str">
        <x:v>逐项注入 FAILED/PASSED、确认阈值、老化40周期、掉电恢复、ClearDTC、满40 Entry、回调失败；0x19 结果与内部状态一致。</x:v>
      </x:c>
      <x:c r="K253" s="144" t="str">
        <x:v>coem/BYD_UKE/gen_bsw/Dem/Dem_Cfg_EventId.h:192; coem/BYD_UKE/gen_bsw/Dem/Dem_Cfg_Events_DataStructures.c:192; coem/BYD_UKE/gen_bsw/Dem/Dem_Cfg_Events_DataStructures.c:414; coem/BYD_UKE/gen_bsw/Dem/Dem_Cfg_DtcId.h:292</x:v>
      </x:c>
    </x:row>
    <x:row r="254" ht="68" customHeight="1">
      <x:c r="A254" s="144" t="str">
        <x:v>DemEvent</x:v>
      </x:c>
      <x:c r="B254" s="144" t="str">
        <x:v>EVT-167</x:v>
      </x:c>
      <x:c r="C254" s="144" t="str">
        <x:v>PF_Event_StrongInterf_FAIL</x:v>
      </x:c>
      <x:c r="D254" s="144" t="str">
        <x:v>DTC=-; Priority=255; Aging=1; Confirm=1; FFmax=0</x:v>
      </x:c>
      <x:c r="E254" s="144" t="str">
        <x:v>OperationCycle=POWER; Storage=NONE; Enable=NONE</x:v>
      </x:c>
      <x:c r="F254" s="144" t="str">
        <x:v>诊断权限不适用；事件可用性由 Enable/Storage Condition 控制</x:v>
      </x:c>
      <x:c r="G254" s="144" t="str">
        <x:v>DTC_ID=0 NO_DTC; debounce=ARCTRBASECLASS/FREEZE; recoverable=是; primary=否; agingAllowed=否; initialUnavailable=否</x:v>
      </x:c>
      <x:c r="H25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4" s="144" t="str">
        <x:v>交付 Event→DTC→Debounce→Aging→Memory→NvM 的可编辑配置、回调清单与自动测试 ID；禁止用参考 ARXML/生成代码作为输入。</x:v>
      </x:c>
      <x:c r="J254" s="144" t="str">
        <x:v>逐项注入 FAILED/PASSED、确认阈值、老化40周期、掉电恢复、ClearDTC、满40 Entry、回调失败；0x19 结果与内部状态一致。</x:v>
      </x:c>
      <x:c r="K254" s="144" t="str">
        <x:v>coem/BYD_UKE/gen_bsw/Dem/Dem_Cfg_EventId.h:193; coem/BYD_UKE/gen_bsw/Dem/Dem_Cfg_Events_DataStructures.c:193; coem/BYD_UKE/gen_bsw/Dem/Dem_Cfg_Events_DataStructures.c:415; coem/BYD_UKE/gen_bsw/Dem/Dem_Cfg_DtcId.h:293</x:v>
      </x:c>
    </x:row>
    <x:row r="255" ht="68" customHeight="1">
      <x:c r="A255" s="144" t="str">
        <x:v>DemEvent</x:v>
      </x:c>
      <x:c r="B255" s="144" t="str">
        <x:v>EVT-168</x:v>
      </x:c>
      <x:c r="C255" s="144" t="str">
        <x:v>PF_Event_SynthesizerFrequencyMonitoring_Frequency</x:v>
      </x:c>
      <x:c r="D255" s="144" t="str">
        <x:v>DTC=0xACD740; Priority=64; Aging=40; Confirm=1; FFmax=2</x:v>
      </x:c>
      <x:c r="E255" s="144" t="str">
        <x:v>OperationCycle=POWER; Storage=NONE; Enable=NONE</x:v>
      </x:c>
      <x:c r="F255" s="144" t="str">
        <x:v>诊断权限不适用；事件可用性由 Enable/Storage Condition 控制</x:v>
      </x:c>
      <x:c r="G255" s="144" t="str">
        <x:v>DTC_ID=14 DTC_INTERNAL_UC_SYS_FAILURE; debounce=ARCTRBASECLASS/FREEZE; recoverable=是; primary=是; agingAllowed=是; initialUnavailable=否</x:v>
      </x:c>
      <x:c r="H25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5" s="144" t="str">
        <x:v>交付 Event→DTC→Debounce→Aging→Memory→NvM 的可编辑配置、回调清单与自动测试 ID；禁止用参考 ARXML/生成代码作为输入。</x:v>
      </x:c>
      <x:c r="J255" s="144" t="str">
        <x:v>逐项注入 FAILED/PASSED、确认阈值、老化40周期、掉电恢复、ClearDTC、满40 Entry、回调失败；0x19 结果与内部状态一致。</x:v>
      </x:c>
      <x:c r="K255" s="144" t="str">
        <x:v>coem/BYD_UKE/gen_bsw/Dem/Dem_Cfg_EventId.h:194; coem/BYD_UKE/gen_bsw/Dem/Dem_Cfg_Events_DataStructures.c:194; coem/BYD_UKE/gen_bsw/Dem/Dem_Cfg_Events_DataStructures.c:416; coem/BYD_UKE/gen_bsw/Dem/Dem_Cfg_DtcId.h:294</x:v>
      </x:c>
    </x:row>
    <x:row r="256" ht="68" customHeight="1">
      <x:c r="A256" s="144" t="str">
        <x:v>DemEvent</x:v>
      </x:c>
      <x:c r="B256" s="144" t="str">
        <x:v>EVT-169</x:v>
      </x:c>
      <x:c r="C256" s="144" t="str">
        <x:v>PF_Event_TX_GainPhaseMisMonitoring_GAIN_MISMATCH</x:v>
      </x:c>
      <x:c r="D256" s="144" t="str">
        <x:v>DTC=0xACD740; Priority=64; Aging=40; Confirm=1; FFmax=2</x:v>
      </x:c>
      <x:c r="E256" s="144" t="str">
        <x:v>OperationCycle=POWER; Storage=NONE; Enable=NONE</x:v>
      </x:c>
      <x:c r="F256" s="144" t="str">
        <x:v>诊断权限不适用；事件可用性由 Enable/Storage Condition 控制</x:v>
      </x:c>
      <x:c r="G256" s="144" t="str">
        <x:v>DTC_ID=14 DTC_INTERNAL_UC_SYS_FAILURE; debounce=ARCTRBASECLASS/FREEZE; recoverable=是; primary=是; agingAllowed=是; initialUnavailable=否</x:v>
      </x:c>
      <x:c r="H25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6" s="144" t="str">
        <x:v>交付 Event→DTC→Debounce→Aging→Memory→NvM 的可编辑配置、回调清单与自动测试 ID；禁止用参考 ARXML/生成代码作为输入。</x:v>
      </x:c>
      <x:c r="J256" s="144" t="str">
        <x:v>逐项注入 FAILED/PASSED、确认阈值、老化40周期、掉电恢复、ClearDTC、满40 Entry、回调失败；0x19 结果与内部状态一致。</x:v>
      </x:c>
      <x:c r="K256" s="144" t="str">
        <x:v>coem/BYD_UKE/gen_bsw/Dem/Dem_Cfg_EventId.h:195; coem/BYD_UKE/gen_bsw/Dem/Dem_Cfg_Events_DataStructures.c:195; coem/BYD_UKE/gen_bsw/Dem/Dem_Cfg_Events_DataStructures.c:417; coem/BYD_UKE/gen_bsw/Dem/Dem_Cfg_DtcId.h:295</x:v>
      </x:c>
    </x:row>
    <x:row r="257" ht="68" customHeight="1">
      <x:c r="A257" s="144" t="str">
        <x:v>DemEvent</x:v>
      </x:c>
      <x:c r="B257" s="144" t="str">
        <x:v>EVT-170</x:v>
      </x:c>
      <x:c r="C257" s="144" t="str">
        <x:v>PF_Event_TX_GainPhaseMisMonitoring_PHASE_MISMATCH</x:v>
      </x:c>
      <x:c r="D257" s="144" t="str">
        <x:v>DTC=0xACD740; Priority=64; Aging=40; Confirm=1; FFmax=2</x:v>
      </x:c>
      <x:c r="E257" s="144" t="str">
        <x:v>OperationCycle=POWER; Storage=NONE; Enable=NONE</x:v>
      </x:c>
      <x:c r="F257" s="144" t="str">
        <x:v>诊断权限不适用；事件可用性由 Enable/Storage Condition 控制</x:v>
      </x:c>
      <x:c r="G257" s="144" t="str">
        <x:v>DTC_ID=14 DTC_INTERNAL_UC_SYS_FAILURE; debounce=ARCTRBASECLASS/FREEZE; recoverable=是; primary=是; agingAllowed=是; initialUnavailable=否</x:v>
      </x:c>
      <x:c r="H25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7" s="144" t="str">
        <x:v>交付 Event→DTC→Debounce→Aging→Memory→NvM 的可编辑配置、回调清单与自动测试 ID；禁止用参考 ARXML/生成代码作为输入。</x:v>
      </x:c>
      <x:c r="J257" s="144" t="str">
        <x:v>逐项注入 FAILED/PASSED、确认阈值、老化40周期、掉电恢复、ClearDTC、满40 Entry、回调失败；0x19 结果与内部状态一致。</x:v>
      </x:c>
      <x:c r="K257" s="144" t="str">
        <x:v>coem/BYD_UKE/gen_bsw/Dem/Dem_Cfg_EventId.h:196; coem/BYD_UKE/gen_bsw/Dem/Dem_Cfg_Events_DataStructures.c:196; coem/BYD_UKE/gen_bsw/Dem/Dem_Cfg_Events_DataStructures.c:418; coem/BYD_UKE/gen_bsw/Dem/Dem_Cfg_DtcId.h:296</x:v>
      </x:c>
    </x:row>
    <x:row r="258" ht="68" customHeight="1">
      <x:c r="A258" s="144" t="str">
        <x:v>DemEvent</x:v>
      </x:c>
      <x:c r="B258" s="144" t="str">
        <x:v>EVT-171</x:v>
      </x:c>
      <x:c r="C258" s="144" t="str">
        <x:v>PF_Event_TX_PhaseShifterMonitor_TX0_PHASE_SHIFTER_AMPLITUDE</x:v>
      </x:c>
      <x:c r="D258" s="144" t="str">
        <x:v>DTC=0xACD740; Priority=64; Aging=40; Confirm=1; FFmax=2</x:v>
      </x:c>
      <x:c r="E258" s="144" t="str">
        <x:v>OperationCycle=POWER; Storage=NONE; Enable=NONE</x:v>
      </x:c>
      <x:c r="F258" s="144" t="str">
        <x:v>诊断权限不适用；事件可用性由 Enable/Storage Condition 控制</x:v>
      </x:c>
      <x:c r="G258" s="144" t="str">
        <x:v>DTC_ID=14 DTC_INTERNAL_UC_SYS_FAILURE; debounce=ARCTRBASECLASS/FREEZE; recoverable=是; primary=是; agingAllowed=是; initialUnavailable=否</x:v>
      </x:c>
      <x:c r="H25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8" s="144" t="str">
        <x:v>交付 Event→DTC→Debounce→Aging→Memory→NvM 的可编辑配置、回调清单与自动测试 ID；禁止用参考 ARXML/生成代码作为输入。</x:v>
      </x:c>
      <x:c r="J258" s="144" t="str">
        <x:v>逐项注入 FAILED/PASSED、确认阈值、老化40周期、掉电恢复、ClearDTC、满40 Entry、回调失败；0x19 结果与内部状态一致。</x:v>
      </x:c>
      <x:c r="K258" s="144" t="str">
        <x:v>coem/BYD_UKE/gen_bsw/Dem/Dem_Cfg_EventId.h:197; coem/BYD_UKE/gen_bsw/Dem/Dem_Cfg_Events_DataStructures.c:197; coem/BYD_UKE/gen_bsw/Dem/Dem_Cfg_Events_DataStructures.c:419; coem/BYD_UKE/gen_bsw/Dem/Dem_Cfg_DtcId.h:297</x:v>
      </x:c>
    </x:row>
    <x:row r="259" ht="68" customHeight="1">
      <x:c r="A259" s="144" t="str">
        <x:v>DemEvent</x:v>
      </x:c>
      <x:c r="B259" s="144" t="str">
        <x:v>EVT-172</x:v>
      </x:c>
      <x:c r="C259" s="144" t="str">
        <x:v>PF_Event_TX_PhaseShifterMonitor_TX0_PHASE_SHIFTER_PHASE</x:v>
      </x:c>
      <x:c r="D259" s="144" t="str">
        <x:v>DTC=0xACD740; Priority=64; Aging=40; Confirm=1; FFmax=2</x:v>
      </x:c>
      <x:c r="E259" s="144" t="str">
        <x:v>OperationCycle=POWER; Storage=NONE; Enable=NONE</x:v>
      </x:c>
      <x:c r="F259" s="144" t="str">
        <x:v>诊断权限不适用；事件可用性由 Enable/Storage Condition 控制</x:v>
      </x:c>
      <x:c r="G259" s="144" t="str">
        <x:v>DTC_ID=14 DTC_INTERNAL_UC_SYS_FAILURE; debounce=ARCTRBASECLASS/FREEZE; recoverable=是; primary=是; agingAllowed=是; initialUnavailable=否</x:v>
      </x:c>
      <x:c r="H25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9" s="144" t="str">
        <x:v>交付 Event→DTC→Debounce→Aging→Memory→NvM 的可编辑配置、回调清单与自动测试 ID；禁止用参考 ARXML/生成代码作为输入。</x:v>
      </x:c>
      <x:c r="J259" s="144" t="str">
        <x:v>逐项注入 FAILED/PASSED、确认阈值、老化40周期、掉电恢复、ClearDTC、满40 Entry、回调失败；0x19 结果与内部状态一致。</x:v>
      </x:c>
      <x:c r="K259" s="144" t="str">
        <x:v>coem/BYD_UKE/gen_bsw/Dem/Dem_Cfg_EventId.h:198; coem/BYD_UKE/gen_bsw/Dem/Dem_Cfg_Events_DataStructures.c:198; coem/BYD_UKE/gen_bsw/Dem/Dem_Cfg_Events_DataStructures.c:420; coem/BYD_UKE/gen_bsw/Dem/Dem_Cfg_DtcId.h:298</x:v>
      </x:c>
    </x:row>
    <x:row r="260" ht="68" customHeight="1">
      <x:c r="A260" s="144" t="str">
        <x:v>DemEvent</x:v>
      </x:c>
      <x:c r="B260" s="144" t="str">
        <x:v>EVT-173</x:v>
      </x:c>
      <x:c r="C260" s="144" t="str">
        <x:v>PF_Event_TX_PhaseShifterMonitor_TX1_PHASE_SHIFTER_AMPLITUDE</x:v>
      </x:c>
      <x:c r="D260" s="144" t="str">
        <x:v>DTC=0xACD740; Priority=64; Aging=40; Confirm=1; FFmax=2</x:v>
      </x:c>
      <x:c r="E260" s="144" t="str">
        <x:v>OperationCycle=POWER; Storage=NONE; Enable=NONE</x:v>
      </x:c>
      <x:c r="F260" s="144" t="str">
        <x:v>诊断权限不适用；事件可用性由 Enable/Storage Condition 控制</x:v>
      </x:c>
      <x:c r="G260" s="144" t="str">
        <x:v>DTC_ID=14 DTC_INTERNAL_UC_SYS_FAILURE; debounce=ARCTRBASECLASS/FREEZE; recoverable=是; primary=是; agingAllowed=是; initialUnavailable=否</x:v>
      </x:c>
      <x:c r="H26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0" s="144" t="str">
        <x:v>交付 Event→DTC→Debounce→Aging→Memory→NvM 的可编辑配置、回调清单与自动测试 ID；禁止用参考 ARXML/生成代码作为输入。</x:v>
      </x:c>
      <x:c r="J260" s="144" t="str">
        <x:v>逐项注入 FAILED/PASSED、确认阈值、老化40周期、掉电恢复、ClearDTC、满40 Entry、回调失败；0x19 结果与内部状态一致。</x:v>
      </x:c>
      <x:c r="K260" s="144" t="str">
        <x:v>coem/BYD_UKE/gen_bsw/Dem/Dem_Cfg_EventId.h:199; coem/BYD_UKE/gen_bsw/Dem/Dem_Cfg_Events_DataStructures.c:199; coem/BYD_UKE/gen_bsw/Dem/Dem_Cfg_Events_DataStructures.c:421; coem/BYD_UKE/gen_bsw/Dem/Dem_Cfg_DtcId.h:299</x:v>
      </x:c>
    </x:row>
    <x:row r="261" ht="68" customHeight="1">
      <x:c r="A261" s="144" t="str">
        <x:v>DemEvent</x:v>
      </x:c>
      <x:c r="B261" s="144" t="str">
        <x:v>EVT-174</x:v>
      </x:c>
      <x:c r="C261" s="144" t="str">
        <x:v>PF_Event_TX_PhaseShifterMonitor_TX1_PHASE_SHIFTER_PHASE</x:v>
      </x:c>
      <x:c r="D261" s="144" t="str">
        <x:v>DTC=0xACD740; Priority=64; Aging=40; Confirm=1; FFmax=2</x:v>
      </x:c>
      <x:c r="E261" s="144" t="str">
        <x:v>OperationCycle=POWER; Storage=NONE; Enable=NONE</x:v>
      </x:c>
      <x:c r="F261" s="144" t="str">
        <x:v>诊断权限不适用；事件可用性由 Enable/Storage Condition 控制</x:v>
      </x:c>
      <x:c r="G261" s="144" t="str">
        <x:v>DTC_ID=14 DTC_INTERNAL_UC_SYS_FAILURE; debounce=ARCTRBASECLASS/FREEZE; recoverable=是; primary=是; agingAllowed=是; initialUnavailable=否</x:v>
      </x:c>
      <x:c r="H26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1" s="144" t="str">
        <x:v>交付 Event→DTC→Debounce→Aging→Memory→NvM 的可编辑配置、回调清单与自动测试 ID；禁止用参考 ARXML/生成代码作为输入。</x:v>
      </x:c>
      <x:c r="J261" s="144" t="str">
        <x:v>逐项注入 FAILED/PASSED、确认阈值、老化40周期、掉电恢复、ClearDTC、满40 Entry、回调失败；0x19 结果与内部状态一致。</x:v>
      </x:c>
      <x:c r="K261" s="144" t="str">
        <x:v>coem/BYD_UKE/gen_bsw/Dem/Dem_Cfg_EventId.h:200; coem/BYD_UKE/gen_bsw/Dem/Dem_Cfg_Events_DataStructures.c:200; coem/BYD_UKE/gen_bsw/Dem/Dem_Cfg_Events_DataStructures.c:422; coem/BYD_UKE/gen_bsw/Dem/Dem_Cfg_DtcId.h:300</x:v>
      </x:c>
    </x:row>
    <x:row r="262" ht="68" customHeight="1">
      <x:c r="A262" s="144" t="str">
        <x:v>DemEvent</x:v>
      </x:c>
      <x:c r="B262" s="144" t="str">
        <x:v>EVT-175</x:v>
      </x:c>
      <x:c r="C262" s="144" t="str">
        <x:v>PF_Event_TX_PhaseShifterMonitor_TX2_PHASE_SHIFTER_AMPLITUDE</x:v>
      </x:c>
      <x:c r="D262" s="144" t="str">
        <x:v>DTC=0xACD740; Priority=64; Aging=40; Confirm=1; FFmax=2</x:v>
      </x:c>
      <x:c r="E262" s="144" t="str">
        <x:v>OperationCycle=POWER; Storage=NONE; Enable=NONE</x:v>
      </x:c>
      <x:c r="F262" s="144" t="str">
        <x:v>诊断权限不适用；事件可用性由 Enable/Storage Condition 控制</x:v>
      </x:c>
      <x:c r="G262" s="144" t="str">
        <x:v>DTC_ID=14 DTC_INTERNAL_UC_SYS_FAILURE; debounce=ARCTRBASECLASS/FREEZE; recoverable=是; primary=是; agingAllowed=是; initialUnavailable=否</x:v>
      </x:c>
      <x:c r="H26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2" s="144" t="str">
        <x:v>交付 Event→DTC→Debounce→Aging→Memory→NvM 的可编辑配置、回调清单与自动测试 ID；禁止用参考 ARXML/生成代码作为输入。</x:v>
      </x:c>
      <x:c r="J262" s="144" t="str">
        <x:v>逐项注入 FAILED/PASSED、确认阈值、老化40周期、掉电恢复、ClearDTC、满40 Entry、回调失败；0x19 结果与内部状态一致。</x:v>
      </x:c>
      <x:c r="K262" s="144" t="str">
        <x:v>coem/BYD_UKE/gen_bsw/Dem/Dem_Cfg_EventId.h:201; coem/BYD_UKE/gen_bsw/Dem/Dem_Cfg_Events_DataStructures.c:201; coem/BYD_UKE/gen_bsw/Dem/Dem_Cfg_Events_DataStructures.c:423; coem/BYD_UKE/gen_bsw/Dem/Dem_Cfg_DtcId.h:301</x:v>
      </x:c>
    </x:row>
    <x:row r="263" ht="68" customHeight="1">
      <x:c r="A263" s="144" t="str">
        <x:v>DemEvent</x:v>
      </x:c>
      <x:c r="B263" s="144" t="str">
        <x:v>EVT-176</x:v>
      </x:c>
      <x:c r="C263" s="144" t="str">
        <x:v>PF_Event_TX_PhaseShifterMonitor_TX2_PHASE_SHIFTER_PHASE</x:v>
      </x:c>
      <x:c r="D263" s="144" t="str">
        <x:v>DTC=0xACD740; Priority=64; Aging=40; Confirm=1; FFmax=2</x:v>
      </x:c>
      <x:c r="E263" s="144" t="str">
        <x:v>OperationCycle=POWER; Storage=NONE; Enable=NONE</x:v>
      </x:c>
      <x:c r="F263" s="144" t="str">
        <x:v>诊断权限不适用；事件可用性由 Enable/Storage Condition 控制</x:v>
      </x:c>
      <x:c r="G263" s="144" t="str">
        <x:v>DTC_ID=14 DTC_INTERNAL_UC_SYS_FAILURE; debounce=ARCTRBASECLASS/FREEZE; recoverable=是; primary=是; agingAllowed=是; initialUnavailable=否</x:v>
      </x:c>
      <x:c r="H26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3" s="144" t="str">
        <x:v>交付 Event→DTC→Debounce→Aging→Memory→NvM 的可编辑配置、回调清单与自动测试 ID；禁止用参考 ARXML/生成代码作为输入。</x:v>
      </x:c>
      <x:c r="J263" s="144" t="str">
        <x:v>逐项注入 FAILED/PASSED、确认阈值、老化40周期、掉电恢复、ClearDTC、满40 Entry、回调失败；0x19 结果与内部状态一致。</x:v>
      </x:c>
      <x:c r="K263" s="144" t="str">
        <x:v>coem/BYD_UKE/gen_bsw/Dem/Dem_Cfg_EventId.h:202; coem/BYD_UKE/gen_bsw/Dem/Dem_Cfg_Events_DataStructures.c:202; coem/BYD_UKE/gen_bsw/Dem/Dem_Cfg_Events_DataStructures.c:424; coem/BYD_UKE/gen_bsw/Dem/Dem_Cfg_DtcId.h:302</x:v>
      </x:c>
    </x:row>
    <x:row r="264" ht="68" customHeight="1">
      <x:c r="A264" s="144" t="str">
        <x:v>DemEvent</x:v>
      </x:c>
      <x:c r="B264" s="144" t="str">
        <x:v>EVT-177</x:v>
      </x:c>
      <x:c r="C264" s="144" t="str">
        <x:v>PF_Event_TX_PhaseShifterMonitor_TX3_PHASE_SHIFTER_AMPLITUDE</x:v>
      </x:c>
      <x:c r="D264" s="144" t="str">
        <x:v>DTC=0xACD740; Priority=64; Aging=40; Confirm=1; FFmax=2</x:v>
      </x:c>
      <x:c r="E264" s="144" t="str">
        <x:v>OperationCycle=POWER; Storage=NONE; Enable=NONE</x:v>
      </x:c>
      <x:c r="F264" s="144" t="str">
        <x:v>诊断权限不适用；事件可用性由 Enable/Storage Condition 控制</x:v>
      </x:c>
      <x:c r="G264" s="144" t="str">
        <x:v>DTC_ID=14 DTC_INTERNAL_UC_SYS_FAILURE; debounce=ARCTRBASECLASS/FREEZE; recoverable=是; primary=是; agingAllowed=是; initialUnavailable=否</x:v>
      </x:c>
      <x:c r="H26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4" s="144" t="str">
        <x:v>交付 Event→DTC→Debounce→Aging→Memory→NvM 的可编辑配置、回调清单与自动测试 ID；禁止用参考 ARXML/生成代码作为输入。</x:v>
      </x:c>
      <x:c r="J264" s="144" t="str">
        <x:v>逐项注入 FAILED/PASSED、确认阈值、老化40周期、掉电恢复、ClearDTC、满40 Entry、回调失败；0x19 结果与内部状态一致。</x:v>
      </x:c>
      <x:c r="K264" s="144" t="str">
        <x:v>coem/BYD_UKE/gen_bsw/Dem/Dem_Cfg_EventId.h:203; coem/BYD_UKE/gen_bsw/Dem/Dem_Cfg_Events_DataStructures.c:203; coem/BYD_UKE/gen_bsw/Dem/Dem_Cfg_Events_DataStructures.c:425; coem/BYD_UKE/gen_bsw/Dem/Dem_Cfg_DtcId.h:303</x:v>
      </x:c>
    </x:row>
    <x:row r="265" ht="68" customHeight="1">
      <x:c r="A265" s="144" t="str">
        <x:v>DemEvent</x:v>
      </x:c>
      <x:c r="B265" s="144" t="str">
        <x:v>EVT-178</x:v>
      </x:c>
      <x:c r="C265" s="144" t="str">
        <x:v>PF_Event_TX_PhaseShifterMonitor_TX3_PHASE_SHIFTER_PHASE</x:v>
      </x:c>
      <x:c r="D265" s="144" t="str">
        <x:v>DTC=0xACD740; Priority=64; Aging=40; Confirm=1; FFmax=2</x:v>
      </x:c>
      <x:c r="E265" s="144" t="str">
        <x:v>OperationCycle=POWER; Storage=NONE; Enable=NONE</x:v>
      </x:c>
      <x:c r="F265" s="144" t="str">
        <x:v>诊断权限不适用；事件可用性由 Enable/Storage Condition 控制</x:v>
      </x:c>
      <x:c r="G265" s="144" t="str">
        <x:v>DTC_ID=14 DTC_INTERNAL_UC_SYS_FAILURE; debounce=ARCTRBASECLASS/FREEZE; recoverable=是; primary=是; agingAllowed=是; initialUnavailable=否</x:v>
      </x:c>
      <x:c r="H26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5" s="144" t="str">
        <x:v>交付 Event→DTC→Debounce→Aging→Memory→NvM 的可编辑配置、回调清单与自动测试 ID；禁止用参考 ARXML/生成代码作为输入。</x:v>
      </x:c>
      <x:c r="J265" s="144" t="str">
        <x:v>逐项注入 FAILED/PASSED、确认阈值、老化40周期、掉电恢复、ClearDTC、满40 Entry、回调失败；0x19 结果与内部状态一致。</x:v>
      </x:c>
      <x:c r="K265" s="144" t="str">
        <x:v>coem/BYD_UKE/gen_bsw/Dem/Dem_Cfg_EventId.h:204; coem/BYD_UKE/gen_bsw/Dem/Dem_Cfg_Events_DataStructures.c:204; coem/BYD_UKE/gen_bsw/Dem/Dem_Cfg_Events_DataStructures.c:426; coem/BYD_UKE/gen_bsw/Dem/Dem_Cfg_DtcId.h:304</x:v>
      </x:c>
    </x:row>
    <x:row r="266" ht="68" customHeight="1">
      <x:c r="A266" s="144" t="str">
        <x:v>DemEvent</x:v>
      </x:c>
      <x:c r="B266" s="144" t="str">
        <x:v>EVT-179</x:v>
      </x:c>
      <x:c r="C266" s="144" t="str">
        <x:v>PF_Event_TX_PowerMonitor_TX0_ABS</x:v>
      </x:c>
      <x:c r="D266" s="144" t="str">
        <x:v>DTC=0xACD740; Priority=64; Aging=40; Confirm=1; FFmax=2</x:v>
      </x:c>
      <x:c r="E266" s="144" t="str">
        <x:v>OperationCycle=POWER; Storage=NONE; Enable=NONE</x:v>
      </x:c>
      <x:c r="F266" s="144" t="str">
        <x:v>诊断权限不适用；事件可用性由 Enable/Storage Condition 控制</x:v>
      </x:c>
      <x:c r="G266" s="144" t="str">
        <x:v>DTC_ID=14 DTC_INTERNAL_UC_SYS_FAILURE; debounce=ARCTRBASECLASS/FREEZE; recoverable=是; primary=是; agingAllowed=是; initialUnavailable=否</x:v>
      </x:c>
      <x:c r="H26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6" s="144" t="str">
        <x:v>交付 Event→DTC→Debounce→Aging→Memory→NvM 的可编辑配置、回调清单与自动测试 ID；禁止用参考 ARXML/生成代码作为输入。</x:v>
      </x:c>
      <x:c r="J266" s="144" t="str">
        <x:v>逐项注入 FAILED/PASSED、确认阈值、老化40周期、掉电恢复、ClearDTC、满40 Entry、回调失败；0x19 结果与内部状态一致。</x:v>
      </x:c>
      <x:c r="K266" s="144" t="str">
        <x:v>coem/BYD_UKE/gen_bsw/Dem/Dem_Cfg_EventId.h:205; coem/BYD_UKE/gen_bsw/Dem/Dem_Cfg_Events_DataStructures.c:205; coem/BYD_UKE/gen_bsw/Dem/Dem_Cfg_Events_DataStructures.c:427; coem/BYD_UKE/gen_bsw/Dem/Dem_Cfg_DtcId.h:305</x:v>
      </x:c>
    </x:row>
    <x:row r="267" ht="68" customHeight="1">
      <x:c r="A267" s="144" t="str">
        <x:v>DemEvent</x:v>
      </x:c>
      <x:c r="B267" s="144" t="str">
        <x:v>EVT-180</x:v>
      </x:c>
      <x:c r="C267" s="144" t="str">
        <x:v>PF_Event_TX_PowerMonitor_TX0_FLATNESS</x:v>
      </x:c>
      <x:c r="D267" s="144" t="str">
        <x:v>DTC=0xACD740; Priority=64; Aging=40; Confirm=1; FFmax=2</x:v>
      </x:c>
      <x:c r="E267" s="144" t="str">
        <x:v>OperationCycle=POWER; Storage=NONE; Enable=NONE</x:v>
      </x:c>
      <x:c r="F267" s="144" t="str">
        <x:v>诊断权限不适用；事件可用性由 Enable/Storage Condition 控制</x:v>
      </x:c>
      <x:c r="G267" s="144" t="str">
        <x:v>DTC_ID=14 DTC_INTERNAL_UC_SYS_FAILURE; debounce=ARCTRBASECLASS/FREEZE; recoverable=是; primary=是; agingAllowed=是; initialUnavailable=否</x:v>
      </x:c>
      <x:c r="H26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7" s="144" t="str">
        <x:v>交付 Event→DTC→Debounce→Aging→Memory→NvM 的可编辑配置、回调清单与自动测试 ID；禁止用参考 ARXML/生成代码作为输入。</x:v>
      </x:c>
      <x:c r="J267" s="144" t="str">
        <x:v>逐项注入 FAILED/PASSED、确认阈值、老化40周期、掉电恢复、ClearDTC、满40 Entry、回调失败；0x19 结果与内部状态一致。</x:v>
      </x:c>
      <x:c r="K267" s="144" t="str">
        <x:v>coem/BYD_UKE/gen_bsw/Dem/Dem_Cfg_EventId.h:206; coem/BYD_UKE/gen_bsw/Dem/Dem_Cfg_Events_DataStructures.c:206; coem/BYD_UKE/gen_bsw/Dem/Dem_Cfg_Events_DataStructures.c:428; coem/BYD_UKE/gen_bsw/Dem/Dem_Cfg_DtcId.h:306</x:v>
      </x:c>
    </x:row>
    <x:row r="268" ht="68" customHeight="1">
      <x:c r="A268" s="144" t="str">
        <x:v>DemEvent</x:v>
      </x:c>
      <x:c r="B268" s="144" t="str">
        <x:v>EVT-181</x:v>
      </x:c>
      <x:c r="C268" s="144" t="str">
        <x:v>PF_Event_TX_PowerMonitor_TX1_ABS</x:v>
      </x:c>
      <x:c r="D268" s="144" t="str">
        <x:v>DTC=0xACD740; Priority=64; Aging=40; Confirm=1; FFmax=2</x:v>
      </x:c>
      <x:c r="E268" s="144" t="str">
        <x:v>OperationCycle=POWER; Storage=NONE; Enable=NONE</x:v>
      </x:c>
      <x:c r="F268" s="144" t="str">
        <x:v>诊断权限不适用；事件可用性由 Enable/Storage Condition 控制</x:v>
      </x:c>
      <x:c r="G268" s="144" t="str">
        <x:v>DTC_ID=14 DTC_INTERNAL_UC_SYS_FAILURE; debounce=ARCTRBASECLASS/FREEZE; recoverable=是; primary=是; agingAllowed=是; initialUnavailable=否</x:v>
      </x:c>
      <x:c r="H26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8" s="144" t="str">
        <x:v>交付 Event→DTC→Debounce→Aging→Memory→NvM 的可编辑配置、回调清单与自动测试 ID；禁止用参考 ARXML/生成代码作为输入。</x:v>
      </x:c>
      <x:c r="J268" s="144" t="str">
        <x:v>逐项注入 FAILED/PASSED、确认阈值、老化40周期、掉电恢复、ClearDTC、满40 Entry、回调失败；0x19 结果与内部状态一致。</x:v>
      </x:c>
      <x:c r="K268" s="144" t="str">
        <x:v>coem/BYD_UKE/gen_bsw/Dem/Dem_Cfg_EventId.h:207; coem/BYD_UKE/gen_bsw/Dem/Dem_Cfg_Events_DataStructures.c:207; coem/BYD_UKE/gen_bsw/Dem/Dem_Cfg_Events_DataStructures.c:429; coem/BYD_UKE/gen_bsw/Dem/Dem_Cfg_DtcId.h:307</x:v>
      </x:c>
    </x:row>
    <x:row r="269" ht="68" customHeight="1">
      <x:c r="A269" s="144" t="str">
        <x:v>DemEvent</x:v>
      </x:c>
      <x:c r="B269" s="144" t="str">
        <x:v>EVT-182</x:v>
      </x:c>
      <x:c r="C269" s="144" t="str">
        <x:v>PF_Event_TX_PowerMonitor_TX1_FLATNESS</x:v>
      </x:c>
      <x:c r="D269" s="144" t="str">
        <x:v>DTC=0xACD740; Priority=64; Aging=40; Confirm=1; FFmax=2</x:v>
      </x:c>
      <x:c r="E269" s="144" t="str">
        <x:v>OperationCycle=POWER; Storage=NONE; Enable=NONE</x:v>
      </x:c>
      <x:c r="F269" s="144" t="str">
        <x:v>诊断权限不适用；事件可用性由 Enable/Storage Condition 控制</x:v>
      </x:c>
      <x:c r="G269" s="144" t="str">
        <x:v>DTC_ID=14 DTC_INTERNAL_UC_SYS_FAILURE; debounce=ARCTRBASECLASS/FREEZE; recoverable=是; primary=是; agingAllowed=是; initialUnavailable=否</x:v>
      </x:c>
      <x:c r="H26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9" s="144" t="str">
        <x:v>交付 Event→DTC→Debounce→Aging→Memory→NvM 的可编辑配置、回调清单与自动测试 ID；禁止用参考 ARXML/生成代码作为输入。</x:v>
      </x:c>
      <x:c r="J269" s="144" t="str">
        <x:v>逐项注入 FAILED/PASSED、确认阈值、老化40周期、掉电恢复、ClearDTC、满40 Entry、回调失败；0x19 结果与内部状态一致。</x:v>
      </x:c>
      <x:c r="K269" s="144" t="str">
        <x:v>coem/BYD_UKE/gen_bsw/Dem/Dem_Cfg_EventId.h:208; coem/BYD_UKE/gen_bsw/Dem/Dem_Cfg_Events_DataStructures.c:208; coem/BYD_UKE/gen_bsw/Dem/Dem_Cfg_Events_DataStructures.c:430; coem/BYD_UKE/gen_bsw/Dem/Dem_Cfg_DtcId.h:308</x:v>
      </x:c>
    </x:row>
    <x:row r="270" ht="68" customHeight="1">
      <x:c r="A270" s="144" t="str">
        <x:v>DemEvent</x:v>
      </x:c>
      <x:c r="B270" s="144" t="str">
        <x:v>EVT-183</x:v>
      </x:c>
      <x:c r="C270" s="144" t="str">
        <x:v>PF_Event_TX_PowerMonitor_TX2_ABS</x:v>
      </x:c>
      <x:c r="D270" s="144" t="str">
        <x:v>DTC=0xACD740; Priority=64; Aging=40; Confirm=1; FFmax=2</x:v>
      </x:c>
      <x:c r="E270" s="144" t="str">
        <x:v>OperationCycle=POWER; Storage=NONE; Enable=NONE</x:v>
      </x:c>
      <x:c r="F270" s="144" t="str">
        <x:v>诊断权限不适用；事件可用性由 Enable/Storage Condition 控制</x:v>
      </x:c>
      <x:c r="G270" s="144" t="str">
        <x:v>DTC_ID=14 DTC_INTERNAL_UC_SYS_FAILURE; debounce=ARCTRBASECLASS/FREEZE; recoverable=是; primary=是; agingAllowed=是; initialUnavailable=否</x:v>
      </x:c>
      <x:c r="H27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0" s="144" t="str">
        <x:v>交付 Event→DTC→Debounce→Aging→Memory→NvM 的可编辑配置、回调清单与自动测试 ID；禁止用参考 ARXML/生成代码作为输入。</x:v>
      </x:c>
      <x:c r="J270" s="144" t="str">
        <x:v>逐项注入 FAILED/PASSED、确认阈值、老化40周期、掉电恢复、ClearDTC、满40 Entry、回调失败；0x19 结果与内部状态一致。</x:v>
      </x:c>
      <x:c r="K270" s="144" t="str">
        <x:v>coem/BYD_UKE/gen_bsw/Dem/Dem_Cfg_EventId.h:209; coem/BYD_UKE/gen_bsw/Dem/Dem_Cfg_Events_DataStructures.c:209; coem/BYD_UKE/gen_bsw/Dem/Dem_Cfg_Events_DataStructures.c:431; coem/BYD_UKE/gen_bsw/Dem/Dem_Cfg_DtcId.h:309</x:v>
      </x:c>
    </x:row>
    <x:row r="271" ht="68" customHeight="1">
      <x:c r="A271" s="144" t="str">
        <x:v>DemEvent</x:v>
      </x:c>
      <x:c r="B271" s="144" t="str">
        <x:v>EVT-184</x:v>
      </x:c>
      <x:c r="C271" s="144" t="str">
        <x:v>PF_Event_TX_PowerMonitor_TX2_FLATNESS</x:v>
      </x:c>
      <x:c r="D271" s="144" t="str">
        <x:v>DTC=0xACD740; Priority=64; Aging=40; Confirm=1; FFmax=2</x:v>
      </x:c>
      <x:c r="E271" s="144" t="str">
        <x:v>OperationCycle=POWER; Storage=NONE; Enable=NONE</x:v>
      </x:c>
      <x:c r="F271" s="144" t="str">
        <x:v>诊断权限不适用；事件可用性由 Enable/Storage Condition 控制</x:v>
      </x:c>
      <x:c r="G271" s="144" t="str">
        <x:v>DTC_ID=14 DTC_INTERNAL_UC_SYS_FAILURE; debounce=ARCTRBASECLASS/FREEZE; recoverable=是; primary=是; agingAllowed=是; initialUnavailable=否</x:v>
      </x:c>
      <x:c r="H27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1" s="144" t="str">
        <x:v>交付 Event→DTC→Debounce→Aging→Memory→NvM 的可编辑配置、回调清单与自动测试 ID；禁止用参考 ARXML/生成代码作为输入。</x:v>
      </x:c>
      <x:c r="J271" s="144" t="str">
        <x:v>逐项注入 FAILED/PASSED、确认阈值、老化40周期、掉电恢复、ClearDTC、满40 Entry、回调失败；0x19 结果与内部状态一致。</x:v>
      </x:c>
      <x:c r="K271" s="144" t="str">
        <x:v>coem/BYD_UKE/gen_bsw/Dem/Dem_Cfg_EventId.h:210; coem/BYD_UKE/gen_bsw/Dem/Dem_Cfg_Events_DataStructures.c:210; coem/BYD_UKE/gen_bsw/Dem/Dem_Cfg_Events_DataStructures.c:432; coem/BYD_UKE/gen_bsw/Dem/Dem_Cfg_DtcId.h:310</x:v>
      </x:c>
    </x:row>
    <x:row r="272" ht="68" customHeight="1">
      <x:c r="A272" s="144" t="str">
        <x:v>DemEvent</x:v>
      </x:c>
      <x:c r="B272" s="144" t="str">
        <x:v>EVT-185</x:v>
      </x:c>
      <x:c r="C272" s="144" t="str">
        <x:v>PF_Event_TX_PowerMonitor_TX3_ABS</x:v>
      </x:c>
      <x:c r="D272" s="144" t="str">
        <x:v>DTC=0xACD740; Priority=64; Aging=40; Confirm=1; FFmax=2</x:v>
      </x:c>
      <x:c r="E272" s="144" t="str">
        <x:v>OperationCycle=POWER; Storage=NONE; Enable=NONE</x:v>
      </x:c>
      <x:c r="F272" s="144" t="str">
        <x:v>诊断权限不适用；事件可用性由 Enable/Storage Condition 控制</x:v>
      </x:c>
      <x:c r="G272" s="144" t="str">
        <x:v>DTC_ID=14 DTC_INTERNAL_UC_SYS_FAILURE; debounce=ARCTRBASECLASS/FREEZE; recoverable=是; primary=是; agingAllowed=是; initialUnavailable=否</x:v>
      </x:c>
      <x:c r="H27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2" s="144" t="str">
        <x:v>交付 Event→DTC→Debounce→Aging→Memory→NvM 的可编辑配置、回调清单与自动测试 ID；禁止用参考 ARXML/生成代码作为输入。</x:v>
      </x:c>
      <x:c r="J272" s="144" t="str">
        <x:v>逐项注入 FAILED/PASSED、确认阈值、老化40周期、掉电恢复、ClearDTC、满40 Entry、回调失败；0x19 结果与内部状态一致。</x:v>
      </x:c>
      <x:c r="K272" s="144" t="str">
        <x:v>coem/BYD_UKE/gen_bsw/Dem/Dem_Cfg_EventId.h:211; coem/BYD_UKE/gen_bsw/Dem/Dem_Cfg_Events_DataStructures.c:211; coem/BYD_UKE/gen_bsw/Dem/Dem_Cfg_Events_DataStructures.c:433; coem/BYD_UKE/gen_bsw/Dem/Dem_Cfg_DtcId.h:311</x:v>
      </x:c>
    </x:row>
    <x:row r="273" ht="68" customHeight="1">
      <x:c r="A273" s="144" t="str">
        <x:v>DemEvent</x:v>
      </x:c>
      <x:c r="B273" s="144" t="str">
        <x:v>EVT-186</x:v>
      </x:c>
      <x:c r="C273" s="144" t="str">
        <x:v>PF_Event_TX_PowerMonitor_TX3_FLATNESS</x:v>
      </x:c>
      <x:c r="D273" s="144" t="str">
        <x:v>DTC=0xACD740; Priority=64; Aging=40; Confirm=1; FFmax=2</x:v>
      </x:c>
      <x:c r="E273" s="144" t="str">
        <x:v>OperationCycle=POWER; Storage=NONE; Enable=NONE</x:v>
      </x:c>
      <x:c r="F273" s="144" t="str">
        <x:v>诊断权限不适用；事件可用性由 Enable/Storage Condition 控制</x:v>
      </x:c>
      <x:c r="G273" s="144" t="str">
        <x:v>DTC_ID=14 DTC_INTERNAL_UC_SYS_FAILURE; debounce=ARCTRBASECLASS/FREEZE; recoverable=是; primary=是; agingAllowed=是; initialUnavailable=否</x:v>
      </x:c>
      <x:c r="H27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3" s="144" t="str">
        <x:v>交付 Event→DTC→Debounce→Aging→Memory→NvM 的可编辑配置、回调清单与自动测试 ID；禁止用参考 ARXML/生成代码作为输入。</x:v>
      </x:c>
      <x:c r="J273" s="144" t="str">
        <x:v>逐项注入 FAILED/PASSED、确认阈值、老化40周期、掉电恢复、ClearDTC、满40 Entry、回调失败；0x19 结果与内部状态一致。</x:v>
      </x:c>
      <x:c r="K273" s="144" t="str">
        <x:v>coem/BYD_UKE/gen_bsw/Dem/Dem_Cfg_EventId.h:212; coem/BYD_UKE/gen_bsw/Dem/Dem_Cfg_Events_DataStructures.c:212; coem/BYD_UKE/gen_bsw/Dem/Dem_Cfg_Events_DataStructures.c:434; coem/BYD_UKE/gen_bsw/Dem/Dem_Cfg_DtcId.h:312</x:v>
      </x:c>
    </x:row>
    <x:row r="274" ht="68" customHeight="1">
      <x:c r="A274" s="144" t="str">
        <x:v>DemEvent</x:v>
      </x:c>
      <x:c r="B274" s="144" t="str">
        <x:v>EVT-187</x:v>
      </x:c>
      <x:c r="C274" s="144" t="str">
        <x:v>PF_Event_VEHICLE_SPEED_ABS_TOO_HIGH</x:v>
      </x:c>
      <x:c r="D274" s="144" t="str">
        <x:v>DTC=0xC1D829; Priority=64; Aging=40; Confirm=1; FFmax=2</x:v>
      </x:c>
      <x:c r="E274" s="144" t="str">
        <x:v>OperationCycle=POWER; Storage=NONE; Enable=NONE</x:v>
      </x:c>
      <x:c r="F274" s="144" t="str">
        <x:v>诊断权限不适用；事件可用性由 Enable/Storage Condition 控制</x:v>
      </x:c>
      <x:c r="G274" s="144" t="str">
        <x:v>DTC_ID=43 DTC_CMRR_DACORE_OOS; debounce=ARCTRBASECLASS/FREEZE; recoverable=是; primary=是; agingAllowed=是; initialUnavailable=否</x:v>
      </x:c>
      <x:c r="H27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4" s="144" t="str">
        <x:v>交付 Event→DTC→Debounce→Aging→Memory→NvM 的可编辑配置、回调清单与自动测试 ID；禁止用参考 ARXML/生成代码作为输入。</x:v>
      </x:c>
      <x:c r="J274" s="144" t="str">
        <x:v>逐项注入 FAILED/PASSED、确认阈值、老化40周期、掉电恢复、ClearDTC、满40 Entry、回调失败；0x19 结果与内部状态一致。</x:v>
      </x:c>
      <x:c r="K274" s="144" t="str">
        <x:v>coem/BYD_UKE/gen_bsw/Dem/Dem_Cfg_EventId.h:213; coem/BYD_UKE/gen_bsw/Dem/Dem_Cfg_Events_DataStructures.c:213; coem/BYD_UKE/gen_bsw/Dem/Dem_Cfg_Events_DataStructures.c:435; coem/BYD_UKE/gen_bsw/Dem/Dem_Cfg_DtcId.h:313</x:v>
      </x:c>
    </x:row>
    <x:row r="275" ht="68" customHeight="1">
      <x:c r="A275" s="144" t="str">
        <x:v>DemEvent</x:v>
      </x:c>
      <x:c r="B275" s="144" t="str">
        <x:v>EVT-188</x:v>
      </x:c>
      <x:c r="C275" s="144" t="str">
        <x:v>PF_Event_VEHICLE_SPEED_ABS_TOO_LOW</x:v>
      </x:c>
      <x:c r="D275" s="144" t="str">
        <x:v>DTC=0xC1D829; Priority=64; Aging=40; Confirm=1; FFmax=2</x:v>
      </x:c>
      <x:c r="E275" s="144" t="str">
        <x:v>OperationCycle=POWER; Storage=NONE; Enable=NONE</x:v>
      </x:c>
      <x:c r="F275" s="144" t="str">
        <x:v>诊断权限不适用；事件可用性由 Enable/Storage Condition 控制</x:v>
      </x:c>
      <x:c r="G275" s="144" t="str">
        <x:v>DTC_ID=43 DTC_CMRR_DACORE_OOS; debounce=ARCTRBASECLASS/FREEZE; recoverable=是; primary=是; agingAllowed=是; initialUnavailable=否</x:v>
      </x:c>
      <x:c r="H27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5" s="144" t="str">
        <x:v>交付 Event→DTC→Debounce→Aging→Memory→NvM 的可编辑配置、回调清单与自动测试 ID；禁止用参考 ARXML/生成代码作为输入。</x:v>
      </x:c>
      <x:c r="J275" s="144" t="str">
        <x:v>逐项注入 FAILED/PASSED、确认阈值、老化40周期、掉电恢复、ClearDTC、满40 Entry、回调失败；0x19 结果与内部状态一致。</x:v>
      </x:c>
      <x:c r="K275" s="144" t="str">
        <x:v>coem/BYD_UKE/gen_bsw/Dem/Dem_Cfg_EventId.h:214; coem/BYD_UKE/gen_bsw/Dem/Dem_Cfg_Events_DataStructures.c:214; coem/BYD_UKE/gen_bsw/Dem/Dem_Cfg_Events_DataStructures.c:436; coem/BYD_UKE/gen_bsw/Dem/Dem_Cfg_DtcId.h:314</x:v>
      </x:c>
    </x:row>
    <x:row r="276" ht="68" customHeight="1">
      <x:c r="A276" s="144" t="str">
        <x:v>DemEvent</x:v>
      </x:c>
      <x:c r="B276" s="144" t="str">
        <x:v>EVT-189</x:v>
      </x:c>
      <x:c r="C276" s="144" t="str">
        <x:v>PF_Event_mmwave_BSSBootsup</x:v>
      </x:c>
      <x:c r="D276" s="144" t="str">
        <x:v>DTC=0xACD740; Priority=64; Aging=40; Confirm=1; FFmax=2</x:v>
      </x:c>
      <x:c r="E276" s="144" t="str">
        <x:v>OperationCycle=POWER; Storage=NONE; Enable=NONE</x:v>
      </x:c>
      <x:c r="F276" s="144" t="str">
        <x:v>诊断权限不适用；事件可用性由 Enable/Storage Condition 控制</x:v>
      </x:c>
      <x:c r="G276" s="144" t="str">
        <x:v>DTC_ID=14 DTC_INTERNAL_UC_SYS_FAILURE; debounce=ARCTRBASECLASS/FREEZE; recoverable=是; primary=是; agingAllowed=是; initialUnavailable=否</x:v>
      </x:c>
      <x:c r="H27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6" s="144" t="str">
        <x:v>交付 Event→DTC→Debounce→Aging→Memory→NvM 的可编辑配置、回调清单与自动测试 ID；禁止用参考 ARXML/生成代码作为输入。</x:v>
      </x:c>
      <x:c r="J276" s="144" t="str">
        <x:v>逐项注入 FAILED/PASSED、确认阈值、老化40周期、掉电恢复、ClearDTC、满40 Entry、回调失败；0x19 结果与内部状态一致。</x:v>
      </x:c>
      <x:c r="K276" s="144" t="str">
        <x:v>coem/BYD_UKE/gen_bsw/Dem/Dem_Cfg_EventId.h:215; coem/BYD_UKE/gen_bsw/Dem/Dem_Cfg_Events_DataStructures.c:215; coem/BYD_UKE/gen_bsw/Dem/Dem_Cfg_Events_DataStructures.c:437; coem/BYD_UKE/gen_bsw/Dem/Dem_Cfg_DtcId.h:315</x:v>
      </x:c>
    </x:row>
    <x:row r="277" ht="68" customHeight="1">
      <x:c r="A277" s="144" t="str">
        <x:v>DemEvent</x:v>
      </x:c>
      <x:c r="B277" s="144" t="str">
        <x:v>EVT-190</x:v>
      </x:c>
      <x:c r="C277" s="144" t="str">
        <x:v>PF_Event_mmwave_DataPathConfig</x:v>
      </x:c>
      <x:c r="D277" s="144" t="str">
        <x:v>DTC=0xACD740; Priority=64; Aging=40; Confirm=1; FFmax=2</x:v>
      </x:c>
      <x:c r="E277" s="144" t="str">
        <x:v>OperationCycle=POWER; Storage=NONE; Enable=NONE</x:v>
      </x:c>
      <x:c r="F277" s="144" t="str">
        <x:v>诊断权限不适用；事件可用性由 Enable/Storage Condition 控制</x:v>
      </x:c>
      <x:c r="G277" s="144" t="str">
        <x:v>DTC_ID=14 DTC_INTERNAL_UC_SYS_FAILURE; debounce=ARCTRBASECLASS/FREEZE; recoverable=是; primary=是; agingAllowed=是; initialUnavailable=否</x:v>
      </x:c>
      <x:c r="H27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7" s="144" t="str">
        <x:v>交付 Event→DTC→Debounce→Aging→Memory→NvM 的可编辑配置、回调清单与自动测试 ID；禁止用参考 ARXML/生成代码作为输入。</x:v>
      </x:c>
      <x:c r="J277" s="144" t="str">
        <x:v>逐项注入 FAILED/PASSED、确认阈值、老化40周期、掉电恢复、ClearDTC、满40 Entry、回调失败；0x19 结果与内部状态一致。</x:v>
      </x:c>
      <x:c r="K277" s="144" t="str">
        <x:v>coem/BYD_UKE/gen_bsw/Dem/Dem_Cfg_EventId.h:216; coem/BYD_UKE/gen_bsw/Dem/Dem_Cfg_Events_DataStructures.c:216; coem/BYD_UKE/gen_bsw/Dem/Dem_Cfg_Events_DataStructures.c:438; coem/BYD_UKE/gen_bsw/Dem/Dem_Cfg_DtcId.h:316</x:v>
      </x:c>
    </x:row>
    <x:row r="278" ht="68" customHeight="1">
      <x:c r="A278" s="144" t="str">
        <x:v>DemEvent</x:v>
      </x:c>
      <x:c r="B278" s="144" t="str">
        <x:v>EVT-191</x:v>
      </x:c>
      <x:c r="C278" s="144" t="str">
        <x:v>PF_Event_mmwave_DataPathOpen</x:v>
      </x:c>
      <x:c r="D278" s="144" t="str">
        <x:v>DTC=0xACD740; Priority=64; Aging=40; Confirm=1; FFmax=2</x:v>
      </x:c>
      <x:c r="E278" s="144" t="str">
        <x:v>OperationCycle=POWER; Storage=NONE; Enable=NONE</x:v>
      </x:c>
      <x:c r="F278" s="144" t="str">
        <x:v>诊断权限不适用；事件可用性由 Enable/Storage Condition 控制</x:v>
      </x:c>
      <x:c r="G278" s="144" t="str">
        <x:v>DTC_ID=14 DTC_INTERNAL_UC_SYS_FAILURE; debounce=ARCTRBASECLASS/FREEZE; recoverable=是; primary=是; agingAllowed=是; initialUnavailable=否</x:v>
      </x:c>
      <x:c r="H27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8" s="144" t="str">
        <x:v>交付 Event→DTC→Debounce→Aging→Memory→NvM 的可编辑配置、回调清单与自动测试 ID；禁止用参考 ARXML/生成代码作为输入。</x:v>
      </x:c>
      <x:c r="J278" s="144" t="str">
        <x:v>逐项注入 FAILED/PASSED、确认阈值、老化40周期、掉电恢复、ClearDTC、满40 Entry、回调失败；0x19 结果与内部状态一致。</x:v>
      </x:c>
      <x:c r="K278" s="144" t="str">
        <x:v>coem/BYD_UKE/gen_bsw/Dem/Dem_Cfg_EventId.h:217; coem/BYD_UKE/gen_bsw/Dem/Dem_Cfg_Events_DataStructures.c:217; coem/BYD_UKE/gen_bsw/Dem/Dem_Cfg_Events_DataStructures.c:439; coem/BYD_UKE/gen_bsw/Dem/Dem_Cfg_DtcId.h:317</x:v>
      </x:c>
    </x:row>
    <x:row r="279" ht="68" customHeight="1">
      <x:c r="A279" s="144" t="str">
        <x:v>DemEvent</x:v>
      </x:c>
      <x:c r="B279" s="144" t="str">
        <x:v>EVT-192</x:v>
      </x:c>
      <x:c r="C279" s="144" t="str">
        <x:v>PF_Event_mmwave_ExcutemmWaveModule</x:v>
      </x:c>
      <x:c r="D279" s="144" t="str">
        <x:v>DTC=0xACD740; Priority=64; Aging=40; Confirm=1; FFmax=2</x:v>
      </x:c>
      <x:c r="E279" s="144" t="str">
        <x:v>OperationCycle=POWER; Storage=NONE; Enable=NONE</x:v>
      </x:c>
      <x:c r="F279" s="144" t="str">
        <x:v>诊断权限不适用；事件可用性由 Enable/Storage Condition 控制</x:v>
      </x:c>
      <x:c r="G279" s="144" t="str">
        <x:v>DTC_ID=14 DTC_INTERNAL_UC_SYS_FAILURE; debounce=ARCTRBASECLASS/FREEZE; recoverable=是; primary=是; agingAllowed=是; initialUnavailable=否</x:v>
      </x:c>
      <x:c r="H27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9" s="144" t="str">
        <x:v>交付 Event→DTC→Debounce→Aging→Memory→NvM 的可编辑配置、回调清单与自动测试 ID；禁止用参考 ARXML/生成代码作为输入。</x:v>
      </x:c>
      <x:c r="J279" s="144" t="str">
        <x:v>逐项注入 FAILED/PASSED、确认阈值、老化40周期、掉电恢复、ClearDTC、满40 Entry、回调失败；0x19 结果与内部状态一致。</x:v>
      </x:c>
      <x:c r="K279" s="144" t="str">
        <x:v>coem/BYD_UKE/gen_bsw/Dem/Dem_Cfg_EventId.h:218; coem/BYD_UKE/gen_bsw/Dem/Dem_Cfg_Events_DataStructures.c:218; coem/BYD_UKE/gen_bsw/Dem/Dem_Cfg_Events_DataStructures.c:440; coem/BYD_UKE/gen_bsw/Dem/Dem_Cfg_DtcId.h:318</x:v>
      </x:c>
    </x:row>
    <x:row r="280" ht="68" customHeight="1">
      <x:c r="A280" s="144" t="str">
        <x:v>DemEvent</x:v>
      </x:c>
      <x:c r="B280" s="144" t="str">
        <x:v>EVT-193</x:v>
      </x:c>
      <x:c r="C280" s="144" t="str">
        <x:v>PF_Event_mmwave_InitCRC</x:v>
      </x:c>
      <x:c r="D280" s="144" t="str">
        <x:v>DTC=0xACD740; Priority=64; Aging=40; Confirm=1; FFmax=2</x:v>
      </x:c>
      <x:c r="E280" s="144" t="str">
        <x:v>OperationCycle=POWER; Storage=NONE; Enable=NONE</x:v>
      </x:c>
      <x:c r="F280" s="144" t="str">
        <x:v>诊断权限不适用；事件可用性由 Enable/Storage Condition 控制</x:v>
      </x:c>
      <x:c r="G280" s="144" t="str">
        <x:v>DTC_ID=14 DTC_INTERNAL_UC_SYS_FAILURE; debounce=ARCTRBASECLASS/FREEZE; recoverable=是; primary=是; agingAllowed=是; initialUnavailable=否</x:v>
      </x:c>
      <x:c r="H28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0" s="144" t="str">
        <x:v>交付 Event→DTC→Debounce→Aging→Memory→NvM 的可编辑配置、回调清单与自动测试 ID；禁止用参考 ARXML/生成代码作为输入。</x:v>
      </x:c>
      <x:c r="J280" s="144" t="str">
        <x:v>逐项注入 FAILED/PASSED、确认阈值、老化40周期、掉电恢复、ClearDTC、满40 Entry、回调失败；0x19 结果与内部状态一致。</x:v>
      </x:c>
      <x:c r="K280" s="144" t="str">
        <x:v>coem/BYD_UKE/gen_bsw/Dem/Dem_Cfg_EventId.h:219; coem/BYD_UKE/gen_bsw/Dem/Dem_Cfg_Events_DataStructures.c:219; coem/BYD_UKE/gen_bsw/Dem/Dem_Cfg_Events_DataStructures.c:441; coem/BYD_UKE/gen_bsw/Dem/Dem_Cfg_DtcId.h:319</x:v>
      </x:c>
    </x:row>
    <x:row r="281" ht="68" customHeight="1">
      <x:c r="A281" s="144" t="str">
        <x:v>DemEvent</x:v>
      </x:c>
      <x:c r="B281" s="144" t="str">
        <x:v>EVT-194</x:v>
      </x:c>
      <x:c r="C281" s="144" t="str">
        <x:v>PF_Event_mmwave_InitTask</x:v>
      </x:c>
      <x:c r="D281" s="144" t="str">
        <x:v>DTC=0xACD740; Priority=64; Aging=40; Confirm=1; FFmax=2</x:v>
      </x:c>
      <x:c r="E281" s="144" t="str">
        <x:v>OperationCycle=POWER; Storage=NONE; Enable=NONE</x:v>
      </x:c>
      <x:c r="F281" s="144" t="str">
        <x:v>诊断权限不适用；事件可用性由 Enable/Storage Condition 控制</x:v>
      </x:c>
      <x:c r="G281" s="144" t="str">
        <x:v>DTC_ID=14 DTC_INTERNAL_UC_SYS_FAILURE; debounce=ARCTRBASECLASS/FREEZE; recoverable=是; primary=是; agingAllowed=是; initialUnavailable=否</x:v>
      </x:c>
      <x:c r="H28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1" s="144" t="str">
        <x:v>交付 Event→DTC→Debounce→Aging→Memory→NvM 的可编辑配置、回调清单与自动测试 ID；禁止用参考 ARXML/生成代码作为输入。</x:v>
      </x:c>
      <x:c r="J281" s="144" t="str">
        <x:v>逐项注入 FAILED/PASSED、确认阈值、老化40周期、掉电恢复、ClearDTC、满40 Entry、回调失败；0x19 结果与内部状态一致。</x:v>
      </x:c>
      <x:c r="K281" s="144" t="str">
        <x:v>coem/BYD_UKE/gen_bsw/Dem/Dem_Cfg_EventId.h:220; coem/BYD_UKE/gen_bsw/Dem/Dem_Cfg_Events_DataStructures.c:220; coem/BYD_UKE/gen_bsw/Dem/Dem_Cfg_Events_DataStructures.c:442; coem/BYD_UKE/gen_bsw/Dem/Dem_Cfg_DtcId.h:320</x:v>
      </x:c>
    </x:row>
    <x:row r="282" ht="68" customHeight="1">
      <x:c r="A282" s="144" t="str">
        <x:v>DemEvent</x:v>
      </x:c>
      <x:c r="B282" s="144" t="str">
        <x:v>EVT-195</x:v>
      </x:c>
      <x:c r="C282" s="144" t="str">
        <x:v>PF_Event_mmwave_InvalidMessageIdentifier</x:v>
      </x:c>
      <x:c r="D282" s="144" t="str">
        <x:v>DTC=0xACD740; Priority=64; Aging=40; Confirm=1; FFmax=2</x:v>
      </x:c>
      <x:c r="E282" s="144" t="str">
        <x:v>OperationCycle=POWER; Storage=NONE; Enable=NONE</x:v>
      </x:c>
      <x:c r="F282" s="144" t="str">
        <x:v>诊断权限不适用；事件可用性由 Enable/Storage Condition 控制</x:v>
      </x:c>
      <x:c r="G282" s="144" t="str">
        <x:v>DTC_ID=14 DTC_INTERNAL_UC_SYS_FAILURE; debounce=ARCTRBASECLASS/FREEZE; recoverable=是; primary=是; agingAllowed=是; initialUnavailable=否</x:v>
      </x:c>
      <x:c r="H28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2" s="144" t="str">
        <x:v>交付 Event→DTC→Debounce→Aging→Memory→NvM 的可编辑配置、回调清单与自动测试 ID；禁止用参考 ARXML/生成代码作为输入。</x:v>
      </x:c>
      <x:c r="J282" s="144" t="str">
        <x:v>逐项注入 FAILED/PASSED、确认阈值、老化40周期、掉电恢复、ClearDTC、满40 Entry、回调失败；0x19 结果与内部状态一致。</x:v>
      </x:c>
      <x:c r="K282" s="144" t="str">
        <x:v>coem/BYD_UKE/gen_bsw/Dem/Dem_Cfg_EventId.h:221; coem/BYD_UKE/gen_bsw/Dem/Dem_Cfg_Events_DataStructures.c:221; coem/BYD_UKE/gen_bsw/Dem/Dem_Cfg_Events_DataStructures.c:443; coem/BYD_UKE/gen_bsw/Dem/Dem_Cfg_DtcId.h:321</x:v>
      </x:c>
    </x:row>
    <x:row r="283" ht="68" customHeight="1">
      <x:c r="A283" s="144" t="str">
        <x:v>DemEvent</x:v>
      </x:c>
      <x:c r="B283" s="144" t="str">
        <x:v>EVT-196</x:v>
      </x:c>
      <x:c r="C283" s="144" t="str">
        <x:v>PF_Event_mmwave_LinkCRC</x:v>
      </x:c>
      <x:c r="D283" s="144" t="str">
        <x:v>DTC=0xACD740; Priority=64; Aging=40; Confirm=1; FFmax=2</x:v>
      </x:c>
      <x:c r="E283" s="144" t="str">
        <x:v>OperationCycle=POWER; Storage=NONE; Enable=NONE</x:v>
      </x:c>
      <x:c r="F283" s="144" t="str">
        <x:v>诊断权限不适用；事件可用性由 Enable/Storage Condition 控制</x:v>
      </x:c>
      <x:c r="G283" s="144" t="str">
        <x:v>DTC_ID=14 DTC_INTERNAL_UC_SYS_FAILURE; debounce=ARCTRBASECLASS/FREEZE; recoverable=是; primary=是; agingAllowed=是; initialUnavailable=否</x:v>
      </x:c>
      <x:c r="H28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3" s="144" t="str">
        <x:v>交付 Event→DTC→Debounce→Aging→Memory→NvM 的可编辑配置、回调清单与自动测试 ID；禁止用参考 ARXML/生成代码作为输入。</x:v>
      </x:c>
      <x:c r="J283" s="144" t="str">
        <x:v>逐项注入 FAILED/PASSED、确认阈值、老化40周期、掉电恢复、ClearDTC、满40 Entry、回调失败；0x19 结果与内部状态一致。</x:v>
      </x:c>
      <x:c r="K283" s="144" t="str">
        <x:v>coem/BYD_UKE/gen_bsw/Dem/Dem_Cfg_EventId.h:222; coem/BYD_UKE/gen_bsw/Dem/Dem_Cfg_Events_DataStructures.c:222; coem/BYD_UKE/gen_bsw/Dem/Dem_Cfg_Events_DataStructures.c:444; coem/BYD_UKE/gen_bsw/Dem/Dem_Cfg_DtcId.h:322</x:v>
      </x:c>
    </x:row>
    <x:row r="284" ht="68" customHeight="1">
      <x:c r="A284" s="144" t="str">
        <x:v>DemEvent</x:v>
      </x:c>
      <x:c r="B284" s="144" t="str">
        <x:v>EVT-197</x:v>
      </x:c>
      <x:c r="C284" s="144" t="str">
        <x:v>PF_Event_mmwave_StartSensor</x:v>
      </x:c>
      <x:c r="D284" s="144" t="str">
        <x:v>DTC=0xACD740; Priority=64; Aging=40; Confirm=1; FFmax=2</x:v>
      </x:c>
      <x:c r="E284" s="144" t="str">
        <x:v>OperationCycle=POWER; Storage=NONE; Enable=NONE</x:v>
      </x:c>
      <x:c r="F284" s="144" t="str">
        <x:v>诊断权限不适用；事件可用性由 Enable/Storage Condition 控制</x:v>
      </x:c>
      <x:c r="G284" s="144" t="str">
        <x:v>DTC_ID=14 DTC_INTERNAL_UC_SYS_FAILURE; debounce=ARCTRBASECLASS/FREEZE; recoverable=是; primary=是; agingAllowed=是; initialUnavailable=否</x:v>
      </x:c>
      <x:c r="H28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4" s="144" t="str">
        <x:v>交付 Event→DTC→Debounce→Aging→Memory→NvM 的可编辑配置、回调清单与自动测试 ID；禁止用参考 ARXML/生成代码作为输入。</x:v>
      </x:c>
      <x:c r="J284" s="144" t="str">
        <x:v>逐项注入 FAILED/PASSED、确认阈值、老化40周期、掉电恢复、ClearDTC、满40 Entry、回调失败；0x19 结果与内部状态一致。</x:v>
      </x:c>
      <x:c r="K284" s="144" t="str">
        <x:v>coem/BYD_UKE/gen_bsw/Dem/Dem_Cfg_EventId.h:223; coem/BYD_UKE/gen_bsw/Dem/Dem_Cfg_Events_DataStructures.c:223; coem/BYD_UKE/gen_bsw/Dem/Dem_Cfg_Events_DataStructures.c:445; coem/BYD_UKE/gen_bsw/Dem/Dem_Cfg_DtcId.h:323</x:v>
      </x:c>
    </x:row>
    <x:row r="285" ht="68" customHeight="1">
      <x:c r="A285" s="144" t="str">
        <x:v>DemEvent</x:v>
      </x:c>
      <x:c r="B285" s="144" t="str">
        <x:v>EVT-198</x:v>
      </x:c>
      <x:c r="C285" s="144" t="str">
        <x:v>RB_SOC_OVER_TEMP_WARNING_RANGE1</x:v>
      </x:c>
      <x:c r="D285" s="144" t="str">
        <x:v>DTC=0xACE24B; Priority=64; Aging=40; Confirm=1; FFmax=2</x:v>
      </x:c>
      <x:c r="E285" s="144" t="str">
        <x:v>OperationCycle=POWER; Storage=NONE; Enable=NONE</x:v>
      </x:c>
      <x:c r="F285" s="144" t="str">
        <x:v>诊断权限不适用；事件可用性由 Enable/Storage Condition 控制</x:v>
      </x:c>
      <x:c r="G285" s="144" t="str">
        <x:v>DTC_ID=25 DTC_UC_TEMPERATURE_OUTOFRANGE; debounce=ARCTRBASECLASS/FREEZE; recoverable=是; primary=是; agingAllowed=是; initialUnavailable=否</x:v>
      </x:c>
      <x:c r="H28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5" s="144" t="str">
        <x:v>交付 Event→DTC→Debounce→Aging→Memory→NvM 的可编辑配置、回调清单与自动测试 ID；禁止用参考 ARXML/生成代码作为输入。</x:v>
      </x:c>
      <x:c r="J285" s="144" t="str">
        <x:v>逐项注入 FAILED/PASSED、确认阈值、老化40周期、掉电恢复、ClearDTC、满40 Entry、回调失败；0x19 结果与内部状态一致。</x:v>
      </x:c>
      <x:c r="K285" s="144" t="str">
        <x:v>coem/BYD_UKE/gen_bsw/Dem/Dem_Cfg_EventId.h:224; coem/BYD_UKE/gen_bsw/Dem/Dem_Cfg_Events_DataStructures.c:224; coem/BYD_UKE/gen_bsw/Dem/Dem_Cfg_Events_DataStructures.c:446; coem/BYD_UKE/gen_bsw/Dem/Dem_Cfg_DtcId.h:324</x:v>
      </x:c>
    </x:row>
    <x:row r="286" ht="68" customHeight="1">
      <x:c r="A286" s="144" t="str">
        <x:v>DemEvent</x:v>
      </x:c>
      <x:c r="B286" s="144" t="str">
        <x:v>EVT-199</x:v>
      </x:c>
      <x:c r="C286" s="144" t="str">
        <x:v>RB_SOC_OVER_TEMP_WARNING_RANGE2</x:v>
      </x:c>
      <x:c r="D286" s="144" t="str">
        <x:v>DTC=0xACE24B; Priority=64; Aging=40; Confirm=1; FFmax=2</x:v>
      </x:c>
      <x:c r="E286" s="144" t="str">
        <x:v>OperationCycle=POWER; Storage=NONE; Enable=NONE</x:v>
      </x:c>
      <x:c r="F286" s="144" t="str">
        <x:v>诊断权限不适用；事件可用性由 Enable/Storage Condition 控制</x:v>
      </x:c>
      <x:c r="G286" s="144" t="str">
        <x:v>DTC_ID=25 DTC_UC_TEMPERATURE_OUTOFRANGE; debounce=ARCTRBASECLASS/FREEZE; recoverable=是; primary=是; agingAllowed=是; initialUnavailable=否</x:v>
      </x:c>
      <x:c r="H28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6" s="144" t="str">
        <x:v>交付 Event→DTC→Debounce→Aging→Memory→NvM 的可编辑配置、回调清单与自动测试 ID；禁止用参考 ARXML/生成代码作为输入。</x:v>
      </x:c>
      <x:c r="J286" s="144" t="str">
        <x:v>逐项注入 FAILED/PASSED、确认阈值、老化40周期、掉电恢复、ClearDTC、满40 Entry、回调失败；0x19 结果与内部状态一致。</x:v>
      </x:c>
      <x:c r="K286" s="144" t="str">
        <x:v>coem/BYD_UKE/gen_bsw/Dem/Dem_Cfg_EventId.h:225; coem/BYD_UKE/gen_bsw/Dem/Dem_Cfg_Events_DataStructures.c:225; coem/BYD_UKE/gen_bsw/Dem/Dem_Cfg_Events_DataStructures.c:447; coem/BYD_UKE/gen_bsw/Dem/Dem_Cfg_DtcId.h:325</x:v>
      </x:c>
    </x:row>
    <x:row r="287" ht="68" customHeight="1">
      <x:c r="A287" s="144" t="str">
        <x:v>DemEvent</x:v>
      </x:c>
      <x:c r="B287" s="144" t="str">
        <x:v>EVT-200</x:v>
      </x:c>
      <x:c r="C287" s="144" t="str">
        <x:v>RB_SOC_RF_OVER_TEMP_WARNING_RANGE</x:v>
      </x:c>
      <x:c r="D287" s="144" t="str">
        <x:v>DTC=0xACE24B; Priority=64; Aging=40; Confirm=1; FFmax=2</x:v>
      </x:c>
      <x:c r="E287" s="144" t="str">
        <x:v>OperationCycle=POWER; Storage=NONE; Enable=NONE</x:v>
      </x:c>
      <x:c r="F287" s="144" t="str">
        <x:v>诊断权限不适用；事件可用性由 Enable/Storage Condition 控制</x:v>
      </x:c>
      <x:c r="G287" s="144" t="str">
        <x:v>DTC_ID=25 DTC_UC_TEMPERATURE_OUTOFRANGE; debounce=ARCTRBASECLASS/FREEZE; recoverable=是; primary=是; agingAllowed=是; initialUnavailable=否</x:v>
      </x:c>
      <x:c r="H28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7" s="144" t="str">
        <x:v>交付 Event→DTC→Debounce→Aging→Memory→NvM 的可编辑配置、回调清单与自动测试 ID；禁止用参考 ARXML/生成代码作为输入。</x:v>
      </x:c>
      <x:c r="J287" s="144" t="str">
        <x:v>逐项注入 FAILED/PASSED、确认阈值、老化40周期、掉电恢复、ClearDTC、满40 Entry、回调失败；0x19 结果与内部状态一致。</x:v>
      </x:c>
      <x:c r="K287" s="144" t="str">
        <x:v>coem/BYD_UKE/gen_bsw/Dem/Dem_Cfg_EventId.h:226; coem/BYD_UKE/gen_bsw/Dem/Dem_Cfg_Events_DataStructures.c:226; coem/BYD_UKE/gen_bsw/Dem/Dem_Cfg_Events_DataStructures.c:448; coem/BYD_UKE/gen_bsw/Dem/Dem_Cfg_DtcId.h:326</x:v>
      </x:c>
    </x:row>
    <x:row r="288" ht="68" customHeight="1">
      <x:c r="A288" s="144" t="str">
        <x:v>DemEvent</x:v>
      </x:c>
      <x:c r="B288" s="144" t="str">
        <x:v>EVT-201</x:v>
      </x:c>
      <x:c r="C288" s="144" t="str">
        <x:v>RB_SOC_RF_UNDER_TEMP_WARNING_RANGE</x:v>
      </x:c>
      <x:c r="D288" s="144" t="str">
        <x:v>DTC=0xACE24B; Priority=64; Aging=40; Confirm=1; FFmax=2</x:v>
      </x:c>
      <x:c r="E288" s="144" t="str">
        <x:v>OperationCycle=POWER; Storage=NONE; Enable=NONE</x:v>
      </x:c>
      <x:c r="F288" s="144" t="str">
        <x:v>诊断权限不适用；事件可用性由 Enable/Storage Condition 控制</x:v>
      </x:c>
      <x:c r="G288" s="144" t="str">
        <x:v>DTC_ID=25 DTC_UC_TEMPERATURE_OUTOFRANGE; debounce=ARCTRBASECLASS/FREEZE; recoverable=是; primary=是; agingAllowed=是; initialUnavailable=否</x:v>
      </x:c>
      <x:c r="H28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8" s="144" t="str">
        <x:v>交付 Event→DTC→Debounce→Aging→Memory→NvM 的可编辑配置、回调清单与自动测试 ID；禁止用参考 ARXML/生成代码作为输入。</x:v>
      </x:c>
      <x:c r="J288" s="144" t="str">
        <x:v>逐项注入 FAILED/PASSED、确认阈值、老化40周期、掉电恢复、ClearDTC、满40 Entry、回调失败；0x19 结果与内部状态一致。</x:v>
      </x:c>
      <x:c r="K288" s="144" t="str">
        <x:v>coem/BYD_UKE/gen_bsw/Dem/Dem_Cfg_EventId.h:227; coem/BYD_UKE/gen_bsw/Dem/Dem_Cfg_Events_DataStructures.c:227; coem/BYD_UKE/gen_bsw/Dem/Dem_Cfg_Events_DataStructures.c:449; coem/BYD_UKE/gen_bsw/Dem/Dem_Cfg_DtcId.h:327</x:v>
      </x:c>
    </x:row>
    <x:row r="289" ht="68" customHeight="1">
      <x:c r="A289" s="144" t="str">
        <x:v>DemEvent</x:v>
      </x:c>
      <x:c r="B289" s="144" t="str">
        <x:v>EVT-202</x:v>
      </x:c>
      <x:c r="C289" s="144" t="str">
        <x:v>RB_SOC_UNDER_TEMP_WARNING_RANGE</x:v>
      </x:c>
      <x:c r="D289" s="144" t="str">
        <x:v>DTC=0xACE24B; Priority=64; Aging=40; Confirm=1; FFmax=2</x:v>
      </x:c>
      <x:c r="E289" s="144" t="str">
        <x:v>OperationCycle=POWER; Storage=NONE; Enable=NONE</x:v>
      </x:c>
      <x:c r="F289" s="144" t="str">
        <x:v>诊断权限不适用；事件可用性由 Enable/Storage Condition 控制</x:v>
      </x:c>
      <x:c r="G289" s="144" t="str">
        <x:v>DTC_ID=25 DTC_UC_TEMPERATURE_OUTOFRANGE; debounce=ARCTRBASECLASS/FREEZE; recoverable=是; primary=是; agingAllowed=是; initialUnavailable=否</x:v>
      </x:c>
      <x:c r="H28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9" s="144" t="str">
        <x:v>交付 Event→DTC→Debounce→Aging→Memory→NvM 的可编辑配置、回调清单与自动测试 ID；禁止用参考 ARXML/生成代码作为输入。</x:v>
      </x:c>
      <x:c r="J289" s="144" t="str">
        <x:v>逐项注入 FAILED/PASSED、确认阈值、老化40周期、掉电恢复、ClearDTC、满40 Entry、回调失败；0x19 结果与内部状态一致。</x:v>
      </x:c>
      <x:c r="K289" s="144" t="str">
        <x:v>coem/BYD_UKE/gen_bsw/Dem/Dem_Cfg_EventId.h:228; coem/BYD_UKE/gen_bsw/Dem/Dem_Cfg_Events_DataStructures.c:228; coem/BYD_UKE/gen_bsw/Dem/Dem_Cfg_Events_DataStructures.c:450; coem/BYD_UKE/gen_bsw/Dem/Dem_Cfg_DtcId.h:328</x:v>
      </x:c>
    </x:row>
    <x:row r="290" ht="68" customHeight="1">
      <x:c r="A290" s="144" t="str">
        <x:v>DemEvent</x:v>
      </x:c>
      <x:c r="B290" s="144" t="str">
        <x:v>EVT-203</x:v>
      </x:c>
      <x:c r="C290" s="144" t="str">
        <x:v>ZZZ_FakeFault_0</x:v>
      </x:c>
      <x:c r="D290" s="144" t="str">
        <x:v>DTC=0xACD541; Priority=64; Aging=40; Confirm=1; FFmax=2</x:v>
      </x:c>
      <x:c r="E290" s="144" t="str">
        <x:v>OperationCycle=POWER; Storage=NONE; Enable=EC_Group_Network_DiSus</x:v>
      </x:c>
      <x:c r="F290" s="144" t="str">
        <x:v>诊断权限不适用；事件可用性由 Enable/Storage Condition 控制</x:v>
      </x:c>
      <x:c r="G290" s="144" t="str">
        <x:v>DTC_ID=12 DTC_HW_UC_PFLASH; debounce=ARCTRBASECLASS/FREEZE; recoverable=是; primary=是; agingAllowed=是; initialUnavailable=否</x:v>
      </x:c>
      <x:c r="H29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0" s="144" t="str">
        <x:v>交付 Event→DTC→Debounce→Aging→Memory→NvM 的可编辑配置、回调清单与自动测试 ID；禁止用参考 ARXML/生成代码作为输入。</x:v>
      </x:c>
      <x:c r="J290" s="144" t="str">
        <x:v>逐项注入 FAILED/PASSED、确认阈值、老化40周期、掉电恢复、ClearDTC、满40 Entry、回调失败；0x19 结果与内部状态一致。</x:v>
      </x:c>
      <x:c r="K290" s="144" t="str">
        <x:v>coem/BYD_UKE/gen_bsw/Dem/Dem_Cfg_EventId.h:229; coem/BYD_UKE/gen_bsw/Dem/Dem_Cfg_Events_DataStructures.c:229; coem/BYD_UKE/gen_bsw/Dem/Dem_Cfg_Events_DataStructures.c:451; coem/BYD_UKE/gen_bsw/Dem/Dem_Cfg_DtcId.h:329</x:v>
      </x:c>
    </x:row>
    <x:row r="291" ht="68" customHeight="1">
      <x:c r="A291" s="144" t="str">
        <x:v>DemEvent</x:v>
      </x:c>
      <x:c r="B291" s="144" t="str">
        <x:v>EVT-204</x:v>
      </x:c>
      <x:c r="C291" s="144" t="str">
        <x:v>ZZZ_FakeFault_1</x:v>
      </x:c>
      <x:c r="D291" s="144" t="str">
        <x:v>DTC=0xACEF00; Priority=64; Aging=40; Confirm=1; FFmax=2</x:v>
      </x:c>
      <x:c r="E291" s="144" t="str">
        <x:v>OperationCycle=POWER; Storage=NONE; Enable=EC_Group_Network_DiSus</x:v>
      </x:c>
      <x:c r="F291" s="144" t="str">
        <x:v>诊断权限不适用；事件可用性由 Enable/Storage Condition 控制</x:v>
      </x:c>
      <x:c r="G291" s="144" t="str">
        <x:v>DTC_ID=36 DTC_Modulation_OFF; debounce=ARCTRBASECLASS/FREEZE; recoverable=是; primary=是; agingAllowed=是; initialUnavailable=否</x:v>
      </x:c>
      <x:c r="H29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1" s="144" t="str">
        <x:v>交付 Event→DTC→Debounce→Aging→Memory→NvM 的可编辑配置、回调清单与自动测试 ID；禁止用参考 ARXML/生成代码作为输入。</x:v>
      </x:c>
      <x:c r="J291" s="144" t="str">
        <x:v>逐项注入 FAILED/PASSED、确认阈值、老化40周期、掉电恢复、ClearDTC、满40 Entry、回调失败；0x19 结果与内部状态一致。</x:v>
      </x:c>
      <x:c r="K291" s="144" t="str">
        <x:v>coem/BYD_UKE/gen_bsw/Dem/Dem_Cfg_EventId.h:230; coem/BYD_UKE/gen_bsw/Dem/Dem_Cfg_Events_DataStructures.c:230; coem/BYD_UKE/gen_bsw/Dem/Dem_Cfg_Events_DataStructures.c:452; coem/BYD_UKE/gen_bsw/Dem/Dem_Cfg_DtcId.h:330</x:v>
      </x:c>
    </x:row>
    <x:row r="292" ht="68" customHeight="1">
      <x:c r="A292" s="144" t="str">
        <x:v>DemEvent</x:v>
      </x:c>
      <x:c r="B292" s="144" t="str">
        <x:v>EVT-205</x:v>
      </x:c>
      <x:c r="C292" s="144" t="str">
        <x:v>ZZZ_FakeFault_10</x:v>
      </x:c>
      <x:c r="D292" s="144" t="str">
        <x:v>DTC=0xACE976; Priority=64; Aging=40; Confirm=1; FFmax=2</x:v>
      </x:c>
      <x:c r="E292" s="144" t="str">
        <x:v>OperationCycle=POWER; Storage=NONE; Enable=EC_Group_Network_DiSus</x:v>
      </x:c>
      <x:c r="F292" s="144" t="str">
        <x:v>诊断权限不适用；事件可用性由 Enable/Storage Condition 控制</x:v>
      </x:c>
      <x:c r="G292" s="144" t="str">
        <x:v>DTC_ID=32 DTC_SENSOR_BLIND; debounce=ARCTRBASECLASS/FREEZE; recoverable=是; primary=是; agingAllowed=是; initialUnavailable=否</x:v>
      </x:c>
      <x:c r="H29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2" s="144" t="str">
        <x:v>交付 Event→DTC→Debounce→Aging→Memory→NvM 的可编辑配置、回调清单与自动测试 ID；禁止用参考 ARXML/生成代码作为输入。</x:v>
      </x:c>
      <x:c r="J292" s="144" t="str">
        <x:v>逐项注入 FAILED/PASSED、确认阈值、老化40周期、掉电恢复、ClearDTC、满40 Entry、回调失败；0x19 结果与内部状态一致。</x:v>
      </x:c>
      <x:c r="K292" s="144" t="str">
        <x:v>coem/BYD_UKE/gen_bsw/Dem/Dem_Cfg_EventId.h:231; coem/BYD_UKE/gen_bsw/Dem/Dem_Cfg_Events_DataStructures.c:231; coem/BYD_UKE/gen_bsw/Dem/Dem_Cfg_Events_DataStructures.c:453; coem/BYD_UKE/gen_bsw/Dem/Dem_Cfg_DtcId.h:331</x:v>
      </x:c>
    </x:row>
    <x:row r="293" ht="68" customHeight="1">
      <x:c r="A293" s="144" t="str">
        <x:v>DemEvent</x:v>
      </x:c>
      <x:c r="B293" s="144" t="str">
        <x:v>EVT-206</x:v>
      </x:c>
      <x:c r="C293" s="144" t="str">
        <x:v>ZZZ_FakeFault_11</x:v>
      </x:c>
      <x:c r="D293" s="144" t="str">
        <x:v>DTC=0xD02E87; Priority=64; Aging=40; Confirm=1; FFmax=2</x:v>
      </x:c>
      <x:c r="E293" s="144" t="str">
        <x:v>OperationCycle=POWER; Storage=NONE; Enable=EC_Group_Network_DiSus</x:v>
      </x:c>
      <x:c r="F293" s="144" t="str">
        <x:v>诊断权限不适用；事件可用性由 Enable/Storage Condition 控制</x:v>
      </x:c>
      <x:c r="G293" s="144" t="str">
        <x:v>DTC_ID=52 DTC_MRR_TIMEOUT; debounce=ARCTRBASECLASS/FREEZE; recoverable=是; primary=是; agingAllowed=是; initialUnavailable=否</x:v>
      </x:c>
      <x:c r="H29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3" s="144" t="str">
        <x:v>交付 Event→DTC→Debounce→Aging→Memory→NvM 的可编辑配置、回调清单与自动测试 ID；禁止用参考 ARXML/生成代码作为输入。</x:v>
      </x:c>
      <x:c r="J293" s="144" t="str">
        <x:v>逐项注入 FAILED/PASSED、确认阈值、老化40周期、掉电恢复、ClearDTC、满40 Entry、回调失败；0x19 结果与内部状态一致。</x:v>
      </x:c>
      <x:c r="K293" s="144" t="str">
        <x:v>coem/BYD_UKE/gen_bsw/Dem/Dem_Cfg_EventId.h:232; coem/BYD_UKE/gen_bsw/Dem/Dem_Cfg_Events_DataStructures.c:232; coem/BYD_UKE/gen_bsw/Dem/Dem_Cfg_Events_DataStructures.c:454; coem/BYD_UKE/gen_bsw/Dem/Dem_Cfg_DtcId.h:332</x:v>
      </x:c>
    </x:row>
    <x:row r="294" ht="68" customHeight="1">
      <x:c r="A294" s="144" t="str">
        <x:v>DemEvent</x:v>
      </x:c>
      <x:c r="B294" s="144" t="str">
        <x:v>EVT-207</x:v>
      </x:c>
      <x:c r="C294" s="144" t="str">
        <x:v>ZZZ_FakeFault_12</x:v>
      </x:c>
      <x:c r="D294" s="144" t="str">
        <x:v>DTC=0xACD304; Priority=64; Aging=40; Confirm=1; FFmax=2</x:v>
      </x:c>
      <x:c r="E294" s="144" t="str">
        <x:v>OperationCycle=POWER; Storage=NONE; Enable=EC_Group_Network_DiSus</x:v>
      </x:c>
      <x:c r="F294" s="144" t="str">
        <x:v>诊断权限不适用；事件可用性由 Enable/Storage Condition 控制</x:v>
      </x:c>
      <x:c r="G294" s="144" t="str">
        <x:v>DTC_ID=10 DTC_BOSCH_DRIVETESTACTIVE; debounce=ARCTRBASECLASS/FREEZE; recoverable=是; primary=是; agingAllowed=是; initialUnavailable=否</x:v>
      </x:c>
      <x:c r="H29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4" s="144" t="str">
        <x:v>交付 Event→DTC→Debounce→Aging→Memory→NvM 的可编辑配置、回调清单与自动测试 ID；禁止用参考 ARXML/生成代码作为输入。</x:v>
      </x:c>
      <x:c r="J294" s="144" t="str">
        <x:v>逐项注入 FAILED/PASSED、确认阈值、老化40周期、掉电恢复、ClearDTC、满40 Entry、回调失败；0x19 结果与内部状态一致。</x:v>
      </x:c>
      <x:c r="K294" s="144" t="str">
        <x:v>coem/BYD_UKE/gen_bsw/Dem/Dem_Cfg_EventId.h:233; coem/BYD_UKE/gen_bsw/Dem/Dem_Cfg_Events_DataStructures.c:233; coem/BYD_UKE/gen_bsw/Dem/Dem_Cfg_Events_DataStructures.c:455; coem/BYD_UKE/gen_bsw/Dem/Dem_Cfg_DtcId.h:333</x:v>
      </x:c>
    </x:row>
    <x:row r="295" ht="68" customHeight="1">
      <x:c r="A295" s="144" t="str">
        <x:v>DemEvent</x:v>
      </x:c>
      <x:c r="B295" s="144" t="str">
        <x:v>EVT-208</x:v>
      </x:c>
      <x:c r="C295" s="144" t="str">
        <x:v>ZZZ_FakeFault_13</x:v>
      </x:c>
      <x:c r="D295" s="144" t="str">
        <x:v>DTC=0xACE152; Priority=64; Aging=40; Confirm=1; FFmax=2</x:v>
      </x:c>
      <x:c r="E295" s="144" t="str">
        <x:v>OperationCycle=POWER; Storage=NONE; Enable=EC_Group_Network_DiSus</x:v>
      </x:c>
      <x:c r="F295" s="144" t="str">
        <x:v>诊断权限不适用；事件可用性由 Enable/Storage Condition 控制</x:v>
      </x:c>
      <x:c r="G295" s="144" t="str">
        <x:v>DTC_ID=24 DTC_SW_TEMP_FAILURE; debounce=ARCTRBASECLASS/FREEZE; recoverable=是; primary=是; agingAllowed=是; initialUnavailable=否</x:v>
      </x:c>
      <x:c r="H295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5" s="144" t="str">
        <x:v>交付 Event→DTC→Debounce→Aging→Memory→NvM 的可编辑配置、回调清单与自动测试 ID；禁止用参考 ARXML/生成代码作为输入。</x:v>
      </x:c>
      <x:c r="J295" s="144" t="str">
        <x:v>逐项注入 FAILED/PASSED、确认阈值、老化40周期、掉电恢复、ClearDTC、满40 Entry、回调失败；0x19 结果与内部状态一致。</x:v>
      </x:c>
      <x:c r="K295" s="144" t="str">
        <x:v>coem/BYD_UKE/gen_bsw/Dem/Dem_Cfg_EventId.h:234; coem/BYD_UKE/gen_bsw/Dem/Dem_Cfg_Events_DataStructures.c:234; coem/BYD_UKE/gen_bsw/Dem/Dem_Cfg_Events_DataStructures.c:456; coem/BYD_UKE/gen_bsw/Dem/Dem_Cfg_DtcId.h:334</x:v>
      </x:c>
    </x:row>
    <x:row r="296" ht="68" customHeight="1">
      <x:c r="A296" s="144" t="str">
        <x:v>DemEvent</x:v>
      </x:c>
      <x:c r="B296" s="144" t="str">
        <x:v>EVT-209</x:v>
      </x:c>
      <x:c r="C296" s="144" t="str">
        <x:v>ZZZ_FakeFault_14</x:v>
      </x:c>
      <x:c r="D296" s="144" t="str">
        <x:v>DTC=0xACE34B; Priority=64; Aging=40; Confirm=1; FFmax=2</x:v>
      </x:c>
      <x:c r="E296" s="144" t="str">
        <x:v>OperationCycle=POWER; Storage=NONE; Enable=EC_Group_Network_DiSus</x:v>
      </x:c>
      <x:c r="F296" s="144" t="str">
        <x:v>诊断权限不适用；事件可用性由 Enable/Storage Condition 控制</x:v>
      </x:c>
      <x:c r="G296" s="144" t="str">
        <x:v>DTC_ID=26 DTC_MMIC_TEMPERATURE_OVER_MAXIMUM; debounce=ARCTRBASECLASS/FREEZE; recoverable=是; primary=是; agingAllowed=是; initialUnavailable=否</x:v>
      </x:c>
      <x:c r="H296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6" s="144" t="str">
        <x:v>交付 Event→DTC→Debounce→Aging→Memory→NvM 的可编辑配置、回调清单与自动测试 ID；禁止用参考 ARXML/生成代码作为输入。</x:v>
      </x:c>
      <x:c r="J296" s="144" t="str">
        <x:v>逐项注入 FAILED/PASSED、确认阈值、老化40周期、掉电恢复、ClearDTC、满40 Entry、回调失败；0x19 结果与内部状态一致。</x:v>
      </x:c>
      <x:c r="K296" s="144" t="str">
        <x:v>coem/BYD_UKE/gen_bsw/Dem/Dem_Cfg_EventId.h:235; coem/BYD_UKE/gen_bsw/Dem/Dem_Cfg_Events_DataStructures.c:235; coem/BYD_UKE/gen_bsw/Dem/Dem_Cfg_Events_DataStructures.c:457; coem/BYD_UKE/gen_bsw/Dem/Dem_Cfg_DtcId.h:335</x:v>
      </x:c>
    </x:row>
    <x:row r="297" ht="68" customHeight="1">
      <x:c r="A297" s="144" t="str">
        <x:v>DemEvent</x:v>
      </x:c>
      <x:c r="B297" s="144" t="str">
        <x:v>EVT-210</x:v>
      </x:c>
      <x:c r="C297" s="144" t="str">
        <x:v>ZZZ_FakeFault_2</x:v>
      </x:c>
      <x:c r="D297" s="144" t="str">
        <x:v>DTC=0xACDA17; Priority=64; Aging=40; Confirm=1; FFmax=2</x:v>
      </x:c>
      <x:c r="E297" s="144" t="str">
        <x:v>OperationCycle=POWER; Storage=NONE; Enable=EC_Group_Network_DiSus</x:v>
      </x:c>
      <x:c r="F297" s="144" t="str">
        <x:v>诊断权限不适用；事件可用性由 Enable/Storage Condition 控制</x:v>
      </x:c>
      <x:c r="G297" s="144" t="str">
        <x:v>DTC_ID=17 DTC_MMIC_VOLTAGE_HIGH; debounce=ARCTRBASECLASS/FREEZE; recoverable=是; primary=是; agingAllowed=是; initialUnavailable=否</x:v>
      </x:c>
      <x:c r="H297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7" s="144" t="str">
        <x:v>交付 Event→DTC→Debounce→Aging→Memory→NvM 的可编辑配置、回调清单与自动测试 ID；禁止用参考 ARXML/生成代码作为输入。</x:v>
      </x:c>
      <x:c r="J297" s="144" t="str">
        <x:v>逐项注入 FAILED/PASSED、确认阈值、老化40周期、掉电恢复、ClearDTC、满40 Entry、回调失败；0x19 结果与内部状态一致。</x:v>
      </x:c>
      <x:c r="K297" s="144" t="str">
        <x:v>coem/BYD_UKE/gen_bsw/Dem/Dem_Cfg_EventId.h:236; coem/BYD_UKE/gen_bsw/Dem/Dem_Cfg_Events_DataStructures.c:236; coem/BYD_UKE/gen_bsw/Dem/Dem_Cfg_Events_DataStructures.c:458; coem/BYD_UKE/gen_bsw/Dem/Dem_Cfg_DtcId.h:336</x:v>
      </x:c>
    </x:row>
    <x:row r="298" ht="68" customHeight="1">
      <x:c r="A298" s="144" t="str">
        <x:v>DemEvent</x:v>
      </x:c>
      <x:c r="B298" s="144" t="str">
        <x:v>EVT-211</x:v>
      </x:c>
      <x:c r="C298" s="144" t="str">
        <x:v>ZZZ_FakeFault_3</x:v>
      </x:c>
      <x:c r="D298" s="144" t="str">
        <x:v>DTC=0xACDC16; Priority=64; Aging=40; Confirm=1; FFmax=2</x:v>
      </x:c>
      <x:c r="E298" s="144" t="str">
        <x:v>OperationCycle=POWER; Storage=NONE; Enable=EC_Group_Network_DiSus</x:v>
      </x:c>
      <x:c r="F298" s="144" t="str">
        <x:v>诊断权限不适用；事件可用性由 Enable/Storage Condition 控制</x:v>
      </x:c>
      <x:c r="G298" s="144" t="str">
        <x:v>DTC_ID=19 DTC_MMIC_VOLTAGE_LOW; debounce=ARCTRBASECLASS/FREEZE; recoverable=是; primary=是; agingAllowed=是; initialUnavailable=否</x:v>
      </x:c>
      <x:c r="H298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8" s="144" t="str">
        <x:v>交付 Event→DTC→Debounce→Aging→Memory→NvM 的可编辑配置、回调清单与自动测试 ID；禁止用参考 ARXML/生成代码作为输入。</x:v>
      </x:c>
      <x:c r="J298" s="144" t="str">
        <x:v>逐项注入 FAILED/PASSED、确认阈值、老化40周期、掉电恢复、ClearDTC、满40 Entry、回调失败；0x19 结果与内部状态一致。</x:v>
      </x:c>
      <x:c r="K298" s="144" t="str">
        <x:v>coem/BYD_UKE/gen_bsw/Dem/Dem_Cfg_EventId.h:237; coem/BYD_UKE/gen_bsw/Dem/Dem_Cfg_Events_DataStructures.c:237; coem/BYD_UKE/gen_bsw/Dem/Dem_Cfg_Events_DataStructures.c:459; coem/BYD_UKE/gen_bsw/Dem/Dem_Cfg_DtcId.h:337</x:v>
      </x:c>
    </x:row>
    <x:row r="299" ht="68" customHeight="1">
      <x:c r="A299" s="144" t="str">
        <x:v>DemEvent</x:v>
      </x:c>
      <x:c r="B299" s="144" t="str">
        <x:v>EVT-212</x:v>
      </x:c>
      <x:c r="C299" s="144" t="str">
        <x:v>ZZZ_FakeFault_4</x:v>
      </x:c>
      <x:c r="D299" s="144" t="str">
        <x:v>DTC=0xD0B819; Priority=64; Aging=40; Confirm=1; FFmax=2</x:v>
      </x:c>
      <x:c r="E299" s="144" t="str">
        <x:v>OperationCycle=POWER; Storage=NONE; Enable=EC_Group_Network_DiSus</x:v>
      </x:c>
      <x:c r="F299" s="144" t="str">
        <x:v>诊断权限不适用；事件可用性由 Enable/Storage Condition 控制</x:v>
      </x:c>
      <x:c r="G299" s="144" t="str">
        <x:v>DTC_ID=54 DTC_MRR_CRC; debounce=ARCTRBASECLASS/FREEZE; recoverable=是; primary=是; agingAllowed=是; initialUnavailable=否</x:v>
      </x:c>
      <x:c r="H299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9" s="144" t="str">
        <x:v>交付 Event→DTC→Debounce→Aging→Memory→NvM 的可编辑配置、回调清单与自动测试 ID；禁止用参考 ARXML/生成代码作为输入。</x:v>
      </x:c>
      <x:c r="J299" s="144" t="str">
        <x:v>逐项注入 FAILED/PASSED、确认阈值、老化40周期、掉电恢复、ClearDTC、满40 Entry、回调失败；0x19 结果与内部状态一致。</x:v>
      </x:c>
      <x:c r="K299" s="144" t="str">
        <x:v>coem/BYD_UKE/gen_bsw/Dem/Dem_Cfg_EventId.h:238; coem/BYD_UKE/gen_bsw/Dem/Dem_Cfg_Events_DataStructures.c:238; coem/BYD_UKE/gen_bsw/Dem/Dem_Cfg_Events_DataStructures.c:460; coem/BYD_UKE/gen_bsw/Dem/Dem_Cfg_DtcId.h:338</x:v>
      </x:c>
    </x:row>
    <x:row r="300" ht="68" customHeight="1">
      <x:c r="A300" s="144" t="str">
        <x:v>DemEvent</x:v>
      </x:c>
      <x:c r="B300" s="144" t="str">
        <x:v>EVT-213</x:v>
      </x:c>
      <x:c r="C300" s="144" t="str">
        <x:v>ZZZ_FakeFault_5</x:v>
      </x:c>
      <x:c r="D300" s="144" t="str">
        <x:v>DTC=0xACE000; Priority=64; Aging=40; Confirm=1; FFmax=2</x:v>
      </x:c>
      <x:c r="E300" s="144" t="str">
        <x:v>OperationCycle=POWER; Storage=NONE; Enable=EC_Group_Network_DiSus</x:v>
      </x:c>
      <x:c r="F300" s="144" t="str">
        <x:v>诊断权限不适用；事件可用性由 Enable/Storage Condition 控制</x:v>
      </x:c>
      <x:c r="G300" s="144" t="str">
        <x:v>DTC_ID=23 DTC_SW_RIF_FAILURE; debounce=ARCTRBASECLASS/FREEZE; recoverable=是; primary=是; agingAllowed=是; initialUnavailable=否</x:v>
      </x:c>
      <x:c r="H300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0" s="144" t="str">
        <x:v>交付 Event→DTC→Debounce→Aging→Memory→NvM 的可编辑配置、回调清单与自动测试 ID；禁止用参考 ARXML/生成代码作为输入。</x:v>
      </x:c>
      <x:c r="J300" s="144" t="str">
        <x:v>逐项注入 FAILED/PASSED、确认阈值、老化40周期、掉电恢复、ClearDTC、满40 Entry、回调失败；0x19 结果与内部状态一致。</x:v>
      </x:c>
      <x:c r="K300" s="144" t="str">
        <x:v>coem/BYD_UKE/gen_bsw/Dem/Dem_Cfg_EventId.h:239; coem/BYD_UKE/gen_bsw/Dem/Dem_Cfg_Events_DataStructures.c:239; coem/BYD_UKE/gen_bsw/Dem/Dem_Cfg_Events_DataStructures.c:461; coem/BYD_UKE/gen_bsw/Dem/Dem_Cfg_DtcId.h:339</x:v>
      </x:c>
    </x:row>
    <x:row r="301" ht="68" customHeight="1">
      <x:c r="A301" s="144" t="str">
        <x:v>DemEvent</x:v>
      </x:c>
      <x:c r="B301" s="144" t="str">
        <x:v>EVT-214</x:v>
      </x:c>
      <x:c r="C301" s="144" t="str">
        <x:v>ZZZ_FakeFault_6</x:v>
      </x:c>
      <x:c r="D301" s="144" t="str">
        <x:v>DTC=0xACDE00; Priority=64; Aging=40; Confirm=1; FFmax=2</x:v>
      </x:c>
      <x:c r="E301" s="144" t="str">
        <x:v>OperationCycle=POWER; Storage=NONE; Enable=EC_Group_Network_DiSus</x:v>
      </x:c>
      <x:c r="F301" s="144" t="str">
        <x:v>诊断权限不适用；事件可用性由 Enable/Storage Condition 控制</x:v>
      </x:c>
      <x:c r="G301" s="144" t="str">
        <x:v>DTC_ID=21 DTC_RADAR_MODULATION; debounce=ARCTRBASECLASS/FREEZE; recoverable=是; primary=是; agingAllowed=是; initialUnavailable=否</x:v>
      </x:c>
      <x:c r="H301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1" s="144" t="str">
        <x:v>交付 Event→DTC→Debounce→Aging→Memory→NvM 的可编辑配置、回调清单与自动测试 ID；禁止用参考 ARXML/生成代码作为输入。</x:v>
      </x:c>
      <x:c r="J301" s="144" t="str">
        <x:v>逐项注入 FAILED/PASSED、确认阈值、老化40周期、掉电恢复、ClearDTC、满40 Entry、回调失败；0x19 结果与内部状态一致。</x:v>
      </x:c>
      <x:c r="K301" s="144" t="str">
        <x:v>coem/BYD_UKE/gen_bsw/Dem/Dem_Cfg_EventId.h:240; coem/BYD_UKE/gen_bsw/Dem/Dem_Cfg_Events_DataStructures.c:240; coem/BYD_UKE/gen_bsw/Dem/Dem_Cfg_Events_DataStructures.c:462; coem/BYD_UKE/gen_bsw/Dem/Dem_Cfg_DtcId.h:340</x:v>
      </x:c>
    </x:row>
    <x:row r="302" ht="68" customHeight="1">
      <x:c r="A302" s="144" t="str">
        <x:v>DemEvent</x:v>
      </x:c>
      <x:c r="B302" s="144" t="str">
        <x:v>EVT-215</x:v>
      </x:c>
      <x:c r="C302" s="144" t="str">
        <x:v>ZZZ_FakeFault_7</x:v>
      </x:c>
      <x:c r="D302" s="144" t="str">
        <x:v>DTC=0xACDD00; Priority=64; Aging=40; Confirm=1; FFmax=2</x:v>
      </x:c>
      <x:c r="E302" s="144" t="str">
        <x:v>OperationCycle=POWER; Storage=NONE; Enable=EC_Group_Network_DiSus</x:v>
      </x:c>
      <x:c r="F302" s="144" t="str">
        <x:v>诊断权限不适用；事件可用性由 Enable/Storage Condition 控制</x:v>
      </x:c>
      <x:c r="G302" s="144" t="str">
        <x:v>DTC_ID=20 DTC_RADAR_MODULATION_CONFIGURE; debounce=ARCTRBASECLASS/FREEZE; recoverable=是; primary=是; agingAllowed=是; initialUnavailable=否</x:v>
      </x:c>
      <x:c r="H302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2" s="144" t="str">
        <x:v>交付 Event→DTC→Debounce→Aging→Memory→NvM 的可编辑配置、回调清单与自动测试 ID；禁止用参考 ARXML/生成代码作为输入。</x:v>
      </x:c>
      <x:c r="J302" s="144" t="str">
        <x:v>逐项注入 FAILED/PASSED、确认阈值、老化40周期、掉电恢复、ClearDTC、满40 Entry、回调失败；0x19 结果与内部状态一致。</x:v>
      </x:c>
      <x:c r="K302" s="144" t="str">
        <x:v>coem/BYD_UKE/gen_bsw/Dem/Dem_Cfg_EventId.h:241; coem/BYD_UKE/gen_bsw/Dem/Dem_Cfg_Events_DataStructures.c:241; coem/BYD_UKE/gen_bsw/Dem/Dem_Cfg_Events_DataStructures.c:463; coem/BYD_UKE/gen_bsw/Dem/Dem_Cfg_DtcId.h:341</x:v>
      </x:c>
    </x:row>
    <x:row r="303" ht="68" customHeight="1">
      <x:c r="A303" s="144" t="str">
        <x:v>DemEvent</x:v>
      </x:c>
      <x:c r="B303" s="144" t="str">
        <x:v>EVT-216</x:v>
      </x:c>
      <x:c r="C303" s="144" t="str">
        <x:v>ZZZ_FakeFault_8</x:v>
      </x:c>
      <x:c r="D303" s="144" t="str">
        <x:v>DTC=0xD0B818; Priority=64; Aging=40; Confirm=1; FFmax=2</x:v>
      </x:c>
      <x:c r="E303" s="144" t="str">
        <x:v>OperationCycle=POWER; Storage=NONE; Enable=EC_Group_Network_DiSus</x:v>
      </x:c>
      <x:c r="F303" s="144" t="str">
        <x:v>诊断权限不适用；事件可用性由 Enable/Storage Condition 控制</x:v>
      </x:c>
      <x:c r="G303" s="144" t="str">
        <x:v>DTC_ID=53 DTC_MRR_ALC; debounce=ARCTRBASECLASS/FREEZE; recoverable=是; primary=是; agingAllowed=是; initialUnavailable=否</x:v>
      </x:c>
      <x:c r="H303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3" s="144" t="str">
        <x:v>交付 Event→DTC→Debounce→Aging→Memory→NvM 的可编辑配置、回调清单与自动测试 ID；禁止用参考 ARXML/生成代码作为输入。</x:v>
      </x:c>
      <x:c r="J303" s="144" t="str">
        <x:v>逐项注入 FAILED/PASSED、确认阈值、老化40周期、掉电恢复、ClearDTC、满40 Entry、回调失败；0x19 结果与内部状态一致。</x:v>
      </x:c>
      <x:c r="K303" s="144" t="str">
        <x:v>coem/BYD_UKE/gen_bsw/Dem/Dem_Cfg_EventId.h:242; coem/BYD_UKE/gen_bsw/Dem/Dem_Cfg_Events_DataStructures.c:242; coem/BYD_UKE/gen_bsw/Dem/Dem_Cfg_Events_DataStructures.c:464; coem/BYD_UKE/gen_bsw/Dem/Dem_Cfg_DtcId.h:342</x:v>
      </x:c>
    </x:row>
    <x:row r="304" ht="68" customHeight="1">
      <x:c r="A304" s="144" t="str">
        <x:v>DemEvent</x:v>
      </x:c>
      <x:c r="B304" s="144" t="str">
        <x:v>EVT-217</x:v>
      </x:c>
      <x:c r="C304" s="144" t="str">
        <x:v>ZZZ_FakeFault_9</x:v>
      </x:c>
      <x:c r="D304" s="144" t="str">
        <x:v>DTC=0xACE44B; Priority=64; Aging=40; Confirm=1; FFmax=2</x:v>
      </x:c>
      <x:c r="E304" s="144" t="str">
        <x:v>OperationCycle=POWER; Storage=NONE; Enable=EC_Group_Network_DiSus</x:v>
      </x:c>
      <x:c r="F304" s="144" t="str">
        <x:v>诊断权限不适用；事件可用性由 Enable/Storage Condition 控制</x:v>
      </x:c>
      <x:c r="G304" s="144" t="str">
        <x:v>DTC_ID=27 DTC_MMIC_TEMPERATURE_OVER_OPERATION; debounce=ARCTRBASECLASS/FREEZE; recoverable=是; primary=是; agingAllowed=是; initialUnavailable=否</x:v>
      </x:c>
      <x:c r="H304" s="144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4" s="144" t="str">
        <x:v>交付 Event→DTC→Debounce→Aging→Memory→NvM 的可编辑配置、回调清单与自动测试 ID；禁止用参考 ARXML/生成代码作为输入。</x:v>
      </x:c>
      <x:c r="J304" s="144" t="str">
        <x:v>逐项注入 FAILED/PASSED、确认阈值、老化40周期、掉电恢复、ClearDTC、满40 Entry、回调失败；0x19 结果与内部状态一致。</x:v>
      </x:c>
      <x:c r="K304" s="144" t="str">
        <x:v>coem/BYD_UKE/gen_bsw/Dem/Dem_Cfg_EventId.h:243; coem/BYD_UKE/gen_bsw/Dem/Dem_Cfg_Events_DataStructures.c:243; coem/BYD_UKE/gen_bsw/Dem/Dem_Cfg_Events_DataStructures.c:465; coem/BYD_UKE/gen_bsw/Dem/Dem_Cfg_DtcId.h:343</x:v>
      </x:c>
    </x:row>
    <x:row r="305" ht="68" customHeight="1">
      <x:c r="A305" s="144" t="str">
        <x:v>DTC</x:v>
      </x:c>
      <x:c r="B305" s="144" t="str">
        <x:v>DTC-001</x:v>
      </x:c>
      <x:c r="C305" s="144" t="str">
        <x:v>DTC_IPB_SIGNAL_INVALID / 0x5C6286</x:v>
      </x:c>
      <x:c r="D305" s="144" t="str">
        <x:v>17 Event(s): 30,31,32,33,34,35,36,37,38,39,40,41,42,43,44,45,46</x:v>
      </x:c>
      <x:c r="E305" s="144" t="str">
        <x:v>0x19 读取；0x14 清除；会话/安全按服务矩阵</x:v>
      </x:c>
      <x:c r="F305" s="144" t="str">
        <x:v>Severity=NO_SEVERITY; WWH-OBD=UNCLASSIFIED</x:v>
      </x:c>
      <x:c r="G305" s="144" t="str">
        <x:v>UDS DTC=0x5C6286; EventCombination=工程映射；Severity=NO_SEVERITY</x:v>
      </x:c>
      <x:c r="H305" s="144" t="str">
        <x:v>输入为关联 Event 的状态组合，输出为唯一 UDS DTC 状态；组合事件任一变化时须按配置更新，不得丢失 Event 级证据。</x:v>
      </x:c>
      <x:c r="I305" s="144" t="str">
        <x:v>交付 DTC→Event 映射、状态聚合、0x19/0x14 行为和测试脚本。</x:v>
      </x:c>
      <x:c r="J305" s="144" t="str">
        <x:v>逐 Event 置位/恢复、组合顺序、ClearDTC、掉电、满存储；DTC code/status 与 0x19 返回一致。</x:v>
      </x:c>
      <x:c r="K305" s="144" t="str">
        <x:v>coem/BYD_UKE/gen_bsw/Dem/Dem_Cfg_DTC_DataStructures.c:27</x:v>
      </x:c>
    </x:row>
    <x:row r="306" ht="68" customHeight="1">
      <x:c r="A306" s="144" t="str">
        <x:v>DTC</x:v>
      </x:c>
      <x:c r="B306" s="144" t="str">
        <x:v>DTC-002</x:v>
      </x:c>
      <x:c r="C306" s="144" t="str">
        <x:v>DTC_IPB_ALC / 0x5C6302</x:v>
      </x:c>
      <x:c r="D306" s="144" t="str">
        <x:v>6 Event(s): 12,15,18,21,24,27</x:v>
      </x:c>
      <x:c r="E306" s="144" t="str">
        <x:v>0x19 读取；0x14 清除；会话/安全按服务矩阵</x:v>
      </x:c>
      <x:c r="F306" s="144" t="str">
        <x:v>Severity=NO_SEVERITY; WWH-OBD=UNCLASSIFIED</x:v>
      </x:c>
      <x:c r="G306" s="144" t="str">
        <x:v>UDS DTC=0x5C6302; EventCombination=工程映射；Severity=NO_SEVERITY</x:v>
      </x:c>
      <x:c r="H306" s="144" t="str">
        <x:v>输入为关联 Event 的状态组合，输出为唯一 UDS DTC 状态；组合事件任一变化时须按配置更新，不得丢失 Event 级证据。</x:v>
      </x:c>
      <x:c r="I306" s="144" t="str">
        <x:v>交付 DTC→Event 映射、状态聚合、0x19/0x14 行为和测试脚本。</x:v>
      </x:c>
      <x:c r="J306" s="144" t="str">
        <x:v>逐 Event 置位/恢复、组合顺序、ClearDTC、掉电、满存储；DTC code/status 与 0x19 返回一致。</x:v>
      </x:c>
      <x:c r="K306" s="144" t="str">
        <x:v>coem/BYD_UKE/gen_bsw/Dem/Dem_Cfg_DTC_DataStructures.c:28</x:v>
      </x:c>
    </x:row>
    <x:row r="307" ht="68" customHeight="1">
      <x:c r="A307" s="144" t="str">
        <x:v>DTC</x:v>
      </x:c>
      <x:c r="B307" s="144" t="str">
        <x:v>DTC-003</x:v>
      </x:c>
      <x:c r="C307" s="144" t="str">
        <x:v>DTC_IPB_CRC / 0x5C6462</x:v>
      </x:c>
      <x:c r="D307" s="144" t="str">
        <x:v>6 Event(s): 13,16,19,22,25,28</x:v>
      </x:c>
      <x:c r="E307" s="144" t="str">
        <x:v>0x19 读取；0x14 清除；会话/安全按服务矩阵</x:v>
      </x:c>
      <x:c r="F307" s="144" t="str">
        <x:v>Severity=NO_SEVERITY; WWH-OBD=UNCLASSIFIED</x:v>
      </x:c>
      <x:c r="G307" s="144" t="str">
        <x:v>UDS DTC=0x5C6462; EventCombination=工程映射；Severity=NO_SEVERITY</x:v>
      </x:c>
      <x:c r="H307" s="144" t="str">
        <x:v>输入为关联 Event 的状态组合，输出为唯一 UDS DTC 状态；组合事件任一变化时须按配置更新，不得丢失 Event 级证据。</x:v>
      </x:c>
      <x:c r="I307" s="144" t="str">
        <x:v>交付 DTC→Event 映射、状态聚合、0x19/0x14 行为和测试脚本。</x:v>
      </x:c>
      <x:c r="J307" s="144" t="str">
        <x:v>逐 Event 置位/恢复、组合顺序、ClearDTC、掉电、满存储；DTC code/status 与 0x19 返回一致。</x:v>
      </x:c>
      <x:c r="K307" s="144" t="str">
        <x:v>coem/BYD_UKE/gen_bsw/Dem/Dem_Cfg_DTC_DataStructures.c:29</x:v>
      </x:c>
    </x:row>
    <x:row r="308" ht="68" customHeight="1">
      <x:c r="A308" s="144" t="str">
        <x:v>DTC</x:v>
      </x:c>
      <x:c r="B308" s="144" t="str">
        <x:v>DTC-004</x:v>
      </x:c>
      <x:c r="C308" s="144" t="str">
        <x:v>DTC_Left_BCM_SIGNAL_INVALID / 0x5C6586</x:v>
      </x:c>
      <x:c r="D308" s="144" t="str">
        <x:v>8 Event(s): 54,55,56,57,58,59,60,61</x:v>
      </x:c>
      <x:c r="E308" s="144" t="str">
        <x:v>0x19 读取；0x14 清除；会话/安全按服务矩阵</x:v>
      </x:c>
      <x:c r="F308" s="144" t="str">
        <x:v>Severity=NO_SEVERITY; WWH-OBD=UNCLASSIFIED</x:v>
      </x:c>
      <x:c r="G308" s="144" t="str">
        <x:v>UDS DTC=0x5C6586; EventCombination=工程映射；Severity=NO_SEVERITY</x:v>
      </x:c>
      <x:c r="H308" s="144" t="str">
        <x:v>输入为关联 Event 的状态组合，输出为唯一 UDS DTC 状态；组合事件任一变化时须按配置更新，不得丢失 Event 级证据。</x:v>
      </x:c>
      <x:c r="I308" s="144" t="str">
        <x:v>交付 DTC→Event 映射、状态聚合、0x19/0x14 行为和测试脚本。</x:v>
      </x:c>
      <x:c r="J308" s="144" t="str">
        <x:v>逐 Event 置位/恢复、组合顺序、ClearDTC、掉电、满存储；DTC code/status 与 0x19 返回一致。</x:v>
      </x:c>
      <x:c r="K308" s="144" t="str">
        <x:v>coem/BYD_UKE/gen_bsw/Dem/Dem_Cfg_DTC_DataStructures.c:30</x:v>
      </x:c>
    </x:row>
    <x:row r="309" ht="68" customHeight="1">
      <x:c r="A309" s="144" t="str">
        <x:v>DTC</x:v>
      </x:c>
      <x:c r="B309" s="144" t="str">
        <x:v>DTC-005</x:v>
      </x:c>
      <x:c r="C309" s="144" t="str">
        <x:v>DTC_Left_BCM_ALC / 0x5C6602</x:v>
      </x:c>
      <x:c r="D309" s="144" t="str">
        <x:v>2 Event(s): 48,51</x:v>
      </x:c>
      <x:c r="E309" s="144" t="str">
        <x:v>0x19 读取；0x14 清除；会话/安全按服务矩阵</x:v>
      </x:c>
      <x:c r="F309" s="144" t="str">
        <x:v>Severity=NO_SEVERITY; WWH-OBD=UNCLASSIFIED</x:v>
      </x:c>
      <x:c r="G309" s="144" t="str">
        <x:v>UDS DTC=0x5C6602; EventCombination=工程映射；Severity=NO_SEVERITY</x:v>
      </x:c>
      <x:c r="H309" s="144" t="str">
        <x:v>输入为关联 Event 的状态组合，输出为唯一 UDS DTC 状态；组合事件任一变化时须按配置更新，不得丢失 Event 级证据。</x:v>
      </x:c>
      <x:c r="I309" s="144" t="str">
        <x:v>交付 DTC→Event 映射、状态聚合、0x19/0x14 行为和测试脚本。</x:v>
      </x:c>
      <x:c r="J309" s="144" t="str">
        <x:v>逐 Event 置位/恢复、组合顺序、ClearDTC、掉电、满存储；DTC code/status 与 0x19 返回一致。</x:v>
      </x:c>
      <x:c r="K309" s="144" t="str">
        <x:v>coem/BYD_UKE/gen_bsw/Dem/Dem_Cfg_DTC_DataStructures.c:31</x:v>
      </x:c>
    </x:row>
    <x:row r="310" ht="68" customHeight="1">
      <x:c r="A310" s="144" t="str">
        <x:v>DTC</x:v>
      </x:c>
      <x:c r="B310" s="144" t="str">
        <x:v>DTC-006</x:v>
      </x:c>
      <x:c r="C310" s="144" t="str">
        <x:v>DTC_Left_BCM_CRC / 0x5C6762</x:v>
      </x:c>
      <x:c r="D310" s="144" t="str">
        <x:v>2 Event(s): 49,52</x:v>
      </x:c>
      <x:c r="E310" s="144" t="str">
        <x:v>0x19 读取；0x14 清除；会话/安全按服务矩阵</x:v>
      </x:c>
      <x:c r="F310" s="144" t="str">
        <x:v>Severity=NO_SEVERITY; WWH-OBD=UNCLASSIFIED</x:v>
      </x:c>
      <x:c r="G310" s="144" t="str">
        <x:v>UDS DTC=0x5C6762; EventCombination=工程映射；Severity=NO_SEVERITY</x:v>
      </x:c>
      <x:c r="H310" s="144" t="str">
        <x:v>输入为关联 Event 的状态组合，输出为唯一 UDS DTC 状态；组合事件任一变化时须按配置更新，不得丢失 Event 级证据。</x:v>
      </x:c>
      <x:c r="I310" s="144" t="str">
        <x:v>交付 DTC→Event 映射、状态聚合、0x19/0x14 行为和测试脚本。</x:v>
      </x:c>
      <x:c r="J310" s="144" t="str">
        <x:v>逐 Event 置位/恢复、组合顺序、ClearDTC、掉电、满存储；DTC code/status 与 0x19 返回一致。</x:v>
      </x:c>
      <x:c r="K310" s="144" t="str">
        <x:v>coem/BYD_UKE/gen_bsw/Dem/Dem_Cfg_DTC_DataStructures.c:32</x:v>
      </x:c>
    </x:row>
    <x:row r="311" ht="68" customHeight="1">
      <x:c r="A311" s="144" t="str">
        <x:v>DTC</x:v>
      </x:c>
      <x:c r="B311" s="144" t="str">
        <x:v>DTC-007</x:v>
      </x:c>
      <x:c r="C311" s="144" t="str">
        <x:v>DTC_PRODUCTION_MODE_ACTIVE / 0xACD000</x:v>
      </x:c>
      <x:c r="D311" s="144" t="str">
        <x:v>1 Event(s): 5</x:v>
      </x:c>
      <x:c r="E311" s="144" t="str">
        <x:v>0x19 读取；0x14 清除；会话/安全按服务矩阵</x:v>
      </x:c>
      <x:c r="F311" s="144" t="str">
        <x:v>Severity=NO_SEVERITY; WWH-OBD=UNCLASSIFIED</x:v>
      </x:c>
      <x:c r="G311" s="144" t="str">
        <x:v>UDS DTC=0xACD000; EventCombination=工程映射；Severity=NO_SEVERITY</x:v>
      </x:c>
      <x:c r="H311" s="144" t="str">
        <x:v>输入为关联 Event 的状态组合，输出为唯一 UDS DTC 状态；组合事件任一变化时须按配置更新，不得丢失 Event 级证据。</x:v>
      </x:c>
      <x:c r="I311" s="144" t="str">
        <x:v>交付 DTC→Event 映射、状态聚合、0x19/0x14 行为和测试脚本。</x:v>
      </x:c>
      <x:c r="J311" s="144" t="str">
        <x:v>逐 Event 置位/恢复、组合顺序、ClearDTC、掉电、满存储；DTC code/status 与 0x19 返回一致。</x:v>
      </x:c>
      <x:c r="K311" s="144" t="str">
        <x:v>coem/BYD_UKE/gen_bsw/Dem/Dem_Cfg_DTC_DataStructures.c:33</x:v>
      </x:c>
    </x:row>
    <x:row r="312" ht="68" customHeight="1">
      <x:c r="A312" s="144" t="str">
        <x:v>DTC</x:v>
      </x:c>
      <x:c r="B312" s="144" t="str">
        <x:v>DTC-008</x:v>
      </x:c>
      <x:c r="C312" s="144" t="str">
        <x:v>DTC_ALIGNMENT_NEVER_DONE / 0xACD178</x:v>
      </x:c>
      <x:c r="D312" s="144" t="str">
        <x:v>1 Event(s): 1</x:v>
      </x:c>
      <x:c r="E312" s="144" t="str">
        <x:v>0x19 读取；0x14 清除；会话/安全按服务矩阵</x:v>
      </x:c>
      <x:c r="F312" s="144" t="str">
        <x:v>Severity=NO_SEVERITY; WWH-OBD=UNCLASSIFIED</x:v>
      </x:c>
      <x:c r="G312" s="144" t="str">
        <x:v>UDS DTC=0xACD178; EventCombination=工程映射；Severity=NO_SEVERITY</x:v>
      </x:c>
      <x:c r="H312" s="144" t="str">
        <x:v>输入为关联 Event 的状态组合，输出为唯一 UDS DTC 状态；组合事件任一变化时须按配置更新，不得丢失 Event 级证据。</x:v>
      </x:c>
      <x:c r="I312" s="144" t="str">
        <x:v>交付 DTC→Event 映射、状态聚合、0x19/0x14 行为和测试脚本。</x:v>
      </x:c>
      <x:c r="J312" s="144" t="str">
        <x:v>逐 Event 置位/恢复、组合顺序、ClearDTC、掉电、满存储；DTC code/status 与 0x19 返回一致。</x:v>
      </x:c>
      <x:c r="K312" s="144" t="str">
        <x:v>coem/BYD_UKE/gen_bsw/Dem/Dem_Cfg_DTC_DataStructures.c:34</x:v>
      </x:c>
    </x:row>
    <x:row r="313" ht="68" customHeight="1">
      <x:c r="A313" s="144" t="str">
        <x:v>DTC</x:v>
      </x:c>
      <x:c r="B313" s="144" t="str">
        <x:v>DTC-009</x:v>
      </x:c>
      <x:c r="C313" s="144" t="str">
        <x:v>DTC_ALIGNMENT_NOT_OK / 0xACD278</x:v>
      </x:c>
      <x:c r="D313" s="144" t="str">
        <x:v>2 Event(s): 2,6</x:v>
      </x:c>
      <x:c r="E313" s="144" t="str">
        <x:v>0x19 读取；0x14 清除；会话/安全按服务矩阵</x:v>
      </x:c>
      <x:c r="F313" s="144" t="str">
        <x:v>Severity=NO_SEVERITY; WWH-OBD=UNCLASSIFIED</x:v>
      </x:c>
      <x:c r="G313" s="144" t="str">
        <x:v>UDS DTC=0xACD278; EventCombination=工程映射；Severity=NO_SEVERITY</x:v>
      </x:c>
      <x:c r="H313" s="144" t="str">
        <x:v>输入为关联 Event 的状态组合，输出为唯一 UDS DTC 状态；组合事件任一变化时须按配置更新，不得丢失 Event 级证据。</x:v>
      </x:c>
      <x:c r="I313" s="144" t="str">
        <x:v>交付 DTC→Event 映射、状态聚合、0x19/0x14 行为和测试脚本。</x:v>
      </x:c>
      <x:c r="J313" s="144" t="str">
        <x:v>逐 Event 置位/恢复、组合顺序、ClearDTC、掉电、满存储；DTC code/status 与 0x19 返回一致。</x:v>
      </x:c>
      <x:c r="K313" s="144" t="str">
        <x:v>coem/BYD_UKE/gen_bsw/Dem/Dem_Cfg_DTC_DataStructures.c:35</x:v>
      </x:c>
    </x:row>
    <x:row r="314" ht="68" customHeight="1">
      <x:c r="A314" s="144" t="str">
        <x:v>DTC</x:v>
      </x:c>
      <x:c r="B314" s="144" t="str">
        <x:v>DTC-010</x:v>
      </x:c>
      <x:c r="C314" s="144" t="str">
        <x:v>DTC_BOSCH_DRIVETESTACTIVE / 0xACD304</x:v>
      </x:c>
      <x:c r="D314" s="144" t="str">
        <x:v>1 Event(s): 207</x:v>
      </x:c>
      <x:c r="E314" s="144" t="str">
        <x:v>0x19 读取；0x14 清除；会话/安全按服务矩阵</x:v>
      </x:c>
      <x:c r="F314" s="144" t="str">
        <x:v>Severity=NO_SEVERITY; WWH-OBD=UNCLASSIFIED</x:v>
      </x:c>
      <x:c r="G314" s="144" t="str">
        <x:v>UDS DTC=0xACD304; EventCombination=工程映射；Severity=NO_SEVERITY</x:v>
      </x:c>
      <x:c r="H314" s="144" t="str">
        <x:v>输入为关联 Event 的状态组合，输出为唯一 UDS DTC 状态；组合事件任一变化时须按配置更新，不得丢失 Event 级证据。</x:v>
      </x:c>
      <x:c r="I314" s="144" t="str">
        <x:v>交付 DTC→Event 映射、状态聚合、0x19/0x14 行为和测试脚本。</x:v>
      </x:c>
      <x:c r="J314" s="144" t="str">
        <x:v>逐 Event 置位/恢复、组合顺序、ClearDTC、掉电、满存储；DTC code/status 与 0x19 返回一致。</x:v>
      </x:c>
      <x:c r="K314" s="144" t="str">
        <x:v>coem/BYD_UKE/gen_bsw/Dem/Dem_Cfg_DTC_DataStructures.c:36</x:v>
      </x:c>
    </x:row>
    <x:row r="315" ht="68" customHeight="1">
      <x:c r="A315" s="144" t="str">
        <x:v>DTC</x:v>
      </x:c>
      <x:c r="B315" s="144" t="str">
        <x:v>DTC-011</x:v>
      </x:c>
      <x:c r="C315" s="144" t="str">
        <x:v>DTC_FACTORYDATA_FAILURE / 0xACD488</x:v>
      </x:c>
      <x:c r="D315" s="144" t="str">
        <x:v>1 Event(s): 107</x:v>
      </x:c>
      <x:c r="E315" s="144" t="str">
        <x:v>0x19 读取；0x14 清除；会话/安全按服务矩阵</x:v>
      </x:c>
      <x:c r="F315" s="144" t="str">
        <x:v>Severity=NO_SEVERITY; WWH-OBD=UNCLASSIFIED</x:v>
      </x:c>
      <x:c r="G315" s="144" t="str">
        <x:v>UDS DTC=0xACD488; EventCombination=工程映射；Severity=NO_SEVERITY</x:v>
      </x:c>
      <x:c r="H315" s="144" t="str">
        <x:v>输入为关联 Event 的状态组合，输出为唯一 UDS DTC 状态；组合事件任一变化时须按配置更新，不得丢失 Event 级证据。</x:v>
      </x:c>
      <x:c r="I315" s="144" t="str">
        <x:v>交付 DTC→Event 映射、状态聚合、0x19/0x14 行为和测试脚本。</x:v>
      </x:c>
      <x:c r="J315" s="144" t="str">
        <x:v>逐 Event 置位/恢复、组合顺序、ClearDTC、掉电、满存储；DTC code/status 与 0x19 返回一致。</x:v>
      </x:c>
      <x:c r="K315" s="144" t="str">
        <x:v>coem/BYD_UKE/gen_bsw/Dem/Dem_Cfg_DTC_DataStructures.c:37</x:v>
      </x:c>
    </x:row>
    <x:row r="316" ht="68" customHeight="1">
      <x:c r="A316" s="144" t="str">
        <x:v>DTC</x:v>
      </x:c>
      <x:c r="B316" s="144" t="str">
        <x:v>DTC-012</x:v>
      </x:c>
      <x:c r="C316" s="144" t="str">
        <x:v>DTC_HW_UC_PFLASH / 0xACD541</x:v>
      </x:c>
      <x:c r="D316" s="144" t="str">
        <x:v>1 Event(s): 203</x:v>
      </x:c>
      <x:c r="E316" s="144" t="str">
        <x:v>0x19 读取；0x14 清除；会话/安全按服务矩阵</x:v>
      </x:c>
      <x:c r="F316" s="144" t="str">
        <x:v>Severity=NO_SEVERITY; WWH-OBD=UNCLASSIFIED</x:v>
      </x:c>
      <x:c r="G316" s="144" t="str">
        <x:v>UDS DTC=0xACD541; EventCombination=工程映射；Severity=NO_SEVERITY</x:v>
      </x:c>
      <x:c r="H316" s="144" t="str">
        <x:v>输入为关联 Event 的状态组合，输出为唯一 UDS DTC 状态；组合事件任一变化时须按配置更新，不得丢失 Event 级证据。</x:v>
      </x:c>
      <x:c r="I316" s="144" t="str">
        <x:v>交付 DTC→Event 映射、状态聚合、0x19/0x14 行为和测试脚本。</x:v>
      </x:c>
      <x:c r="J316" s="144" t="str">
        <x:v>逐 Event 置位/恢复、组合顺序、ClearDTC、掉电、满存储；DTC code/status 与 0x19 返回一致。</x:v>
      </x:c>
      <x:c r="K316" s="144" t="str">
        <x:v>coem/BYD_UKE/gen_bsw/Dem/Dem_Cfg_DTC_DataStructures.c:38</x:v>
      </x:c>
    </x:row>
    <x:row r="317" ht="68" customHeight="1">
      <x:c r="A317" s="144" t="str">
        <x:v>DTC</x:v>
      </x:c>
      <x:c r="B317" s="144" t="str">
        <x:v>DTC-013</x:v>
      </x:c>
      <x:c r="C317" s="144" t="str">
        <x:v>DTC_INTERNAL_POWER_MANAGEMENT_SYS_FAILURE / 0xACD640</x:v>
      </x:c>
      <x:c r="D317" s="144" t="str">
        <x:v>13 Event(s): 127,128,131,132,135,136,139,140,142,144,145,147,150</x:v>
      </x:c>
      <x:c r="E317" s="144" t="str">
        <x:v>0x19 读取；0x14 清除；会话/安全按服务矩阵</x:v>
      </x:c>
      <x:c r="F317" s="144" t="str">
        <x:v>Severity=NO_SEVERITY; WWH-OBD=UNCLASSIFIED</x:v>
      </x:c>
      <x:c r="G317" s="144" t="str">
        <x:v>UDS DTC=0xACD640; EventCombination=工程映射；Severity=NO_SEVERITY</x:v>
      </x:c>
      <x:c r="H317" s="144" t="str">
        <x:v>输入为关联 Event 的状态组合，输出为唯一 UDS DTC 状态；组合事件任一变化时须按配置更新，不得丢失 Event 级证据。</x:v>
      </x:c>
      <x:c r="I317" s="144" t="str">
        <x:v>交付 DTC→Event 映射、状态聚合、0x19/0x14 行为和测试脚本。</x:v>
      </x:c>
      <x:c r="J317" s="144" t="str">
        <x:v>逐 Event 置位/恢复、组合顺序、ClearDTC、掉电、满存储；DTC code/status 与 0x19 返回一致。</x:v>
      </x:c>
      <x:c r="K317" s="144" t="str">
        <x:v>coem/BYD_UKE/gen_bsw/Dem/Dem_Cfg_DTC_DataStructures.c:39</x:v>
      </x:c>
    </x:row>
    <x:row r="318" ht="68" customHeight="1">
      <x:c r="A318" s="144" t="str">
        <x:v>DTC</x:v>
      </x:c>
      <x:c r="B318" s="144" t="str">
        <x:v>DTC-014</x:v>
      </x:c>
      <x:c r="C318" s="144" t="str">
        <x:v>DTC_INTERNAL_UC_SYS_FAILURE / 0xACD740</x:v>
      </x:c>
      <x:c r="D318" s="144" t="str">
        <x:v>45 Event(s): 106,113,114,115,116,117,118,119,125,156,157,158,159,160,161,162,163,168,169,170,171,172,173,174,175,176,177,178,179,180,181,182,183,184,185,186,189,190,191,192,193,194,195,196,197</x:v>
      </x:c>
      <x:c r="E318" s="144" t="str">
        <x:v>0x19 读取；0x14 清除；会话/安全按服务矩阵</x:v>
      </x:c>
      <x:c r="F318" s="144" t="str">
        <x:v>Severity=NO_SEVERITY; WWH-OBD=UNCLASSIFIED</x:v>
      </x:c>
      <x:c r="G318" s="144" t="str">
        <x:v>UDS DTC=0xACD740; EventCombination=工程映射；Severity=NO_SEVERITY</x:v>
      </x:c>
      <x:c r="H318" s="144" t="str">
        <x:v>输入为关联 Event 的状态组合，输出为唯一 UDS DTC 状态；组合事件任一变化时须按配置更新，不得丢失 Event 级证据。</x:v>
      </x:c>
      <x:c r="I318" s="144" t="str">
        <x:v>交付 DTC→Event 映射、状态聚合、0x19/0x14 行为和测试脚本。</x:v>
      </x:c>
      <x:c r="J318" s="144" t="str">
        <x:v>逐 Event 置位/恢复、组合顺序、ClearDTC、掉电、满存储；DTC code/status 与 0x19 返回一致。</x:v>
      </x:c>
      <x:c r="K318" s="144" t="str">
        <x:v>coem/BYD_UKE/gen_bsw/Dem/Dem_Cfg_DTC_DataStructures.c:40</x:v>
      </x:c>
    </x:row>
    <x:row r="319" ht="68" customHeight="1">
      <x:c r="A319" s="144" t="str">
        <x:v>DTC</x:v>
      </x:c>
      <x:c r="B319" s="144" t="str">
        <x:v>DTC-015</x:v>
      </x:c>
      <x:c r="C319" s="144" t="str">
        <x:v>DTC_INTERNAL_HW_FAILURE / 0xACD804</x:v>
      </x:c>
      <x:c r="D319" s="144" t="str">
        <x:v>4 Event(s): 120,121,122,123</x:v>
      </x:c>
      <x:c r="E319" s="144" t="str">
        <x:v>0x19 读取；0x14 清除；会话/安全按服务矩阵</x:v>
      </x:c>
      <x:c r="F319" s="144" t="str">
        <x:v>Severity=NO_SEVERITY; WWH-OBD=UNCLASSIFIED</x:v>
      </x:c>
      <x:c r="G319" s="144" t="str">
        <x:v>UDS DTC=0xACD804; EventCombination=工程映射；Severity=NO_SEVERITY</x:v>
      </x:c>
      <x:c r="H319" s="144" t="str">
        <x:v>输入为关联 Event 的状态组合，输出为唯一 UDS DTC 状态；组合事件任一变化时须按配置更新，不得丢失 Event 级证据。</x:v>
      </x:c>
      <x:c r="I319" s="144" t="str">
        <x:v>交付 DTC→Event 映射、状态聚合、0x19/0x14 行为和测试脚本。</x:v>
      </x:c>
      <x:c r="J319" s="144" t="str">
        <x:v>逐 Event 置位/恢复、组合顺序、ClearDTC、掉电、满存储；DTC code/status 与 0x19 返回一致。</x:v>
      </x:c>
      <x:c r="K319" s="144" t="str">
        <x:v>coem/BYD_UKE/gen_bsw/Dem/Dem_Cfg_DTC_DataStructures.c:41</x:v>
      </x:c>
    </x:row>
    <x:row r="320" ht="68" customHeight="1">
      <x:c r="A320" s="144" t="str">
        <x:v>DTC</x:v>
      </x:c>
      <x:c r="B320" s="144" t="str">
        <x:v>DTC-016</x:v>
      </x:c>
      <x:c r="C320" s="144" t="str">
        <x:v>DTC_POWER_MANAGEMENT_CHIP_VOLTAGE_HIGH / 0xACD917</x:v>
      </x:c>
      <x:c r="D320" s="144" t="str">
        <x:v>6 Event(s): 126,130,134,138,143,148</x:v>
      </x:c>
      <x:c r="E320" s="144" t="str">
        <x:v>0x19 读取；0x14 清除；会话/安全按服务矩阵</x:v>
      </x:c>
      <x:c r="F320" s="144" t="str">
        <x:v>Severity=NO_SEVERITY; WWH-OBD=UNCLASSIFIED</x:v>
      </x:c>
      <x:c r="G320" s="144" t="str">
        <x:v>UDS DTC=0xACD917; EventCombination=工程映射；Severity=NO_SEVERITY</x:v>
      </x:c>
      <x:c r="H320" s="144" t="str">
        <x:v>输入为关联 Event 的状态组合，输出为唯一 UDS DTC 状态；组合事件任一变化时须按配置更新，不得丢失 Event 级证据。</x:v>
      </x:c>
      <x:c r="I320" s="144" t="str">
        <x:v>交付 DTC→Event 映射、状态聚合、0x19/0x14 行为和测试脚本。</x:v>
      </x:c>
      <x:c r="J320" s="144" t="str">
        <x:v>逐 Event 置位/恢复、组合顺序、ClearDTC、掉电、满存储；DTC code/status 与 0x19 返回一致。</x:v>
      </x:c>
      <x:c r="K320" s="144" t="str">
        <x:v>coem/BYD_UKE/gen_bsw/Dem/Dem_Cfg_DTC_DataStructures.c:42</x:v>
      </x:c>
    </x:row>
    <x:row r="321" ht="68" customHeight="1">
      <x:c r="A321" s="144" t="str">
        <x:v>DTC</x:v>
      </x:c>
      <x:c r="B321" s="144" t="str">
        <x:v>DTC-017</x:v>
      </x:c>
      <x:c r="C321" s="144" t="str">
        <x:v>DTC_MMIC_VOLTAGE_HIGH / 0xACDA17</x:v>
      </x:c>
      <x:c r="D321" s="144" t="str">
        <x:v>1 Event(s): 210</x:v>
      </x:c>
      <x:c r="E321" s="144" t="str">
        <x:v>0x19 读取；0x14 清除；会话/安全按服务矩阵</x:v>
      </x:c>
      <x:c r="F321" s="144" t="str">
        <x:v>Severity=NO_SEVERITY; WWH-OBD=UNCLASSIFIED</x:v>
      </x:c>
      <x:c r="G321" s="144" t="str">
        <x:v>UDS DTC=0xACDA17; EventCombination=工程映射；Severity=NO_SEVERITY</x:v>
      </x:c>
      <x:c r="H321" s="144" t="str">
        <x:v>输入为关联 Event 的状态组合，输出为唯一 UDS DTC 状态；组合事件任一变化时须按配置更新，不得丢失 Event 级证据。</x:v>
      </x:c>
      <x:c r="I321" s="144" t="str">
        <x:v>交付 DTC→Event 映射、状态聚合、0x19/0x14 行为和测试脚本。</x:v>
      </x:c>
      <x:c r="J321" s="144" t="str">
        <x:v>逐 Event 置位/恢复、组合顺序、ClearDTC、掉电、满存储；DTC code/status 与 0x19 返回一致。</x:v>
      </x:c>
      <x:c r="K321" s="144" t="str">
        <x:v>coem/BYD_UKE/gen_bsw/Dem/Dem_Cfg_DTC_DataStructures.c:43</x:v>
      </x:c>
    </x:row>
    <x:row r="322" ht="68" customHeight="1">
      <x:c r="A322" s="144" t="str">
        <x:v>DTC</x:v>
      </x:c>
      <x:c r="B322" s="144" t="str">
        <x:v>DTC-018</x:v>
      </x:c>
      <x:c r="C322" s="144" t="str">
        <x:v>DTC_POWER_MANAGEMENT_CHIP_VOLTAGE_LOW / 0xACDB16</x:v>
      </x:c>
      <x:c r="D322" s="144" t="str">
        <x:v>6 Event(s): 129,133,137,141,146,149</x:v>
      </x:c>
      <x:c r="E322" s="144" t="str">
        <x:v>0x19 读取；0x14 清除；会话/安全按服务矩阵</x:v>
      </x:c>
      <x:c r="F322" s="144" t="str">
        <x:v>Severity=NO_SEVERITY; WWH-OBD=UNCLASSIFIED</x:v>
      </x:c>
      <x:c r="G322" s="144" t="str">
        <x:v>UDS DTC=0xACDB16; EventCombination=工程映射；Severity=NO_SEVERITY</x:v>
      </x:c>
      <x:c r="H322" s="144" t="str">
        <x:v>输入为关联 Event 的状态组合，输出为唯一 UDS DTC 状态；组合事件任一变化时须按配置更新，不得丢失 Event 级证据。</x:v>
      </x:c>
      <x:c r="I322" s="144" t="str">
        <x:v>交付 DTC→Event 映射、状态聚合、0x19/0x14 行为和测试脚本。</x:v>
      </x:c>
      <x:c r="J322" s="144" t="str">
        <x:v>逐 Event 置位/恢复、组合顺序、ClearDTC、掉电、满存储；DTC code/status 与 0x19 返回一致。</x:v>
      </x:c>
      <x:c r="K322" s="144" t="str">
        <x:v>coem/BYD_UKE/gen_bsw/Dem/Dem_Cfg_DTC_DataStructures.c:44</x:v>
      </x:c>
    </x:row>
    <x:row r="323" ht="68" customHeight="1">
      <x:c r="A323" s="144" t="str">
        <x:v>DTC</x:v>
      </x:c>
      <x:c r="B323" s="144" t="str">
        <x:v>DTC-019</x:v>
      </x:c>
      <x:c r="C323" s="144" t="str">
        <x:v>DTC_MMIC_VOLTAGE_LOW / 0xACDC16</x:v>
      </x:c>
      <x:c r="D323" s="144" t="str">
        <x:v>1 Event(s): 211</x:v>
      </x:c>
      <x:c r="E323" s="144" t="str">
        <x:v>0x19 读取；0x14 清除；会话/安全按服务矩阵</x:v>
      </x:c>
      <x:c r="F323" s="144" t="str">
        <x:v>Severity=NO_SEVERITY; WWH-OBD=UNCLASSIFIED</x:v>
      </x:c>
      <x:c r="G323" s="144" t="str">
        <x:v>UDS DTC=0xACDC16; EventCombination=工程映射；Severity=NO_SEVERITY</x:v>
      </x:c>
      <x:c r="H323" s="144" t="str">
        <x:v>输入为关联 Event 的状态组合，输出为唯一 UDS DTC 状态；组合事件任一变化时须按配置更新，不得丢失 Event 级证据。</x:v>
      </x:c>
      <x:c r="I323" s="144" t="str">
        <x:v>交付 DTC→Event 映射、状态聚合、0x19/0x14 行为和测试脚本。</x:v>
      </x:c>
      <x:c r="J323" s="144" t="str">
        <x:v>逐 Event 置位/恢复、组合顺序、ClearDTC、掉电、满存储；DTC code/status 与 0x19 返回一致。</x:v>
      </x:c>
      <x:c r="K323" s="144" t="str">
        <x:v>coem/BYD_UKE/gen_bsw/Dem/Dem_Cfg_DTC_DataStructures.c:45</x:v>
      </x:c>
    </x:row>
    <x:row r="324" ht="68" customHeight="1">
      <x:c r="A324" s="144" t="str">
        <x:v>DTC</x:v>
      </x:c>
      <x:c r="B324" s="144" t="str">
        <x:v>DTC-020</x:v>
      </x:c>
      <x:c r="C324" s="144" t="str">
        <x:v>DTC_RADAR_MODULATION_CONFIGURE / 0xACDD00</x:v>
      </x:c>
      <x:c r="D324" s="144" t="str">
        <x:v>1 Event(s): 215</x:v>
      </x:c>
      <x:c r="E324" s="144" t="str">
        <x:v>0x19 读取；0x14 清除；会话/安全按服务矩阵</x:v>
      </x:c>
      <x:c r="F324" s="144" t="str">
        <x:v>Severity=NO_SEVERITY; WWH-OBD=UNCLASSIFIED</x:v>
      </x:c>
      <x:c r="G324" s="144" t="str">
        <x:v>UDS DTC=0xACDD00; EventCombination=工程映射；Severity=NO_SEVERITY</x:v>
      </x:c>
      <x:c r="H324" s="144" t="str">
        <x:v>输入为关联 Event 的状态组合，输出为唯一 UDS DTC 状态；组合事件任一变化时须按配置更新，不得丢失 Event 级证据。</x:v>
      </x:c>
      <x:c r="I324" s="144" t="str">
        <x:v>交付 DTC→Event 映射、状态聚合、0x19/0x14 行为和测试脚本。</x:v>
      </x:c>
      <x:c r="J324" s="144" t="str">
        <x:v>逐 Event 置位/恢复、组合顺序、ClearDTC、掉电、满存储；DTC code/status 与 0x19 返回一致。</x:v>
      </x:c>
      <x:c r="K324" s="144" t="str">
        <x:v>coem/BYD_UKE/gen_bsw/Dem/Dem_Cfg_DTC_DataStructures.c:46</x:v>
      </x:c>
    </x:row>
    <x:row r="325" ht="68" customHeight="1">
      <x:c r="A325" s="144" t="str">
        <x:v>DTC</x:v>
      </x:c>
      <x:c r="B325" s="144" t="str">
        <x:v>DTC-021</x:v>
      </x:c>
      <x:c r="C325" s="144" t="str">
        <x:v>DTC_RADAR_MODULATION / 0xACDE00</x:v>
      </x:c>
      <x:c r="D325" s="144" t="str">
        <x:v>1 Event(s): 214</x:v>
      </x:c>
      <x:c r="E325" s="144" t="str">
        <x:v>0x19 读取；0x14 清除；会话/安全按服务矩阵</x:v>
      </x:c>
      <x:c r="F325" s="144" t="str">
        <x:v>Severity=NO_SEVERITY; WWH-OBD=UNCLASSIFIED</x:v>
      </x:c>
      <x:c r="G325" s="144" t="str">
        <x:v>UDS DTC=0xACDE00; EventCombination=工程映射；Severity=NO_SEVERITY</x:v>
      </x:c>
      <x:c r="H325" s="144" t="str">
        <x:v>输入为关联 Event 的状态组合，输出为唯一 UDS DTC 状态；组合事件任一变化时须按配置更新，不得丢失 Event 级证据。</x:v>
      </x:c>
      <x:c r="I325" s="144" t="str">
        <x:v>交付 DTC→Event 映射、状态聚合、0x19/0x14 行为和测试脚本。</x:v>
      </x:c>
      <x:c r="J325" s="144" t="str">
        <x:v>逐 Event 置位/恢复、组合顺序、ClearDTC、掉电、满存储；DTC code/status 与 0x19 返回一致。</x:v>
      </x:c>
      <x:c r="K325" s="144" t="str">
        <x:v>coem/BYD_UKE/gen_bsw/Dem/Dem_Cfg_DTC_DataStructures.c:47</x:v>
      </x:c>
    </x:row>
    <x:row r="326" ht="68" customHeight="1">
      <x:c r="A326" s="144" t="str">
        <x:v>DTC</x:v>
      </x:c>
      <x:c r="B326" s="144" t="str">
        <x:v>DTC-022</x:v>
      </x:c>
      <x:c r="C326" s="144" t="str">
        <x:v>DTC_SW_FAILURE / 0xACDF52</x:v>
      </x:c>
      <x:c r="D326" s="144" t="str">
        <x:v>3 Event(s): 124,165,166</x:v>
      </x:c>
      <x:c r="E326" s="144" t="str">
        <x:v>0x19 读取；0x14 清除；会话/安全按服务矩阵</x:v>
      </x:c>
      <x:c r="F326" s="144" t="str">
        <x:v>Severity=NO_SEVERITY; WWH-OBD=UNCLASSIFIED</x:v>
      </x:c>
      <x:c r="G326" s="144" t="str">
        <x:v>UDS DTC=0xACDF52; EventCombination=工程映射；Severity=NO_SEVERITY</x:v>
      </x:c>
      <x:c r="H326" s="144" t="str">
        <x:v>输入为关联 Event 的状态组合，输出为唯一 UDS DTC 状态；组合事件任一变化时须按配置更新，不得丢失 Event 级证据。</x:v>
      </x:c>
      <x:c r="I326" s="144" t="str">
        <x:v>交付 DTC→Event 映射、状态聚合、0x19/0x14 行为和测试脚本。</x:v>
      </x:c>
      <x:c r="J326" s="144" t="str">
        <x:v>逐 Event 置位/恢复、组合顺序、ClearDTC、掉电、满存储；DTC code/status 与 0x19 返回一致。</x:v>
      </x:c>
      <x:c r="K326" s="144" t="str">
        <x:v>coem/BYD_UKE/gen_bsw/Dem/Dem_Cfg_DTC_DataStructures.c:48</x:v>
      </x:c>
    </x:row>
    <x:row r="327" ht="68" customHeight="1">
      <x:c r="A327" s="144" t="str">
        <x:v>DTC</x:v>
      </x:c>
      <x:c r="B327" s="144" t="str">
        <x:v>DTC-023</x:v>
      </x:c>
      <x:c r="C327" s="144" t="str">
        <x:v>DTC_SW_RIF_FAILURE / 0xACE000</x:v>
      </x:c>
      <x:c r="D327" s="144" t="str">
        <x:v>1 Event(s): 213</x:v>
      </x:c>
      <x:c r="E327" s="144" t="str">
        <x:v>0x19 读取；0x14 清除；会话/安全按服务矩阵</x:v>
      </x:c>
      <x:c r="F327" s="144" t="str">
        <x:v>Severity=NO_SEVERITY; WWH-OBD=UNCLASSIFIED</x:v>
      </x:c>
      <x:c r="G327" s="144" t="str">
        <x:v>UDS DTC=0xACE000; EventCombination=工程映射；Severity=NO_SEVERITY</x:v>
      </x:c>
      <x:c r="H327" s="144" t="str">
        <x:v>输入为关联 Event 的状态组合，输出为唯一 UDS DTC 状态；组合事件任一变化时须按配置更新，不得丢失 Event 级证据。</x:v>
      </x:c>
      <x:c r="I327" s="144" t="str">
        <x:v>交付 DTC→Event 映射、状态聚合、0x19/0x14 行为和测试脚本。</x:v>
      </x:c>
      <x:c r="J327" s="144" t="str">
        <x:v>逐 Event 置位/恢复、组合顺序、ClearDTC、掉电、满存储；DTC code/status 与 0x19 返回一致。</x:v>
      </x:c>
      <x:c r="K327" s="144" t="str">
        <x:v>coem/BYD_UKE/gen_bsw/Dem/Dem_Cfg_DTC_DataStructures.c:49</x:v>
      </x:c>
    </x:row>
    <x:row r="328" ht="68" customHeight="1">
      <x:c r="A328" s="144" t="str">
        <x:v>DTC</x:v>
      </x:c>
      <x:c r="B328" s="144" t="str">
        <x:v>DTC-024</x:v>
      </x:c>
      <x:c r="C328" s="144" t="str">
        <x:v>DTC_SW_TEMP_FAILURE / 0xACE152</x:v>
      </x:c>
      <x:c r="D328" s="144" t="str">
        <x:v>1 Event(s): 208</x:v>
      </x:c>
      <x:c r="E328" s="144" t="str">
        <x:v>0x19 读取；0x14 清除；会话/安全按服务矩阵</x:v>
      </x:c>
      <x:c r="F328" s="144" t="str">
        <x:v>Severity=NO_SEVERITY; WWH-OBD=UNCLASSIFIED</x:v>
      </x:c>
      <x:c r="G328" s="144" t="str">
        <x:v>UDS DTC=0xACE152; EventCombination=工程映射；Severity=NO_SEVERITY</x:v>
      </x:c>
      <x:c r="H328" s="144" t="str">
        <x:v>输入为关联 Event 的状态组合，输出为唯一 UDS DTC 状态；组合事件任一变化时须按配置更新，不得丢失 Event 级证据。</x:v>
      </x:c>
      <x:c r="I328" s="144" t="str">
        <x:v>交付 DTC→Event 映射、状态聚合、0x19/0x14 行为和测试脚本。</x:v>
      </x:c>
      <x:c r="J328" s="144" t="str">
        <x:v>逐 Event 置位/恢复、组合顺序、ClearDTC、掉电、满存储；DTC code/status 与 0x19 返回一致。</x:v>
      </x:c>
      <x:c r="K328" s="144" t="str">
        <x:v>coem/BYD_UKE/gen_bsw/Dem/Dem_Cfg_DTC_DataStructures.c:50</x:v>
      </x:c>
    </x:row>
    <x:row r="329" ht="68" customHeight="1">
      <x:c r="A329" s="144" t="str">
        <x:v>DTC</x:v>
      </x:c>
      <x:c r="B329" s="144" t="str">
        <x:v>DTC-025</x:v>
      </x:c>
      <x:c r="C329" s="144" t="str">
        <x:v>DTC_UC_TEMPERATURE_OUTOFRANGE / 0xACE24B</x:v>
      </x:c>
      <x:c r="D329" s="144" t="str">
        <x:v>5 Event(s): 198,199,200,201,202</x:v>
      </x:c>
      <x:c r="E329" s="144" t="str">
        <x:v>0x19 读取；0x14 清除；会话/安全按服务矩阵</x:v>
      </x:c>
      <x:c r="F329" s="144" t="str">
        <x:v>Severity=NO_SEVERITY; WWH-OBD=UNCLASSIFIED</x:v>
      </x:c>
      <x:c r="G329" s="144" t="str">
        <x:v>UDS DTC=0xACE24B; EventCombination=工程映射；Severity=NO_SEVERITY</x:v>
      </x:c>
      <x:c r="H329" s="144" t="str">
        <x:v>输入为关联 Event 的状态组合，输出为唯一 UDS DTC 状态；组合事件任一变化时须按配置更新，不得丢失 Event 级证据。</x:v>
      </x:c>
      <x:c r="I329" s="144" t="str">
        <x:v>交付 DTC→Event 映射、状态聚合、0x19/0x14 行为和测试脚本。</x:v>
      </x:c>
      <x:c r="J329" s="144" t="str">
        <x:v>逐 Event 置位/恢复、组合顺序、ClearDTC、掉电、满存储；DTC code/status 与 0x19 返回一致。</x:v>
      </x:c>
      <x:c r="K329" s="144" t="str">
        <x:v>coem/BYD_UKE/gen_bsw/Dem/Dem_Cfg_DTC_DataStructures.c:51</x:v>
      </x:c>
    </x:row>
    <x:row r="330" ht="68" customHeight="1">
      <x:c r="A330" s="144" t="str">
        <x:v>DTC</x:v>
      </x:c>
      <x:c r="B330" s="144" t="str">
        <x:v>DTC-026</x:v>
      </x:c>
      <x:c r="C330" s="144" t="str">
        <x:v>DTC_MMIC_TEMPERATURE_OVER_MAXIMUM / 0xACE34B</x:v>
      </x:c>
      <x:c r="D330" s="144" t="str">
        <x:v>1 Event(s): 209</x:v>
      </x:c>
      <x:c r="E330" s="144" t="str">
        <x:v>0x19 读取；0x14 清除；会话/安全按服务矩阵</x:v>
      </x:c>
      <x:c r="F330" s="144" t="str">
        <x:v>Severity=NO_SEVERITY; WWH-OBD=UNCLASSIFIED</x:v>
      </x:c>
      <x:c r="G330" s="144" t="str">
        <x:v>UDS DTC=0xACE34B; EventCombination=工程映射；Severity=NO_SEVERITY</x:v>
      </x:c>
      <x:c r="H330" s="144" t="str">
        <x:v>输入为关联 Event 的状态组合，输出为唯一 UDS DTC 状态；组合事件任一变化时须按配置更新，不得丢失 Event 级证据。</x:v>
      </x:c>
      <x:c r="I330" s="144" t="str">
        <x:v>交付 DTC→Event 映射、状态聚合、0x19/0x14 行为和测试脚本。</x:v>
      </x:c>
      <x:c r="J330" s="144" t="str">
        <x:v>逐 Event 置位/恢复、组合顺序、ClearDTC、掉电、满存储；DTC code/status 与 0x19 返回一致。</x:v>
      </x:c>
      <x:c r="K330" s="144" t="str">
        <x:v>coem/BYD_UKE/gen_bsw/Dem/Dem_Cfg_DTC_DataStructures.c:52</x:v>
      </x:c>
    </x:row>
    <x:row r="331" ht="68" customHeight="1">
      <x:c r="A331" s="144" t="str">
        <x:v>DTC</x:v>
      </x:c>
      <x:c r="B331" s="144" t="str">
        <x:v>DTC-027</x:v>
      </x:c>
      <x:c r="C331" s="144" t="str">
        <x:v>DTC_MMIC_TEMPERATURE_OVER_OPERATION / 0xACE44B</x:v>
      </x:c>
      <x:c r="D331" s="144" t="str">
        <x:v>1 Event(s): 217</x:v>
      </x:c>
      <x:c r="E331" s="144" t="str">
        <x:v>0x19 读取；0x14 清除；会话/安全按服务矩阵</x:v>
      </x:c>
      <x:c r="F331" s="144" t="str">
        <x:v>Severity=NO_SEVERITY; WWH-OBD=UNCLASSIFIED</x:v>
      </x:c>
      <x:c r="G331" s="144" t="str">
        <x:v>UDS DTC=0xACE44B; EventCombination=工程映射；Severity=NO_SEVERITY</x:v>
      </x:c>
      <x:c r="H331" s="144" t="str">
        <x:v>输入为关联 Event 的状态组合，输出为唯一 UDS DTC 状态；组合事件任一变化时须按配置更新，不得丢失 Event 级证据。</x:v>
      </x:c>
      <x:c r="I331" s="144" t="str">
        <x:v>交付 DTC→Event 映射、状态聚合、0x19/0x14 行为和测试脚本。</x:v>
      </x:c>
      <x:c r="J331" s="144" t="str">
        <x:v>逐 Event 置位/恢复、组合顺序、ClearDTC、掉电、满存储；DTC code/status 与 0x19 返回一致。</x:v>
      </x:c>
      <x:c r="K331" s="144" t="str">
        <x:v>coem/BYD_UKE/gen_bsw/Dem/Dem_Cfg_DTC_DataStructures.c:53</x:v>
      </x:c>
    </x:row>
    <x:row r="332" ht="68" customHeight="1">
      <x:c r="A332" s="144" t="str">
        <x:v>DTC</x:v>
      </x:c>
      <x:c r="B332" s="144" t="str">
        <x:v>DTC-028</x:v>
      </x:c>
      <x:c r="C332" s="144" t="str">
        <x:v>DTC_ADC_SELF_TEST_FAILURE / 0xACE500</x:v>
      </x:c>
      <x:c r="D332" s="144" t="str">
        <x:v>6 Event(s): 96,97,98,99,100,101</x:v>
      </x:c>
      <x:c r="E332" s="144" t="str">
        <x:v>0x19 读取；0x14 清除；会话/安全按服务矩阵</x:v>
      </x:c>
      <x:c r="F332" s="144" t="str">
        <x:v>Severity=NO_SEVERITY; WWH-OBD=UNCLASSIFIED</x:v>
      </x:c>
      <x:c r="G332" s="144" t="str">
        <x:v>UDS DTC=0xACE500; EventCombination=工程映射；Severity=NO_SEVERITY</x:v>
      </x:c>
      <x:c r="H332" s="144" t="str">
        <x:v>输入为关联 Event 的状态组合，输出为唯一 UDS DTC 状态；组合事件任一变化时须按配置更新，不得丢失 Event 级证据。</x:v>
      </x:c>
      <x:c r="I332" s="144" t="str">
        <x:v>交付 DTC→Event 映射、状态聚合、0x19/0x14 行为和测试脚本。</x:v>
      </x:c>
      <x:c r="J332" s="144" t="str">
        <x:v>逐 Event 置位/恢复、组合顺序、ClearDTC、掉电、满存储；DTC code/status 与 0x19 返回一致。</x:v>
      </x:c>
      <x:c r="K332" s="144" t="str">
        <x:v>coem/BYD_UKE/gen_bsw/Dem/Dem_Cfg_DTC_DataStructures.c:54</x:v>
      </x:c>
    </x:row>
    <x:row r="333" ht="68" customHeight="1">
      <x:c r="A333" s="144" t="str">
        <x:v>DTC</x:v>
      </x:c>
      <x:c r="B333" s="144" t="str">
        <x:v>DTC-029</x:v>
      </x:c>
      <x:c r="C333" s="144" t="str">
        <x:v>DTC_NVM_EOL_NO_VAR / 0xACE655</x:v>
      </x:c>
      <x:c r="D333" s="144" t="str">
        <x:v>1 Event(s): 8</x:v>
      </x:c>
      <x:c r="E333" s="144" t="str">
        <x:v>0x19 读取；0x14 清除；会话/安全按服务矩阵</x:v>
      </x:c>
      <x:c r="F333" s="144" t="str">
        <x:v>Severity=NO_SEVERITY; WWH-OBD=UNCLASSIFIED</x:v>
      </x:c>
      <x:c r="G333" s="144" t="str">
        <x:v>UDS DTC=0xACE655; EventCombination=工程映射；Severity=NO_SEVERITY</x:v>
      </x:c>
      <x:c r="H333" s="144" t="str">
        <x:v>输入为关联 Event 的状态组合，输出为唯一 UDS DTC 状态；组合事件任一变化时须按配置更新，不得丢失 Event 级证据。</x:v>
      </x:c>
      <x:c r="I333" s="144" t="str">
        <x:v>交付 DTC→Event 映射、状态聚合、0x19/0x14 行为和测试脚本。</x:v>
      </x:c>
      <x:c r="J333" s="144" t="str">
        <x:v>逐 Event 置位/恢复、组合顺序、ClearDTC、掉电、满存储；DTC code/status 与 0x19 返回一致。</x:v>
      </x:c>
      <x:c r="K333" s="144" t="str">
        <x:v>coem/BYD_UKE/gen_bsw/Dem/Dem_Cfg_DTC_DataStructures.c:55</x:v>
      </x:c>
    </x:row>
    <x:row r="334" ht="68" customHeight="1">
      <x:c r="A334" s="144" t="str">
        <x:v>DTC</x:v>
      </x:c>
      <x:c r="B334" s="144" t="str">
        <x:v>DTC-030</x:v>
      </x:c>
      <x:c r="C334" s="144" t="str">
        <x:v>DTC_CUDA_Invalid / 0xACE791</x:v>
      </x:c>
      <x:c r="D334" s="144" t="str">
        <x:v>1 Event(s): 108</x:v>
      </x:c>
      <x:c r="E334" s="144" t="str">
        <x:v>0x19 读取；0x14 清除；会话/安全按服务矩阵</x:v>
      </x:c>
      <x:c r="F334" s="144" t="str">
        <x:v>Severity=NO_SEVERITY; WWH-OBD=UNCLASSIFIED</x:v>
      </x:c>
      <x:c r="G334" s="144" t="str">
        <x:v>UDS DTC=0xACE791; EventCombination=工程映射；Severity=NO_SEVERITY</x:v>
      </x:c>
      <x:c r="H334" s="144" t="str">
        <x:v>输入为关联 Event 的状态组合，输出为唯一 UDS DTC 状态；组合事件任一变化时须按配置更新，不得丢失 Event 级证据。</x:v>
      </x:c>
      <x:c r="I334" s="144" t="str">
        <x:v>交付 DTC→Event 映射、状态聚合、0x19/0x14 行为和测试脚本。</x:v>
      </x:c>
      <x:c r="J334" s="144" t="str">
        <x:v>逐 Event 置位/恢复、组合顺序、ClearDTC、掉电、满存储；DTC code/status 与 0x19 返回一致。</x:v>
      </x:c>
      <x:c r="K334" s="144" t="str">
        <x:v>coem/BYD_UKE/gen_bsw/Dem/Dem_Cfg_DTC_DataStructures.c:56</x:v>
      </x:c>
    </x:row>
    <x:row r="335" ht="68" customHeight="1">
      <x:c r="A335" s="144" t="str">
        <x:v>DTC</x:v>
      </x:c>
      <x:c r="B335" s="144" t="str">
        <x:v>DTC-031</x:v>
      </x:c>
      <x:c r="C335" s="144" t="str">
        <x:v>DTC_SYS_BLIND / 0xACE876</x:v>
      </x:c>
      <x:c r="D335" s="144" t="str">
        <x:v>2 Event(s): 103,105</x:v>
      </x:c>
      <x:c r="E335" s="144" t="str">
        <x:v>0x19 读取；0x14 清除；会话/安全按服务矩阵</x:v>
      </x:c>
      <x:c r="F335" s="144" t="str">
        <x:v>Severity=NO_SEVERITY; WWH-OBD=UNCLASSIFIED</x:v>
      </x:c>
      <x:c r="G335" s="144" t="str">
        <x:v>UDS DTC=0xACE876; EventCombination=工程映射；Severity=NO_SEVERITY</x:v>
      </x:c>
      <x:c r="H335" s="144" t="str">
        <x:v>输入为关联 Event 的状态组合，输出为唯一 UDS DTC 状态；组合事件任一变化时须按配置更新，不得丢失 Event 级证据。</x:v>
      </x:c>
      <x:c r="I335" s="144" t="str">
        <x:v>交付 DTC→Event 映射、状态聚合、0x19/0x14 行为和测试脚本。</x:v>
      </x:c>
      <x:c r="J335" s="144" t="str">
        <x:v>逐 Event 置位/恢复、组合顺序、ClearDTC、掉电、满存储；DTC code/status 与 0x19 返回一致。</x:v>
      </x:c>
      <x:c r="K335" s="144" t="str">
        <x:v>coem/BYD_UKE/gen_bsw/Dem/Dem_Cfg_DTC_DataStructures.c:57</x:v>
      </x:c>
    </x:row>
    <x:row r="336" ht="68" customHeight="1">
      <x:c r="A336" s="144" t="str">
        <x:v>DTC</x:v>
      </x:c>
      <x:c r="B336" s="144" t="str">
        <x:v>DTC-032</x:v>
      </x:c>
      <x:c r="C336" s="144" t="str">
        <x:v>DTC_SENSOR_BLIND / 0xACE976</x:v>
      </x:c>
      <x:c r="D336" s="144" t="str">
        <x:v>1 Event(s): 205</x:v>
      </x:c>
      <x:c r="E336" s="144" t="str">
        <x:v>0x19 读取；0x14 清除；会话/安全按服务矩阵</x:v>
      </x:c>
      <x:c r="F336" s="144" t="str">
        <x:v>Severity=NO_SEVERITY; WWH-OBD=UNCLASSIFIED</x:v>
      </x:c>
      <x:c r="G336" s="144" t="str">
        <x:v>UDS DTC=0xACE976; EventCombination=工程映射；Severity=NO_SEVERITY</x:v>
      </x:c>
      <x:c r="H336" s="144" t="str">
        <x:v>输入为关联 Event 的状态组合，输出为唯一 UDS DTC 状态；组合事件任一变化时须按配置更新，不得丢失 Event 级证据。</x:v>
      </x:c>
      <x:c r="I336" s="144" t="str">
        <x:v>交付 DTC→Event 映射、状态聚合、0x19/0x14 行为和测试脚本。</x:v>
      </x:c>
      <x:c r="J336" s="144" t="str">
        <x:v>逐 Event 置位/恢复、组合顺序、ClearDTC、掉电、满存储；DTC code/status 与 0x19 返回一致。</x:v>
      </x:c>
      <x:c r="K336" s="144" t="str">
        <x:v>coem/BYD_UKE/gen_bsw/Dem/Dem_Cfg_DTC_DataStructures.c:58</x:v>
      </x:c>
    </x:row>
    <x:row r="337" ht="68" customHeight="1">
      <x:c r="A337" s="144" t="str">
        <x:v>DTC</x:v>
      </x:c>
      <x:c r="B337" s="144" t="str">
        <x:v>DTC-033</x:v>
      </x:c>
      <x:c r="C337" s="144" t="str">
        <x:v>DTC_HORIZONTAL_MISALIGNED / 0xACEB94</x:v>
      </x:c>
      <x:c r="D337" s="144" t="str">
        <x:v>1 Event(s): 3</x:v>
      </x:c>
      <x:c r="E337" s="144" t="str">
        <x:v>0x19 读取；0x14 清除；会话/安全按服务矩阵</x:v>
      </x:c>
      <x:c r="F337" s="144" t="str">
        <x:v>Severity=NO_SEVERITY; WWH-OBD=UNCLASSIFIED</x:v>
      </x:c>
      <x:c r="G337" s="144" t="str">
        <x:v>UDS DTC=0xACEB94; EventCombination=工程映射；Severity=NO_SEVERITY</x:v>
      </x:c>
      <x:c r="H337" s="144" t="str">
        <x:v>输入为关联 Event 的状态组合，输出为唯一 UDS DTC 状态；组合事件任一变化时须按配置更新，不得丢失 Event 级证据。</x:v>
      </x:c>
      <x:c r="I337" s="144" t="str">
        <x:v>交付 DTC→Event 映射、状态聚合、0x19/0x14 行为和测试脚本。</x:v>
      </x:c>
      <x:c r="J337" s="144" t="str">
        <x:v>逐 Event 置位/恢复、组合顺序、ClearDTC、掉电、满存储；DTC code/status 与 0x19 返回一致。</x:v>
      </x:c>
      <x:c r="K337" s="144" t="str">
        <x:v>coem/BYD_UKE/gen_bsw/Dem/Dem_Cfg_DTC_DataStructures.c:59</x:v>
      </x:c>
    </x:row>
    <x:row r="338" ht="68" customHeight="1">
      <x:c r="A338" s="144" t="str">
        <x:v>DTC</x:v>
      </x:c>
      <x:c r="B338" s="144" t="str">
        <x:v>DTC-034</x:v>
      </x:c>
      <x:c r="C338" s="144" t="str">
        <x:v>DTC_AntennaDiagram_INVALID / 0xACED00</x:v>
      </x:c>
      <x:c r="D338" s="144" t="str">
        <x:v>1 Event(s): 102</x:v>
      </x:c>
      <x:c r="E338" s="144" t="str">
        <x:v>0x19 读取；0x14 清除；会话/安全按服务矩阵</x:v>
      </x:c>
      <x:c r="F338" s="144" t="str">
        <x:v>Severity=NO_SEVERITY; WWH-OBD=UNCLASSIFIED</x:v>
      </x:c>
      <x:c r="G338" s="144" t="str">
        <x:v>UDS DTC=0xACED00; EventCombination=工程映射；Severity=NO_SEVERITY</x:v>
      </x:c>
      <x:c r="H338" s="144" t="str">
        <x:v>输入为关联 Event 的状态组合，输出为唯一 UDS DTC 状态；组合事件任一变化时须按配置更新，不得丢失 Event 级证据。</x:v>
      </x:c>
      <x:c r="I338" s="144" t="str">
        <x:v>交付 DTC→Event 映射、状态聚合、0x19/0x14 行为和测试脚本。</x:v>
      </x:c>
      <x:c r="J338" s="144" t="str">
        <x:v>逐 Event 置位/恢复、组合顺序、ClearDTC、掉电、满存储；DTC code/status 与 0x19 返回一致。</x:v>
      </x:c>
      <x:c r="K338" s="144" t="str">
        <x:v>coem/BYD_UKE/gen_bsw/Dem/Dem_Cfg_DTC_DataStructures.c:60</x:v>
      </x:c>
    </x:row>
    <x:row r="339" ht="68" customHeight="1">
      <x:c r="A339" s="144" t="str">
        <x:v>DTC</x:v>
      </x:c>
      <x:c r="B339" s="144" t="str">
        <x:v>DTC-035</x:v>
      </x:c>
      <x:c r="C339" s="144" t="str">
        <x:v>DTC_Time_SYNC_FAIL / 0xACEE00</x:v>
      </x:c>
      <x:c r="D339" s="144" t="str">
        <x:v>3 Event(s): 110,111,112</x:v>
      </x:c>
      <x:c r="E339" s="144" t="str">
        <x:v>0x19 读取；0x14 清除；会话/安全按服务矩阵</x:v>
      </x:c>
      <x:c r="F339" s="144" t="str">
        <x:v>Severity=NO_SEVERITY; WWH-OBD=UNCLASSIFIED</x:v>
      </x:c>
      <x:c r="G339" s="144" t="str">
        <x:v>UDS DTC=0xACEE00; EventCombination=工程映射；Severity=NO_SEVERITY</x:v>
      </x:c>
      <x:c r="H339" s="144" t="str">
        <x:v>输入为关联 Event 的状态组合，输出为唯一 UDS DTC 状态；组合事件任一变化时须按配置更新，不得丢失 Event 级证据。</x:v>
      </x:c>
      <x:c r="I339" s="144" t="str">
        <x:v>交付 DTC→Event 映射、状态聚合、0x19/0x14 行为和测试脚本。</x:v>
      </x:c>
      <x:c r="J339" s="144" t="str">
        <x:v>逐 Event 置位/恢复、组合顺序、ClearDTC、掉电、满存储；DTC code/status 与 0x19 返回一致。</x:v>
      </x:c>
      <x:c r="K339" s="144" t="str">
        <x:v>coem/BYD_UKE/gen_bsw/Dem/Dem_Cfg_DTC_DataStructures.c:61</x:v>
      </x:c>
    </x:row>
    <x:row r="340" ht="68" customHeight="1">
      <x:c r="A340" s="144" t="str">
        <x:v>DTC</x:v>
      </x:c>
      <x:c r="B340" s="144" t="str">
        <x:v>DTC-036</x:v>
      </x:c>
      <x:c r="C340" s="144" t="str">
        <x:v>DTC_Modulation_OFF / 0xACEF00</x:v>
      </x:c>
      <x:c r="D340" s="144" t="str">
        <x:v>1 Event(s): 204</x:v>
      </x:c>
      <x:c r="E340" s="144" t="str">
        <x:v>0x19 读取；0x14 清除；会话/安全按服务矩阵</x:v>
      </x:c>
      <x:c r="F340" s="144" t="str">
        <x:v>Severity=NO_SEVERITY; WWH-OBD=UNCLASSIFIED</x:v>
      </x:c>
      <x:c r="G340" s="144" t="str">
        <x:v>UDS DTC=0xACEF00; EventCombination=工程映射；Severity=NO_SEVERITY</x:v>
      </x:c>
      <x:c r="H340" s="144" t="str">
        <x:v>输入为关联 Event 的状态组合，输出为唯一 UDS DTC 状态；组合事件任一变化时须按配置更新，不得丢失 Event 级证据。</x:v>
      </x:c>
      <x:c r="I340" s="144" t="str">
        <x:v>交付 DTC→Event 映射、状态聚合、0x19/0x14 行为和测试脚本。</x:v>
      </x:c>
      <x:c r="J340" s="144" t="str">
        <x:v>逐 Event 置位/恢复、组合顺序、ClearDTC、掉电、满存储；DTC code/status 与 0x19 返回一致。</x:v>
      </x:c>
      <x:c r="K340" s="144" t="str">
        <x:v>coem/BYD_UKE/gen_bsw/Dem/Dem_Cfg_DTC_DataStructures.c:62</x:v>
      </x:c>
    </x:row>
    <x:row r="341" ht="68" customHeight="1">
      <x:c r="A341" s="144" t="str">
        <x:v>DTC</x:v>
      </x:c>
      <x:c r="B341" s="144" t="str">
        <x:v>DTC-037</x:v>
      </x:c>
      <x:c r="C341" s="144" t="str">
        <x:v>DTC_PCAN_BUSOFF / 0xC07388</x:v>
      </x:c>
      <x:c r="D341" s="144" t="str">
        <x:v>2 Event(s): 4,62</x:v>
      </x:c>
      <x:c r="E341" s="144" t="str">
        <x:v>0x19 读取；0x14 清除；会话/安全按服务矩阵</x:v>
      </x:c>
      <x:c r="F341" s="144" t="str">
        <x:v>Severity=NO_SEVERITY; WWH-OBD=UNCLASSIFIED</x:v>
      </x:c>
      <x:c r="G341" s="144" t="str">
        <x:v>UDS DTC=0xC07388; EventCombination=工程映射；Severity=NO_SEVERITY</x:v>
      </x:c>
      <x:c r="H341" s="144" t="str">
        <x:v>输入为关联 Event 的状态组合，输出为唯一 UDS DTC 状态；组合事件任一变化时须按配置更新，不得丢失 Event 级证据。</x:v>
      </x:c>
      <x:c r="I341" s="144" t="str">
        <x:v>交付 DTC→Event 映射、状态聚合、0x19/0x14 行为和测试脚本。</x:v>
      </x:c>
      <x:c r="J341" s="144" t="str">
        <x:v>逐 Event 置位/恢复、组合顺序、ClearDTC、掉电、满存储；DTC code/status 与 0x19 返回一致。</x:v>
      </x:c>
      <x:c r="K341" s="144" t="str">
        <x:v>coem/BYD_UKE/gen_bsw/Dem/Dem_Cfg_DTC_DataStructures.c:63</x:v>
      </x:c>
    </x:row>
    <x:row r="342" ht="68" customHeight="1">
      <x:c r="A342" s="144" t="str">
        <x:v>DTC</x:v>
      </x:c>
      <x:c r="B342" s="144" t="str">
        <x:v>DTC-038</x:v>
      </x:c>
      <x:c r="C342" s="144" t="str">
        <x:v>DTC_EPS_TIMEOUT / 0xC13187</x:v>
      </x:c>
      <x:c r="D342" s="144" t="str">
        <x:v>1 Event(s): 11</x:v>
      </x:c>
      <x:c r="E342" s="144" t="str">
        <x:v>0x19 读取；0x14 清除；会话/安全按服务矩阵</x:v>
      </x:c>
      <x:c r="F342" s="144" t="str">
        <x:v>Severity=NO_SEVERITY; WWH-OBD=UNCLASSIFIED</x:v>
      </x:c>
      <x:c r="G342" s="144" t="str">
        <x:v>UDS DTC=0xC13187; EventCombination=工程映射；Severity=NO_SEVERITY</x:v>
      </x:c>
      <x:c r="H342" s="144" t="str">
        <x:v>输入为关联 Event 的状态组合，输出为唯一 UDS DTC 状态；组合事件任一变化时须按配置更新，不得丢失 Event 级证据。</x:v>
      </x:c>
      <x:c r="I342" s="144" t="str">
        <x:v>交付 DTC→Event 映射、状态聚合、0x19/0x14 行为和测试脚本。</x:v>
      </x:c>
      <x:c r="J342" s="144" t="str">
        <x:v>逐 Event 置位/恢复、组合顺序、ClearDTC、掉电、满存储；DTC code/status 与 0x19 返回一致。</x:v>
      </x:c>
      <x:c r="K342" s="144" t="str">
        <x:v>coem/BYD_UKE/gen_bsw/Dem/Dem_Cfg_DTC_DataStructures.c:64</x:v>
      </x:c>
    </x:row>
    <x:row r="343" ht="68" customHeight="1">
      <x:c r="A343" s="144" t="str">
        <x:v>DTC</x:v>
      </x:c>
      <x:c r="B343" s="144" t="str">
        <x:v>DTC-039</x:v>
      </x:c>
      <x:c r="C343" s="144" t="str">
        <x:v>DTC_IPB_TIMEOUT / 0xC19780</x:v>
      </x:c>
      <x:c r="D343" s="144" t="str">
        <x:v>6 Event(s): 14,17,20,23,26,29</x:v>
      </x:c>
      <x:c r="E343" s="144" t="str">
        <x:v>0x19 读取；0x14 清除；会话/安全按服务矩阵</x:v>
      </x:c>
      <x:c r="F343" s="144" t="str">
        <x:v>Severity=NO_SEVERITY; WWH-OBD=UNCLASSIFIED</x:v>
      </x:c>
      <x:c r="G343" s="144" t="str">
        <x:v>UDS DTC=0xC19780; EventCombination=工程映射；Severity=NO_SEVERITY</x:v>
      </x:c>
      <x:c r="H343" s="144" t="str">
        <x:v>输入为关联 Event 的状态组合，输出为唯一 UDS DTC 状态；组合事件任一变化时须按配置更新，不得丢失 Event 级证据。</x:v>
      </x:c>
      <x:c r="I343" s="144" t="str">
        <x:v>交付 DTC→Event 映射、状态聚合、0x19/0x14 行为和测试脚本。</x:v>
      </x:c>
      <x:c r="J343" s="144" t="str">
        <x:v>逐 Event 置位/恢复、组合顺序、ClearDTC、掉电、满存储；DTC code/status 与 0x19 返回一致。</x:v>
      </x:c>
      <x:c r="K343" s="144" t="str">
        <x:v>coem/BYD_UKE/gen_bsw/Dem/Dem_Cfg_DTC_DataStructures.c:65</x:v>
      </x:c>
    </x:row>
    <x:row r="344" ht="68" customHeight="1">
      <x:c r="A344" s="144" t="str">
        <x:v>DTC</x:v>
      </x:c>
      <x:c r="B344" s="144" t="str">
        <x:v>DTC-040</x:v>
      </x:c>
      <x:c r="C344" s="144" t="str">
        <x:v>DTC_Left_BCM_TIMEOUT / 0xC1A887</x:v>
      </x:c>
      <x:c r="D344" s="144" t="str">
        <x:v>3 Event(s): 47,50,53</x:v>
      </x:c>
      <x:c r="E344" s="144" t="str">
        <x:v>0x19 读取；0x14 清除；会话/安全按服务矩阵</x:v>
      </x:c>
      <x:c r="F344" s="144" t="str">
        <x:v>Severity=NO_SEVERITY; WWH-OBD=UNCLASSIFIED</x:v>
      </x:c>
      <x:c r="G344" s="144" t="str">
        <x:v>UDS DTC=0xC1A887; EventCombination=工程映射；Severity=NO_SEVERITY</x:v>
      </x:c>
      <x:c r="H344" s="144" t="str">
        <x:v>输入为关联 Event 的状态组合，输出为唯一 UDS DTC 状态；组合事件任一变化时须按配置更新，不得丢失 Event 级证据。</x:v>
      </x:c>
      <x:c r="I344" s="144" t="str">
        <x:v>交付 DTC→Event 映射、状态聚合、0x19/0x14 行为和测试脚本。</x:v>
      </x:c>
      <x:c r="J344" s="144" t="str">
        <x:v>逐 Event 置位/恢复、组合顺序、ClearDTC、掉电、满存储；DTC code/status 与 0x19 返回一致。</x:v>
      </x:c>
      <x:c r="K344" s="144" t="str">
        <x:v>coem/BYD_UKE/gen_bsw/Dem/Dem_Cfg_DTC_DataStructures.c:66</x:v>
      </x:c>
    </x:row>
    <x:row r="345" ht="68" customHeight="1">
      <x:c r="A345" s="144" t="str">
        <x:v>DTC</x:v>
      </x:c>
      <x:c r="B345" s="144" t="str">
        <x:v>DTC-041</x:v>
      </x:c>
      <x:c r="C345" s="144" t="str">
        <x:v>DTC_VCU_SIGNAL_INVALID / 0xC1D529</x:v>
      </x:c>
      <x:c r="D345" s="144" t="str">
        <x:v>3 Event(s): 71,72,73</x:v>
      </x:c>
      <x:c r="E345" s="144" t="str">
        <x:v>0x19 读取；0x14 清除；会话/安全按服务矩阵</x:v>
      </x:c>
      <x:c r="F345" s="144" t="str">
        <x:v>Severity=NO_SEVERITY; WWH-OBD=UNCLASSIFIED</x:v>
      </x:c>
      <x:c r="G345" s="144" t="str">
        <x:v>UDS DTC=0xC1D529; EventCombination=工程映射；Severity=NO_SEVERITY</x:v>
      </x:c>
      <x:c r="H345" s="144" t="str">
        <x:v>输入为关联 Event 的状态组合，输出为唯一 UDS DTC 状态；组合事件任一变化时须按配置更新，不得丢失 Event 级证据。</x:v>
      </x:c>
      <x:c r="I345" s="144" t="str">
        <x:v>交付 DTC→Event 映射、状态聚合、0x19/0x14 行为和测试脚本。</x:v>
      </x:c>
      <x:c r="J345" s="144" t="str">
        <x:v>逐 Event 置位/恢复、组合顺序、ClearDTC、掉电、满存储；DTC code/status 与 0x19 返回一致。</x:v>
      </x:c>
      <x:c r="K345" s="144" t="str">
        <x:v>coem/BYD_UKE/gen_bsw/Dem/Dem_Cfg_DTC_DataStructures.c:67</x:v>
      </x:c>
    </x:row>
    <x:row r="346" ht="68" customHeight="1">
      <x:c r="A346" s="144" t="str">
        <x:v>DTC</x:v>
      </x:c>
      <x:c r="B346" s="144" t="str">
        <x:v>DTC-042</x:v>
      </x:c>
      <x:c r="C346" s="144" t="str">
        <x:v>DTC_SFCAN_BUSOFF / 0xC1D788</x:v>
      </x:c>
      <x:c r="D346" s="144" t="str">
        <x:v>2 Event(s): 7,63</x:v>
      </x:c>
      <x:c r="E346" s="144" t="str">
        <x:v>0x19 读取；0x14 清除；会话/安全按服务矩阵</x:v>
      </x:c>
      <x:c r="F346" s="144" t="str">
        <x:v>Severity=NO_SEVERITY; WWH-OBD=UNCLASSIFIED</x:v>
      </x:c>
      <x:c r="G346" s="144" t="str">
        <x:v>UDS DTC=0xC1D788; EventCombination=工程映射；Severity=NO_SEVERITY</x:v>
      </x:c>
      <x:c r="H346" s="144" t="str">
        <x:v>输入为关联 Event 的状态组合，输出为唯一 UDS DTC 状态；组合事件任一变化时须按配置更新，不得丢失 Event 级证据。</x:v>
      </x:c>
      <x:c r="I346" s="144" t="str">
        <x:v>交付 DTC→Event 映射、状态聚合、0x19/0x14 行为和测试脚本。</x:v>
      </x:c>
      <x:c r="J346" s="144" t="str">
        <x:v>逐 Event 置位/恢复、组合顺序、ClearDTC、掉电、满存储；DTC code/status 与 0x19 返回一致。</x:v>
      </x:c>
      <x:c r="K346" s="144" t="str">
        <x:v>coem/BYD_UKE/gen_bsw/Dem/Dem_Cfg_DTC_DataStructures.c:68</x:v>
      </x:c>
    </x:row>
    <x:row r="347" ht="68" customHeight="1">
      <x:c r="A347" s="144" t="str">
        <x:v>DTC</x:v>
      </x:c>
      <x:c r="B347" s="144" t="str">
        <x:v>DTC-043</x:v>
      </x:c>
      <x:c r="C347" s="144" t="str">
        <x:v>DTC_CMRR_DACORE_OOS / 0xC1D829</x:v>
      </x:c>
      <x:c r="D347" s="144" t="str">
        <x:v>2 Event(s): 187,188</x:v>
      </x:c>
      <x:c r="E347" s="144" t="str">
        <x:v>0x19 读取；0x14 清除；会话/安全按服务矩阵</x:v>
      </x:c>
      <x:c r="F347" s="144" t="str">
        <x:v>Severity=NO_SEVERITY; WWH-OBD=UNCLASSIFIED</x:v>
      </x:c>
      <x:c r="G347" s="144" t="str">
        <x:v>UDS DTC=0xC1D829; EventCombination=工程映射；Severity=NO_SEVERITY</x:v>
      </x:c>
      <x:c r="H347" s="144" t="str">
        <x:v>输入为关联 Event 的状态组合，输出为唯一 UDS DTC 状态；组合事件任一变化时须按配置更新，不得丢失 Event 级证据。</x:v>
      </x:c>
      <x:c r="I347" s="144" t="str">
        <x:v>交付 DTC→Event 映射、状态聚合、0x19/0x14 行为和测试脚本。</x:v>
      </x:c>
      <x:c r="J347" s="144" t="str">
        <x:v>逐 Event 置位/恢复、组合顺序、ClearDTC、掉电、满存储；DTC code/status 与 0x19 返回一致。</x:v>
      </x:c>
      <x:c r="K347" s="144" t="str">
        <x:v>coem/BYD_UKE/gen_bsw/Dem/Dem_Cfg_DTC_DataStructures.c:69</x:v>
      </x:c>
    </x:row>
    <x:row r="348" ht="68" customHeight="1">
      <x:c r="A348" s="144" t="str">
        <x:v>DTC</x:v>
      </x:c>
      <x:c r="B348" s="144" t="str">
        <x:v>DTC-044</x:v>
      </x:c>
      <x:c r="C348" s="144" t="str">
        <x:v>DTC_Private_Can_ALC / 0xC1EA82</x:v>
      </x:c>
      <x:c r="D348" s="144" t="str">
        <x:v>7 Event(s): 77,80,83,86,88,90,93</x:v>
      </x:c>
      <x:c r="E348" s="144" t="str">
        <x:v>0x19 读取；0x14 清除；会话/安全按服务矩阵</x:v>
      </x:c>
      <x:c r="F348" s="144" t="str">
        <x:v>Severity=NO_SEVERITY; WWH-OBD=UNCLASSIFIED</x:v>
      </x:c>
      <x:c r="G348" s="144" t="str">
        <x:v>UDS DTC=0xC1EA82; EventCombination=工程映射；Severity=NO_SEVERITY</x:v>
      </x:c>
      <x:c r="H348" s="144" t="str">
        <x:v>输入为关联 Event 的状态组合，输出为唯一 UDS DTC 状态；组合事件任一变化时须按配置更新，不得丢失 Event 级证据。</x:v>
      </x:c>
      <x:c r="I348" s="144" t="str">
        <x:v>交付 DTC→Event 映射、状态聚合、0x19/0x14 行为和测试脚本。</x:v>
      </x:c>
      <x:c r="J348" s="144" t="str">
        <x:v>逐 Event 置位/恢复、组合顺序、ClearDTC、掉电、满存储；DTC code/status 与 0x19 返回一致。</x:v>
      </x:c>
      <x:c r="K348" s="144" t="str">
        <x:v>coem/BYD_UKE/gen_bsw/Dem/Dem_Cfg_DTC_DataStructures.c:70</x:v>
      </x:c>
    </x:row>
    <x:row r="349" ht="68" customHeight="1">
      <x:c r="A349" s="144" t="str">
        <x:v>DTC</x:v>
      </x:c>
      <x:c r="B349" s="144" t="str">
        <x:v>DTC-045</x:v>
      </x:c>
      <x:c r="C349" s="144" t="str">
        <x:v>DTC_Private_Can_CRC / 0xC1EA83</x:v>
      </x:c>
      <x:c r="D349" s="144" t="str">
        <x:v>7 Event(s): 78,81,84,87,89,91,94</x:v>
      </x:c>
      <x:c r="E349" s="144" t="str">
        <x:v>0x19 读取；0x14 清除；会话/安全按服务矩阵</x:v>
      </x:c>
      <x:c r="F349" s="144" t="str">
        <x:v>Severity=NO_SEVERITY; WWH-OBD=UNCLASSIFIED</x:v>
      </x:c>
      <x:c r="G349" s="144" t="str">
        <x:v>UDS DTC=0xC1EA83; EventCombination=工程映射；Severity=NO_SEVERITY</x:v>
      </x:c>
      <x:c r="H349" s="144" t="str">
        <x:v>输入为关联 Event 的状态组合，输出为唯一 UDS DTC 状态；组合事件任一变化时须按配置更新，不得丢失 Event 级证据。</x:v>
      </x:c>
      <x:c r="I349" s="144" t="str">
        <x:v>交付 DTC→Event 映射、状态聚合、0x19/0x14 行为和测试脚本。</x:v>
      </x:c>
      <x:c r="J349" s="144" t="str">
        <x:v>逐 Event 置位/恢复、组合顺序、ClearDTC、掉电、满存储；DTC code/status 与 0x19 返回一致。</x:v>
      </x:c>
      <x:c r="K349" s="144" t="str">
        <x:v>coem/BYD_UKE/gen_bsw/Dem/Dem_Cfg_DTC_DataStructures.c:71</x:v>
      </x:c>
    </x:row>
    <x:row r="350" ht="68" customHeight="1">
      <x:c r="A350" s="144" t="str">
        <x:v>DTC</x:v>
      </x:c>
      <x:c r="B350" s="144" t="str">
        <x:v>DTC-046</x:v>
      </x:c>
      <x:c r="C350" s="144" t="str">
        <x:v>DTC_Private_Can_TIMEOUT / 0xC1EA87</x:v>
      </x:c>
      <x:c r="D350" s="144" t="str">
        <x:v>6 Event(s): 79,82,85,92,95,164</x:v>
      </x:c>
      <x:c r="E350" s="144" t="str">
        <x:v>0x19 读取；0x14 清除；会话/安全按服务矩阵</x:v>
      </x:c>
      <x:c r="F350" s="144" t="str">
        <x:v>Severity=NO_SEVERITY; WWH-OBD=UNCLASSIFIED</x:v>
      </x:c>
      <x:c r="G350" s="144" t="str">
        <x:v>UDS DTC=0xC1EA87; EventCombination=工程映射；Severity=NO_SEVERITY</x:v>
      </x:c>
      <x:c r="H350" s="144" t="str">
        <x:v>输入为关联 Event 的状态组合，输出为唯一 UDS DTC 状态；组合事件任一变化时须按配置更新，不得丢失 Event 级证据。</x:v>
      </x:c>
      <x:c r="I350" s="144" t="str">
        <x:v>交付 DTC→Event 映射、状态聚合、0x19/0x14 行为和测试脚本。</x:v>
      </x:c>
      <x:c r="J350" s="144" t="str">
        <x:v>逐 Event 置位/恢复、组合顺序、ClearDTC、掉电、满存储；DTC code/status 与 0x19 返回一致。</x:v>
      </x:c>
      <x:c r="K350" s="144" t="str">
        <x:v>coem/BYD_UKE/gen_bsw/Dem/Dem_Cfg_DTC_DataStructures.c:72</x:v>
      </x:c>
    </x:row>
    <x:row r="351" ht="68" customHeight="1">
      <x:c r="A351" s="144" t="str">
        <x:v>DTC</x:v>
      </x:c>
      <x:c r="B351" s="144" t="str">
        <x:v>DTC-047</x:v>
      </x:c>
      <x:c r="C351" s="144" t="str">
        <x:v>DTC_Media_TIMEOUT / 0xC24500</x:v>
      </x:c>
      <x:c r="D351" s="144" t="str">
        <x:v>2 Event(s): 74,75</x:v>
      </x:c>
      <x:c r="E351" s="144" t="str">
        <x:v>0x19 读取；0x14 清除；会话/安全按服务矩阵</x:v>
      </x:c>
      <x:c r="F351" s="144" t="str">
        <x:v>Severity=NO_SEVERITY; WWH-OBD=UNCLASSIFIED</x:v>
      </x:c>
      <x:c r="G351" s="144" t="str">
        <x:v>UDS DTC=0xC24500; EventCombination=工程映射；Severity=NO_SEVERITY</x:v>
      </x:c>
      <x:c r="H351" s="144" t="str">
        <x:v>输入为关联 Event 的状态组合，输出为唯一 UDS DTC 状态；组合事件任一变化时须按配置更新，不得丢失 Event 级证据。</x:v>
      </x:c>
      <x:c r="I351" s="144" t="str">
        <x:v>交付 DTC→Event 映射、状态聚合、0x19/0x14 行为和测试脚本。</x:v>
      </x:c>
      <x:c r="J351" s="144" t="str">
        <x:v>逐 Event 置位/恢复、组合顺序、ClearDTC、掉电、满存储；DTC code/status 与 0x19 返回一致。</x:v>
      </x:c>
      <x:c r="K351" s="144" t="str">
        <x:v>coem/BYD_UKE/gen_bsw/Dem/Dem_Cfg_DTC_DataStructures.c:73</x:v>
      </x:c>
    </x:row>
    <x:row r="352" ht="68" customHeight="1">
      <x:c r="A352" s="144" t="str">
        <x:v>DTC</x:v>
      </x:c>
      <x:c r="B352" s="144" t="str">
        <x:v>DTC-048</x:v>
      </x:c>
      <x:c r="C352" s="144" t="str">
        <x:v>DTC_Media_CRC / 0xC2ED83</x:v>
      </x:c>
      <x:c r="D352" s="144" t="str">
        <x:v>1 Event(s): 76</x:v>
      </x:c>
      <x:c r="E352" s="144" t="str">
        <x:v>0x19 读取；0x14 清除；会话/安全按服务矩阵</x:v>
      </x:c>
      <x:c r="F352" s="144" t="str">
        <x:v>Severity=NO_SEVERITY; WWH-OBD=UNCLASSIFIED</x:v>
      </x:c>
      <x:c r="G352" s="144" t="str">
        <x:v>UDS DTC=0xC2ED83; EventCombination=工程映射；Severity=NO_SEVERITY</x:v>
      </x:c>
      <x:c r="H352" s="144" t="str">
        <x:v>输入为关联 Event 的状态组合，输出为唯一 UDS DTC 状态；组合事件任一变化时须按配置更新，不得丢失 Event 级证据。</x:v>
      </x:c>
      <x:c r="I352" s="144" t="str">
        <x:v>交付 DTC→Event 映射、状态聚合、0x19/0x14 行为和测试脚本。</x:v>
      </x:c>
      <x:c r="J352" s="144" t="str">
        <x:v>逐 Event 置位/恢复、组合顺序、ClearDTC、掉电、满存储；DTC code/status 与 0x19 返回一致。</x:v>
      </x:c>
      <x:c r="K352" s="144" t="str">
        <x:v>coem/BYD_UKE/gen_bsw/Dem/Dem_Cfg_DTC_DataStructures.c:74</x:v>
      </x:c>
    </x:row>
    <x:row r="353" ht="68" customHeight="1">
      <x:c r="A353" s="144" t="str">
        <x:v>DTC</x:v>
      </x:c>
      <x:c r="B353" s="144" t="str">
        <x:v>DTC-049</x:v>
      </x:c>
      <x:c r="C353" s="144" t="str">
        <x:v>DTC_EPS_ALC / 0xC42082</x:v>
      </x:c>
      <x:c r="D353" s="144" t="str">
        <x:v>1 Event(s): 9</x:v>
      </x:c>
      <x:c r="E353" s="144" t="str">
        <x:v>0x19 读取；0x14 清除；会话/安全按服务矩阵</x:v>
      </x:c>
      <x:c r="F353" s="144" t="str">
        <x:v>Severity=NO_SEVERITY; WWH-OBD=UNCLASSIFIED</x:v>
      </x:c>
      <x:c r="G353" s="144" t="str">
        <x:v>UDS DTC=0xC42082; EventCombination=工程映射；Severity=NO_SEVERITY</x:v>
      </x:c>
      <x:c r="H353" s="144" t="str">
        <x:v>输入为关联 Event 的状态组合，输出为唯一 UDS DTC 状态；组合事件任一变化时须按配置更新，不得丢失 Event 级证据。</x:v>
      </x:c>
      <x:c r="I353" s="144" t="str">
        <x:v>交付 DTC→Event 映射、状态聚合、0x19/0x14 行为和测试脚本。</x:v>
      </x:c>
      <x:c r="J353" s="144" t="str">
        <x:v>逐 Event 置位/恢复、组合顺序、ClearDTC、掉电、满存储；DTC code/status 与 0x19 返回一致。</x:v>
      </x:c>
      <x:c r="K353" s="144" t="str">
        <x:v>coem/BYD_UKE/gen_bsw/Dem/Dem_Cfg_DTC_DataStructures.c:75</x:v>
      </x:c>
    </x:row>
    <x:row r="354" ht="68" customHeight="1">
      <x:c r="A354" s="144" t="str">
        <x:v>DTC</x:v>
      </x:c>
      <x:c r="B354" s="144" t="str">
        <x:v>DTC-050</x:v>
      </x:c>
      <x:c r="C354" s="144" t="str">
        <x:v>DTC_EPS_CRC / 0xC42083</x:v>
      </x:c>
      <x:c r="D354" s="144" t="str">
        <x:v>1 Event(s): 10</x:v>
      </x:c>
      <x:c r="E354" s="144" t="str">
        <x:v>0x19 读取；0x14 清除；会话/安全按服务矩阵</x:v>
      </x:c>
      <x:c r="F354" s="144" t="str">
        <x:v>Severity=NO_SEVERITY; WWH-OBD=UNCLASSIFIED</x:v>
      </x:c>
      <x:c r="G354" s="144" t="str">
        <x:v>UDS DTC=0xC42083; EventCombination=工程映射；Severity=NO_SEVERITY</x:v>
      </x:c>
      <x:c r="H354" s="144" t="str">
        <x:v>输入为关联 Event 的状态组合，输出为唯一 UDS DTC 状态；组合事件任一变化时须按配置更新，不得丢失 Event 级证据。</x:v>
      </x:c>
      <x:c r="I354" s="144" t="str">
        <x:v>交付 DTC→Event 映射、状态聚合、0x19/0x14 行为和测试脚本。</x:v>
      </x:c>
      <x:c r="J354" s="144" t="str">
        <x:v>逐 Event 置位/恢复、组合顺序、ClearDTC、掉电、满存储；DTC code/status 与 0x19 返回一致。</x:v>
      </x:c>
      <x:c r="K354" s="144" t="str">
        <x:v>coem/BYD_UKE/gen_bsw/Dem/Dem_Cfg_DTC_DataStructures.c:76</x:v>
      </x:c>
    </x:row>
    <x:row r="355" ht="68" customHeight="1">
      <x:c r="A355" s="144" t="str">
        <x:v>DTC</x:v>
      </x:c>
      <x:c r="B355" s="144" t="str">
        <x:v>DTC-051</x:v>
      </x:c>
      <x:c r="C355" s="144" t="str">
        <x:v>DTC_EPS_SIGNAL_INVALID / 0xD01786</x:v>
      </x:c>
      <x:c r="D355" s="144" t="str">
        <x:v>2 Event(s): 64,65</x:v>
      </x:c>
      <x:c r="E355" s="144" t="str">
        <x:v>0x19 读取；0x14 清除；会话/安全按服务矩阵</x:v>
      </x:c>
      <x:c r="F355" s="144" t="str">
        <x:v>Severity=NO_SEVERITY; WWH-OBD=UNCLASSIFIED</x:v>
      </x:c>
      <x:c r="G355" s="144" t="str">
        <x:v>UDS DTC=0xD01786; EventCombination=工程映射；Severity=NO_SEVERITY</x:v>
      </x:c>
      <x:c r="H355" s="144" t="str">
        <x:v>输入为关联 Event 的状态组合，输出为唯一 UDS DTC 状态；组合事件任一变化时须按配置更新，不得丢失 Event 级证据。</x:v>
      </x:c>
      <x:c r="I355" s="144" t="str">
        <x:v>交付 DTC→Event 映射、状态聚合、0x19/0x14 行为和测试脚本。</x:v>
      </x:c>
      <x:c r="J355" s="144" t="str">
        <x:v>逐 Event 置位/恢复、组合顺序、ClearDTC、掉电、满存储；DTC code/status 与 0x19 返回一致。</x:v>
      </x:c>
      <x:c r="K355" s="144" t="str">
        <x:v>coem/BYD_UKE/gen_bsw/Dem/Dem_Cfg_DTC_DataStructures.c:77</x:v>
      </x:c>
    </x:row>
    <x:row r="356" ht="68" customHeight="1">
      <x:c r="A356" s="144" t="str">
        <x:v>DTC</x:v>
      </x:c>
      <x:c r="B356" s="144" t="str">
        <x:v>DTC-052</x:v>
      </x:c>
      <x:c r="C356" s="144" t="str">
        <x:v>DTC_MRR_TIMEOUT / 0xD02E87</x:v>
      </x:c>
      <x:c r="D356" s="144" t="str">
        <x:v>1 Event(s): 206</x:v>
      </x:c>
      <x:c r="E356" s="144" t="str">
        <x:v>0x19 读取；0x14 清除；会话/安全按服务矩阵</x:v>
      </x:c>
      <x:c r="F356" s="144" t="str">
        <x:v>Severity=NO_SEVERITY; WWH-OBD=UNCLASSIFIED</x:v>
      </x:c>
      <x:c r="G356" s="144" t="str">
        <x:v>UDS DTC=0xD02E87; EventCombination=工程映射；Severity=NO_SEVERITY</x:v>
      </x:c>
      <x:c r="H356" s="144" t="str">
        <x:v>输入为关联 Event 的状态组合，输出为唯一 UDS DTC 状态；组合事件任一变化时须按配置更新，不得丢失 Event 级证据。</x:v>
      </x:c>
      <x:c r="I356" s="144" t="str">
        <x:v>交付 DTC→Event 映射、状态聚合、0x19/0x14 行为和测试脚本。</x:v>
      </x:c>
      <x:c r="J356" s="144" t="str">
        <x:v>逐 Event 置位/恢复、组合顺序、ClearDTC、掉电、满存储；DTC code/status 与 0x19 返回一致。</x:v>
      </x:c>
      <x:c r="K356" s="144" t="str">
        <x:v>coem/BYD_UKE/gen_bsw/Dem/Dem_Cfg_DTC_DataStructures.c:78</x:v>
      </x:c>
    </x:row>
    <x:row r="357" ht="68" customHeight="1">
      <x:c r="A357" s="144" t="str">
        <x:v>DTC</x:v>
      </x:c>
      <x:c r="B357" s="144" t="str">
        <x:v>DTC-053</x:v>
      </x:c>
      <x:c r="C357" s="144" t="str">
        <x:v>DTC_MRR_ALC / 0xD0B818</x:v>
      </x:c>
      <x:c r="D357" s="144" t="str">
        <x:v>1 Event(s): 216</x:v>
      </x:c>
      <x:c r="E357" s="144" t="str">
        <x:v>0x19 读取；0x14 清除；会话/安全按服务矩阵</x:v>
      </x:c>
      <x:c r="F357" s="144" t="str">
        <x:v>Severity=NO_SEVERITY; WWH-OBD=UNCLASSIFIED</x:v>
      </x:c>
      <x:c r="G357" s="144" t="str">
        <x:v>UDS DTC=0xD0B818; EventCombination=工程映射；Severity=NO_SEVERITY</x:v>
      </x:c>
      <x:c r="H357" s="144" t="str">
        <x:v>输入为关联 Event 的状态组合，输出为唯一 UDS DTC 状态；组合事件任一变化时须按配置更新，不得丢失 Event 级证据。</x:v>
      </x:c>
      <x:c r="I357" s="144" t="str">
        <x:v>交付 DTC→Event 映射、状态聚合、0x19/0x14 行为和测试脚本。</x:v>
      </x:c>
      <x:c r="J357" s="144" t="str">
        <x:v>逐 Event 置位/恢复、组合顺序、ClearDTC、掉电、满存储；DTC code/status 与 0x19 返回一致。</x:v>
      </x:c>
      <x:c r="K357" s="144" t="str">
        <x:v>coem/BYD_UKE/gen_bsw/Dem/Dem_Cfg_DTC_DataStructures.c:79</x:v>
      </x:c>
    </x:row>
    <x:row r="358" ht="68" customHeight="1">
      <x:c r="A358" s="144" t="str">
        <x:v>DTC</x:v>
      </x:c>
      <x:c r="B358" s="144" t="str">
        <x:v>DTC-054</x:v>
      </x:c>
      <x:c r="C358" s="144" t="str">
        <x:v>DTC_MRR_CRC / 0xD0B819</x:v>
      </x:c>
      <x:c r="D358" s="144" t="str">
        <x:v>1 Event(s): 212</x:v>
      </x:c>
      <x:c r="E358" s="144" t="str">
        <x:v>0x19 读取；0x14 清除；会话/安全按服务矩阵</x:v>
      </x:c>
      <x:c r="F358" s="144" t="str">
        <x:v>Severity=NO_SEVERITY; WWH-OBD=UNCLASSIFIED</x:v>
      </x:c>
      <x:c r="G358" s="144" t="str">
        <x:v>UDS DTC=0xD0B819; EventCombination=工程映射；Severity=NO_SEVERITY</x:v>
      </x:c>
      <x:c r="H358" s="144" t="str">
        <x:v>输入为关联 Event 的状态组合，输出为唯一 UDS DTC 状态；组合事件任一变化时须按配置更新，不得丢失 Event 级证据。</x:v>
      </x:c>
      <x:c r="I358" s="144" t="str">
        <x:v>交付 DTC→Event 映射、状态聚合、0x19/0x14 行为和测试脚本。</x:v>
      </x:c>
      <x:c r="J358" s="144" t="str">
        <x:v>逐 Event 置位/恢复、组合顺序、ClearDTC、掉电、满存储；DTC code/status 与 0x19 返回一致。</x:v>
      </x:c>
      <x:c r="K358" s="144" t="str">
        <x:v>coem/BYD_UKE/gen_bsw/Dem/Dem_Cfg_DTC_DataStructures.c:80</x:v>
      </x:c>
    </x:row>
    <x:row r="359" ht="68" customHeight="1">
      <x:c r="A359" s="144" t="str">
        <x:v>DTC</x:v>
      </x:c>
      <x:c r="B359" s="144" t="str">
        <x:v>DTC-055</x:v>
      </x:c>
      <x:c r="C359" s="144" t="str">
        <x:v>DTC_VCU_TIMEOUT / 0xD0C286</x:v>
      </x:c>
      <x:c r="D359" s="144" t="str">
        <x:v>1 Event(s): 70</x:v>
      </x:c>
      <x:c r="E359" s="144" t="str">
        <x:v>0x19 读取；0x14 清除；会话/安全按服务矩阵</x:v>
      </x:c>
      <x:c r="F359" s="144" t="str">
        <x:v>Severity=NO_SEVERITY; WWH-OBD=UNCLASSIFIED</x:v>
      </x:c>
      <x:c r="G359" s="144" t="str">
        <x:v>UDS DTC=0xD0C286; EventCombination=工程映射；Severity=NO_SEVERITY</x:v>
      </x:c>
      <x:c r="H359" s="144" t="str">
        <x:v>输入为关联 Event 的状态组合，输出为唯一 UDS DTC 状态；组合事件任一变化时须按配置更新，不得丢失 Event 级证据。</x:v>
      </x:c>
      <x:c r="I359" s="144" t="str">
        <x:v>交付 DTC→Event 映射、状态聚合、0x19/0x14 行为和测试脚本。</x:v>
      </x:c>
      <x:c r="J359" s="144" t="str">
        <x:v>逐 Event 置位/恢复、组合顺序、ClearDTC、掉电、满存储；DTC code/status 与 0x19 返回一致。</x:v>
      </x:c>
      <x:c r="K359" s="144" t="str">
        <x:v>coem/BYD_UKE/gen_bsw/Dem/Dem_Cfg_DTC_DataStructures.c:81</x:v>
      </x:c>
    </x:row>
    <x:row r="360" ht="68" customHeight="1">
      <x:c r="A360" s="144" t="str">
        <x:v>DTC</x:v>
      </x:c>
      <x:c r="B360" s="144" t="str">
        <x:v>DTC-056</x:v>
      </x:c>
      <x:c r="C360" s="144" t="str">
        <x:v>DTC_VBAT_HIGH / 0xD10017</x:v>
      </x:c>
      <x:c r="D360" s="144" t="str">
        <x:v>3 Event(s): 66,151,152</x:v>
      </x:c>
      <x:c r="E360" s="144" t="str">
        <x:v>0x19 读取；0x14 清除；会话/安全按服务矩阵</x:v>
      </x:c>
      <x:c r="F360" s="144" t="str">
        <x:v>Severity=NO_SEVERITY; WWH-OBD=UNCLASSIFIED</x:v>
      </x:c>
      <x:c r="G360" s="144" t="str">
        <x:v>UDS DTC=0xD10017; EventCombination=工程映射；Severity=NO_SEVERITY</x:v>
      </x:c>
      <x:c r="H360" s="144" t="str">
        <x:v>输入为关联 Event 的状态组合，输出为唯一 UDS DTC 状态；组合事件任一变化时须按配置更新，不得丢失 Event 级证据。</x:v>
      </x:c>
      <x:c r="I360" s="144" t="str">
        <x:v>交付 DTC→Event 映射、状态聚合、0x19/0x14 行为和测试脚本。</x:v>
      </x:c>
      <x:c r="J360" s="144" t="str">
        <x:v>逐 Event 置位/恢复、组合顺序、ClearDTC、掉电、满存储；DTC code/status 与 0x19 返回一致。</x:v>
      </x:c>
      <x:c r="K360" s="144" t="str">
        <x:v>coem/BYD_UKE/gen_bsw/Dem/Dem_Cfg_DTC_DataStructures.c:82</x:v>
      </x:c>
    </x:row>
    <x:row r="361" ht="68" customHeight="1">
      <x:c r="A361" s="144" t="str">
        <x:v>DTC</x:v>
      </x:c>
      <x:c r="B361" s="144" t="str">
        <x:v>DTC-057</x:v>
      </x:c>
      <x:c r="C361" s="144" t="str">
        <x:v>DTC_VBAT_LOW / 0xD10116</x:v>
      </x:c>
      <x:c r="D361" s="144" t="str">
        <x:v>3 Event(s): 67,153,154</x:v>
      </x:c>
      <x:c r="E361" s="144" t="str">
        <x:v>0x19 读取；0x14 清除；会话/安全按服务矩阵</x:v>
      </x:c>
      <x:c r="F361" s="144" t="str">
        <x:v>Severity=NO_SEVERITY; WWH-OBD=UNCLASSIFIED</x:v>
      </x:c>
      <x:c r="G361" s="144" t="str">
        <x:v>UDS DTC=0xD10116; EventCombination=工程映射；Severity=NO_SEVERITY</x:v>
      </x:c>
      <x:c r="H361" s="144" t="str">
        <x:v>输入为关联 Event 的状态组合，输出为唯一 UDS DTC 状态；组合事件任一变化时须按配置更新，不得丢失 Event 级证据。</x:v>
      </x:c>
      <x:c r="I361" s="144" t="str">
        <x:v>交付 DTC→Event 映射、状态聚合、0x19/0x14 行为和测试脚本。</x:v>
      </x:c>
      <x:c r="J361" s="144" t="str">
        <x:v>逐 Event 置位/恢复、组合顺序、ClearDTC、掉电、满存储；DTC code/status 与 0x19 返回一致。</x:v>
      </x:c>
      <x:c r="K361" s="144" t="str">
        <x:v>coem/BYD_UKE/gen_bsw/Dem/Dem_Cfg_DTC_DataStructures.c:83</x:v>
      </x:c>
    </x:row>
    <x:row r="362" ht="68" customHeight="1">
      <x:c r="A362" s="144" t="str">
        <x:v>DTC</x:v>
      </x:c>
      <x:c r="B362" s="144" t="str">
        <x:v>DTC-058</x:v>
      </x:c>
      <x:c r="C362" s="144" t="str">
        <x:v>DTC_VCU_ALC / 0xD27182</x:v>
      </x:c>
      <x:c r="D362" s="144" t="str">
        <x:v>1 Event(s): 68</x:v>
      </x:c>
      <x:c r="E362" s="144" t="str">
        <x:v>0x19 读取；0x14 清除；会话/安全按服务矩阵</x:v>
      </x:c>
      <x:c r="F362" s="144" t="str">
        <x:v>Severity=NO_SEVERITY; WWH-OBD=UNCLASSIFIED</x:v>
      </x:c>
      <x:c r="G362" s="144" t="str">
        <x:v>UDS DTC=0xD27182; EventCombination=工程映射；Severity=NO_SEVERITY</x:v>
      </x:c>
      <x:c r="H362" s="144" t="str">
        <x:v>输入为关联 Event 的状态组合，输出为唯一 UDS DTC 状态；组合事件任一变化时须按配置更新，不得丢失 Event 级证据。</x:v>
      </x:c>
      <x:c r="I362" s="144" t="str">
        <x:v>交付 DTC→Event 映射、状态聚合、0x19/0x14 行为和测试脚本。</x:v>
      </x:c>
      <x:c r="J362" s="144" t="str">
        <x:v>逐 Event 置位/恢复、组合顺序、ClearDTC、掉电、满存储；DTC code/status 与 0x19 返回一致。</x:v>
      </x:c>
      <x:c r="K362" s="144" t="str">
        <x:v>coem/BYD_UKE/gen_bsw/Dem/Dem_Cfg_DTC_DataStructures.c:84</x:v>
      </x:c>
    </x:row>
    <x:row r="363" ht="68" customHeight="1">
      <x:c r="A363" s="144" t="str">
        <x:v>DTC</x:v>
      </x:c>
      <x:c r="B363" s="144" t="str">
        <x:v>DTC-059</x:v>
      </x:c>
      <x:c r="C363" s="144" t="str">
        <x:v>DTC_VCU_CRC / 0xD27183</x:v>
      </x:c>
      <x:c r="D363" s="144" t="str">
        <x:v>1 Event(s): 69</x:v>
      </x:c>
      <x:c r="E363" s="144" t="str">
        <x:v>0x19 读取；0x14 清除；会话/安全按服务矩阵</x:v>
      </x:c>
      <x:c r="F363" s="144" t="str">
        <x:v>Severity=NO_SEVERITY; WWH-OBD=UNCLASSIFIED</x:v>
      </x:c>
      <x:c r="G363" s="144" t="str">
        <x:v>UDS DTC=0xD27183; EventCombination=工程映射；Severity=NO_SEVERITY</x:v>
      </x:c>
      <x:c r="H363" s="144" t="str">
        <x:v>输入为关联 Event 的状态组合，输出为唯一 UDS DTC 状态；组合事件任一变化时须按配置更新，不得丢失 Event 级证据。</x:v>
      </x:c>
      <x:c r="I363" s="144" t="str">
        <x:v>交付 DTC→Event 映射、状态聚合、0x19/0x14 行为和测试脚本。</x:v>
      </x:c>
      <x:c r="J363" s="144" t="str">
        <x:v>逐 Event 置位/恢复、组合顺序、ClearDTC、掉电、满存储；DTC code/status 与 0x19 返回一致。</x:v>
      </x:c>
      <x:c r="K363" s="144" t="str">
        <x:v>coem/BYD_UKE/gen_bsw/Dem/Dem_Cfg_DTC_DataStructures.c:85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46f04b5da8349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2" hidden="0" customWidth="1"/>
    <x:col min="4" max="4" width="48" hidden="0" customWidth="1"/>
    <x:col min="5" max="5" width="16" hidden="0" customWidth="1"/>
    <x:col min="6" max="6" width="38" hidden="0" customWidth="1"/>
    <x:col min="7" max="7" width="38" hidden="0" customWidth="1"/>
    <x:col min="8" max="8" width="42" hidden="0" customWidth="1"/>
  </x:cols>
  <x:sheetData>
    <x:row r="1" ht="30" customHeight="1">
      <x:c r="A1" s="133" t="str">
        <x:v>平台、通信、调度与雷达链路配置基线</x:v>
      </x:c>
      <x:c r="B1" s="133" t="str">
        <x:v>平台、通信、调度与雷达链路配置基线</x:v>
      </x:c>
      <x:c r="C1" s="133" t="str">
        <x:v>平台、通信、调度与雷达链路配置基线</x:v>
      </x:c>
      <x:c r="D1" s="133" t="str">
        <x:v>平台、通信、调度与雷达链路配置基线</x:v>
      </x:c>
      <x:c r="E1" s="133" t="str">
        <x:v>平台、通信、调度与雷达链路配置基线</x:v>
      </x:c>
      <x:c r="F1" s="133" t="str">
        <x:v>平台、通信、调度与雷达链路配置基线</x:v>
      </x:c>
      <x:c r="G1" s="133" t="str">
        <x:v>平台、通信、调度与雷达链路配置基线</x:v>
      </x:c>
      <x:c r="H1" s="133" t="str">
        <x:v>平台、通信、调度与雷达链路配置基线</x:v>
      </x:c>
    </x:row>
    <x:row r="2" ht="36" customHeight="1">
      <x:c r="A2" s="136" t="str">
        <x:v>“工程显式值”可用于需求提炼；存在矛盾或计算口径的项目必须先进入08页关闭，不能当成量产事实直接下发。</x:v>
      </x:c>
      <x:c r="B2" s="136" t="str">
        <x:v>“工程显式值”可用于需求提炼；存在矛盾或计算口径的项目必须先进入08页关闭，不能当成量产事实直接下发。</x:v>
      </x:c>
      <x:c r="C2" s="136" t="str">
        <x:v>“工程显式值”可用于需求提炼；存在矛盾或计算口径的项目必须先进入08页关闭，不能当成量产事实直接下发。</x:v>
      </x:c>
      <x:c r="D2" s="136" t="str">
        <x:v>“工程显式值”可用于需求提炼；存在矛盾或计算口径的项目必须先进入08页关闭，不能当成量产事实直接下发。</x:v>
      </x:c>
      <x:c r="E2" s="136" t="str">
        <x:v>“工程显式值”可用于需求提炼；存在矛盾或计算口径的项目必须先进入08页关闭，不能当成量产事实直接下发。</x:v>
      </x:c>
      <x:c r="F2" s="136" t="str">
        <x:v>“工程显式值”可用于需求提炼；存在矛盾或计算口径的项目必须先进入08页关闭，不能当成量产事实直接下发。</x:v>
      </x:c>
      <x:c r="G2" s="136" t="str">
        <x:v>“工程显式值”可用于需求提炼；存在矛盾或计算口径的项目必须先进入08页关闭，不能当成量产事实直接下发。</x:v>
      </x:c>
      <x:c r="H2" s="136" t="str">
        <x:v>“工程显式值”可用于需求提炼；存在矛盾或计算口径的项目必须先进入08页关闭，不能当成量产事实直接下发。</x:v>
      </x:c>
    </x:row>
    <x:row r="5" ht="34" customHeight="1">
      <x:c r="A5" s="150" t="str">
        <x:v>领域</x:v>
      </x:c>
      <x:c r="B5" s="151" t="str">
        <x:v>配置项</x:v>
      </x:c>
      <x:c r="C5" s="151" t="str">
        <x:v>工程显式值/行为</x:v>
      </x:c>
      <x:c r="D5" s="151" t="str">
        <x:v>需求化结论</x:v>
      </x:c>
      <x:c r="E5" s="151" t="str">
        <x:v>阶段</x:v>
      </x:c>
      <x:c r="F5" s="151" t="str">
        <x:v>东软交付</x:v>
      </x:c>
      <x:c r="G5" s="151" t="str">
        <x:v>验收重点</x:v>
      </x:c>
      <x:c r="H5" s="152" t="str">
        <x:v>证据</x:v>
      </x:c>
    </x:row>
    <x:row r="6" ht="72" customHeight="1">
      <x:c r="A6" s="144" t="str">
        <x:v>构建</x:v>
      </x:c>
      <x:c r="B6" s="144" t="str">
        <x:v>实际compile/link/package入口</x:v>
      </x:c>
      <x:c r="C6" s="144" t="str">
        <x:v>根scons_gen.bat解析-v/-p/-b/-f/-a/-t/-d/-c/-sca/-ut/-bc/-jenkins；调用scons进行编译/链接，成功后执行ImageGen生成镜像；任一步失败退出。</x:v>
      </x:c>
      <x:c r="D6" s="144" t="str">
        <x:v>该入口是实际编译链，但消费已存在/已生成的BSW/RTE/MCAL源码，不负责创建AUTOSAR配置。东软必须在此前建立自己的ARXML/ECUC生成步骤。</x:v>
      </x:c>
      <x:c r="E6" s="144" t="str">
        <x:v>M0/M3</x:v>
      </x:c>
      <x:c r="F6" s="144" t="str">
        <x:v>东软自有参数化generate→compile→link→package→test链</x:v>
      </x:c>
      <x:c r="G6" s="144" t="str">
        <x:v>clean agent、全参数矩阵、fail-fast、两次构建hash与manifest</x:v>
      </x:c>
      <x:c r="H6" s="144" t="str">
        <x:v>scons_gen.bat:43-49,80-137,143-163</x:v>
      </x:c>
    </x:row>
    <x:row r="7" ht="72" customHeight="1">
      <x:c r="A7" s="144" t="str">
        <x:v>构建</x:v>
      </x:c>
      <x:c r="B7" s="144" t="str">
        <x:v>旧内部预生成wrapper</x:v>
      </x:c>
      <x:c r="C7" s="144" t="str">
        <x:v>BYD旧wrapper先调用ConfigGen/genMCAL/postGenMCAL/genBsw，再调用根编译入口；快照中genMCAL/postGenMCAL脚本缺失，部分生成脚本还有硬编码路径。</x:v>
      </x:c>
      <x:c r="D7" s="144" t="str">
        <x:v>该wrapper和脚本均不外发、也不作为东软输入；只用于确认“生成”和“编译”是两层链路。</x:v>
      </x:c>
      <x:c r="E7" s="144" t="str">
        <x:v>M0</x:v>
      </x:c>
      <x:c r="F7" s="144" t="str">
        <x:v>东软自行替代完整预生成层并锁定工具版本</x:v>
      </x:c>
      <x:c r="G7" s="144" t="str">
        <x:v>空白目录可独立生成；无个人路径；生成warning受控</x:v>
      </x:c>
      <x:c r="H7" s="144" t="str">
        <x:v>coem/BYD_UKE/buildscripts/build.bat:24-61；tools/RTA_CAR/genBsw.bat</x:v>
      </x:c>
    </x:row>
    <x:row r="8" ht="72" customHeight="1">
      <x:c r="A8" s="144" t="str">
        <x:v>构建</x:v>
      </x:c>
      <x:c r="B8" s="144" t="str">
        <x:v>BYD构建变体</x:v>
      </x:c>
      <x:c r="C8" s="144" t="str">
        <x:v>BYD_UKE + DEVELOP + KL15 + FUNTEST_OFF + SYMMETRY</x:v>
      </x:c>
      <x:c r="D8" s="144" t="str">
        <x:v>不能直接称为SERIES量产基线；M0用实车/发布manifest确认。</x:v>
      </x:c>
      <x:c r="E8" s="144" t="str">
        <x:v>M0</x:v>
      </x:c>
      <x:c r="F8" s="144" t="str">
        <x:v>构建矩阵和release manifest</x:v>
      </x:c>
      <x:c r="G8" s="144" t="str">
        <x:v>变体/hash/行为一致</x:v>
      </x:c>
      <x:c r="H8" s="144" t="str">
        <x:v>coem/BYD_UKE/buildscripts/build.bat:61</x:v>
      </x:c>
    </x:row>
    <x:row r="9" ht="72" customHeight="1">
      <x:c r="A9" s="144" t="str">
        <x:v>目标</x:v>
      </x:c>
      <x:c r="B9" s="144" t="str">
        <x:v>芯片/架构</x:v>
      </x:c>
      <x:c r="C9" s="144" t="str">
        <x:v>AWR2E44P；MSS R5；AUTOSAR 4.3.1口径</x:v>
      </x:c>
      <x:c r="D9" s="144" t="str">
        <x:v>与附件“2E44LC/AWR294x、R21-11”差异需澄清版本口径。</x:v>
      </x:c>
      <x:c r="E9" s="144" t="str">
        <x:v>M0</x:v>
      </x:c>
      <x:c r="F9" s="144" t="str">
        <x:v>目标与AUTOSAR/供应商版本矩阵</x:v>
      </x:c>
      <x:c r="G9" s="144" t="str">
        <x:v>编译目标/ABI/生成工具一致</x:v>
      </x:c>
      <x:c r="H9" s="144" t="str">
        <x:v>settings.py:8,30-45</x:v>
      </x:c>
    </x:row>
    <x:row r="10" ht="72" customHeight="1">
      <x:c r="A10" s="144" t="str">
        <x:v>镜像</x:v>
      </x:c>
      <x:c r="B10" s="144" t="str">
        <x:v>三核容器</x:v>
      </x:c>
      <x:c r="C10" s="144" t="str">
        <x:v>R5 core0、M4 core2、RadarSS core3</x:v>
      </x:c>
      <x:c r="D10" s="144" t="str">
        <x:v>供应商交付完整镜像链，不只是MSS ELF。</x:v>
      </x:c>
      <x:c r="E10" s="144" t="str">
        <x:v>M1</x:v>
      </x:c>
      <x:c r="F10" s="144" t="str">
        <x:v>镜像recipe/map/hash</x:v>
      </x:c>
      <x:c r="G10" s="144" t="str">
        <x:v>核ID/CRC/地址/启动</x:v>
      </x:c>
      <x:c r="H10" s="144" t="str">
        <x:v>ImageGen.py:388-406</x:v>
      </x:c>
    </x:row>
    <x:row r="11" ht="72" customHeight="1">
      <x:c r="A11" s="144" t="str">
        <x:v>构建</x:v>
      </x:c>
      <x:c r="B11" s="144" t="str">
        <x:v>M4/算法库</x:v>
      </x:c>
      <x:c r="C11" s="144" t="str">
        <x:v>M4复制预编译xem4；R5链接libdoa_awr2x44P_aer5f.lib</x:v>
      </x:c>
      <x:c r="D11" s="144" t="str">
        <x:v>甲方提供功能，东软仍负责ABI/镜像/内存/调度适配。</x:v>
      </x:c>
      <x:c r="E11" s="144" t="str">
        <x:v>M0/M1</x:v>
      </x:c>
      <x:c r="F11" s="144" t="str">
        <x:v>ICD与集成层</x:v>
      </x:c>
      <x:c r="G11" s="144" t="str">
        <x:v>错版本/内存/握手/golden</x:v>
      </x:c>
      <x:c r="H11" s="144" t="str">
        <x:v>SConstruct:276-285</x:v>
      </x:c>
    </x:row>
    <x:row r="12" ht="72" customHeight="1">
      <x:c r="A12" s="144" t="str">
        <x:v>启动</x:v>
      </x:c>
      <x:c r="B12" s="144" t="str">
        <x:v>EcuM顺序</x:v>
      </x:c>
      <x:c r="C12" s="144" t="str">
        <x:v>Mcu/Gpt/GPIO/Port/Can/Spi/TCAN/PMIC/Fls/Mailbox/ADC/EDMA/HSM/rbBlock/IPC</x:v>
      </x:c>
      <x:c r="D12" s="144" t="str">
        <x:v>把初始化顺序和失败策略转为状态机与超时。</x:v>
      </x:c>
      <x:c r="E12" s="144" t="str">
        <x:v>M1</x:v>
      </x:c>
      <x:c r="F12" s="144" t="str">
        <x:v>EcuM callout与trace</x:v>
      </x:c>
      <x:c r="G12" s="144" t="str">
        <x:v>冷/热/欠压/失败注入</x:v>
      </x:c>
      <x:c r="H12" s="144" t="str">
        <x:v>EcuM_Callout_Stubs.c:515-586</x:v>
      </x:c>
    </x:row>
    <x:row r="13" ht="72" customHeight="1">
      <x:c r="A13" s="144" t="str">
        <x:v>启动</x:v>
      </x:c>
      <x:c r="B13" s="144" t="str">
        <x:v>雷达启动门</x:v>
      </x:c>
      <x:c r="C13" s="144" t="str">
        <x:v>约150ms后且CUDA/CLDA/rbBlock全部成功才MmwDemo_initTask</x:v>
      </x:c>
      <x:c r="D13" s="144" t="str">
        <x:v>CUDA/CLDA是M1前置，不是M2细节。</x:v>
      </x:c>
      <x:c r="E13" s="144" t="str">
        <x:v>M1</x:v>
      </x:c>
      <x:c r="F13" s="144" t="str">
        <x:v>启动门与DEM/降级</x:v>
      </x:c>
      <x:c r="G13" s="144" t="str">
        <x:v>逐块损坏禁止发波</x:v>
      </x:c>
      <x:c r="H13" s="144" t="str">
        <x:v>integration/Os_Cbk_Idle.c:87-93</x:v>
      </x:c>
    </x:row>
    <x:row r="14" ht="72" customHeight="1">
      <x:c r="A14" s="144" t="str">
        <x:v>工厂数据</x:v>
      </x:c>
      <x:c r="B14" s="144" t="str">
        <x:v>CUDA</x:v>
      </x:c>
      <x:c r="C14" s="144" t="str">
        <x:v>0x00320000、0x10000；EgoCar/RadarPos/CalibInput，四位置</x:v>
      </x:c>
      <x:c r="D14" s="144" t="str">
        <x:v>交schema/ID/长度/默认/校验/烧录/位置规则。</x:v>
      </x:c>
      <x:c r="E14" s="144" t="str">
        <x:v>M1</x:v>
      </x:c>
      <x:c r="F14" s="144" t="str">
        <x:v>数据字典与工具</x:v>
      </x:c>
      <x:c r="G14" s="144" t="str">
        <x:v>合法/损坏/错位置</x:v>
      </x:c>
      <x:c r="H14" s="144" t="str">
        <x:v>rbBlock.h:45-50；rbBlock_CUDA_user.h:11-44</x:v>
      </x:c>
    </x:row>
    <x:row r="15" ht="72" customHeight="1">
      <x:c r="A15" s="144" t="str">
        <x:v>工厂数据</x:v>
      </x:c>
      <x:c r="B15" s="144" t="str">
        <x:v>CLDA</x:v>
      </x:c>
      <x:c r="C15" s="144" t="str">
        <x:v>0x00330000、0x10000；子块2048/1212/1172</x:v>
      </x:c>
      <x:c r="D15" s="144" t="str">
        <x:v>同上；包含RF/信号补偿关键数据。</x:v>
      </x:c>
      <x:c r="E15" s="144" t="str">
        <x:v>M1</x:v>
      </x:c>
      <x:c r="F15" s="144" t="str">
        <x:v>schema与校验</x:v>
      </x:c>
      <x:c r="G15" s="144" t="str">
        <x:v>逐子块故障</x:v>
      </x:c>
      <x:c r="H15" s="144" t="str">
        <x:v>rbBlock.c:34-40；ReadCUDA2Asw.c:88-97</x:v>
      </x:c>
    </x:row>
    <x:row r="16" ht="72" customHeight="1">
      <x:c r="A16" s="144" t="str">
        <x:v>多核</x:v>
      </x:c>
      <x:c r="B16" s="144" t="str">
        <x:v>MSS↔M4 boot</x:v>
      </x:c>
      <x:c r="C16" s="144" t="str">
        <x:v>寄存器0x02120664 bit0/bit1握手；当前无timeout</x:v>
      </x:c>
      <x:c r="D16" s="144" t="str">
        <x:v>必须有timeout/DEM/重启/降级。</x:v>
      </x:c>
      <x:c r="E16" s="144" t="str">
        <x:v>M1</x:v>
      </x:c>
      <x:c r="F16" s="144" t="str">
        <x:v>启动状态机</x:v>
      </x:c>
      <x:c r="G16" s="144" t="str">
        <x:v>缺失/延迟/重启</x:v>
      </x:c>
      <x:c r="H16" s="144" t="str">
        <x:v>mmw_common.c:44-77；mmw_main.c:2783-2807</x:v>
      </x:c>
    </x:row>
    <x:row r="17" ht="72" customHeight="1">
      <x:c r="A17" s="144" t="str">
        <x:v>IPC</x:v>
      </x:c>
      <x:c r="B17" s="144" t="str">
        <x:v>消息协议</x:v>
      </x:c>
      <x:c r="C17" s="144" t="str">
        <x:v>M4→R5 0x10 frame完成、0x11 chirp start、0x12 stop；其它为ACK</x:v>
      </x:c>
      <x:c r="D17" s="144" t="str">
        <x:v>交完整ICD/版本/长度/序号/错误处理。</x:v>
      </x:c>
      <x:c r="E17" s="144" t="str">
        <x:v>M1</x:v>
      </x:c>
      <x:c r="F17" s="144" t="str">
        <x:v>IPC ICD与测试</x:v>
      </x:c>
      <x:c r="G17" s="144" t="str">
        <x:v>丢/乱/重/洪泛/timeout</x:v>
      </x:c>
      <x:c r="H17" s="144" t="str">
        <x:v>rte/OsTask_MMW.c:93-139</x:v>
      </x:c>
    </x:row>
    <x:row r="18" ht="72" customHeight="1">
      <x:c r="A18" s="144" t="str">
        <x:v>IPC</x:v>
      </x:c>
      <x:c r="B18" s="144" t="str">
        <x:v>共享Mailbox</x:v>
      </x:c>
      <x:c r="C18" s="144" t="str">
        <x:v>1152 bytes、128B对齐；blocking write timeout 1000</x:v>
      </x:c>
      <x:c r="D18" s="144" t="str">
        <x:v>解释timeout单位；处理对端复位与队列满。</x:v>
      </x:c>
      <x:c r="E18" s="144" t="str">
        <x:v>M1</x:v>
      </x:c>
      <x:c r="F18" s="144" t="str">
        <x:v>配置与异常矩阵</x:v>
      </x:c>
      <x:c r="G18" s="144" t="str">
        <x:v>边界长度/超时/恢复</x:v>
      </x:c>
      <x:c r="H18" s="144" t="str">
        <x:v>rte/OsTask_MMW.c:46；Cdd_Ipc_PBCfg.c:65-84</x:v>
      </x:c>
    </x:row>
    <x:row r="19" ht="72" customHeight="1">
      <x:c r="A19" s="144" t="str">
        <x:v>内存</x:v>
      </x:c>
      <x:c r="B19" s="144" t="str">
        <x:v>共享区</x:v>
      </x:c>
      <x:c r="C19" s="144" t="str">
        <x:v>.shared_mem 0x88180F00/0x1000；gheapSigL3 0x88181F00/0x1E000；Mailbox 0xC5000200</x:v>
      </x:c>
      <x:c r="D19" s="144" t="str">
        <x:v>冻结双方ABI/MPU/cache/所有权。</x:v>
      </x:c>
      <x:c r="E19" s="144" t="str">
        <x:v>M1</x:v>
      </x:c>
      <x:c r="F19" s="144" t="str">
        <x:v>linker/MPU/map/offsetof</x:v>
      </x:c>
      <x:c r="G19" s="144" t="str">
        <x:v>无重叠/撕裂/旧帧</x:v>
      </x:c>
      <x:c r="H19" s="144" t="str">
        <x:v>TPR12_MCU_LS.lds:25-48,164-171</x:v>
      </x:c>
    </x:row>
    <x:row r="20" ht="72" customHeight="1">
      <x:c r="A20" s="144" t="str">
        <x:v>内存</x:v>
      </x:c>
      <x:c r="B20" s="144" t="str">
        <x:v>MPU</x:v>
      </x:c>
      <x:c r="C20" s="144" t="str">
        <x:v>0xC5000000/8KiB、0x88000000/4MiB non-cacheable/shareable</x:v>
      </x:c>
      <x:c r="D20" s="144" t="str">
        <x:v>M4/R5必须一致。</x:v>
      </x:c>
      <x:c r="E20" s="144" t="str">
        <x:v>M1</x:v>
      </x:c>
      <x:c r="F20" s="144" t="str">
        <x:v>MPU寄存器golden</x:v>
      </x:c>
      <x:c r="G20" s="144" t="str">
        <x:v>属性/压力/一致性</x:v>
      </x:c>
      <x:c r="H20" s="144" t="str">
        <x:v>ti_dpl_config.c:156-183</x:v>
      </x:c>
    </x:row>
    <x:row r="21" ht="72" customHeight="1">
      <x:c r="A21" s="144" t="str">
        <x:v>RF/ADC</x:v>
      </x:c>
      <x:c r="B21" s="144" t="str">
        <x:v>候选RF/ADC</x:v>
      </x:c>
      <x:c r="C21" s="144" t="str">
        <x:v>4Tx/4Rx/16虚拟；real16；512 samples；384 loops；range bins256；AoA最大350</x:v>
      </x:c>
      <x:c r="D21" s="144" t="str">
        <x:v>只作为候选，最终由M0真实抓测冻结。</x:v>
      </x:c>
      <x:c r="E21" s="144" t="str">
        <x:v>M0/M1</x:v>
      </x:c>
      <x:c r="F21" s="144" t="str">
        <x:v>RF/ADC参数表</x:v>
      </x:c>
      <x:c r="G21" s="144" t="str">
        <x:v>频谱/采集数据一致</x:v>
      </x:c>
      <x:c r="H21" s="144" t="str">
        <x:v>sys_conf.h:96-97,211-221,303-304,550</x:v>
      </x:c>
    </x:row>
    <x:row r="22" ht="72" customHeight="1">
      <x:c r="A22" s="144" t="str">
        <x:v>ADC</x:v>
      </x:c>
      <x:c r="B22" s="144" t="str">
        <x:v>ADCBuf</x:v>
      </x:c>
      <x:c r="C22" s="144" t="str">
        <x:v>ping/pong threshold1、非continuous、RX offset</x:v>
      </x:c>
      <x:c r="D22" s="144" t="str">
        <x:v>与M4 DMA契约联合冻结。</x:v>
      </x:c>
      <x:c r="E22" s="144" t="str">
        <x:v>M1</x:v>
      </x:c>
      <x:c r="F22" s="144" t="str">
        <x:v>ADCBuf配置</x:v>
      </x:c>
      <x:c r="G22" s="144" t="str">
        <x:v>overrun/offset/连续帧</x:v>
      </x:c>
      <x:c r="H22" s="144" t="str">
        <x:v>mmwdemo_adcconfig.c:71-215</x:v>
      </x:c>
    </x:row>
    <x:row r="23" ht="72" customHeight="1">
      <x:c r="A23" s="144" t="str">
        <x:v>DMA</x:v>
      </x:c>
      <x:c r="B23" s="144" t="str">
        <x:v>Cdd_Dma</x:v>
      </x:c>
      <x:c r="C23" s="144" t="str">
        <x:v>ch26/TCC9、ch27/TCC10（算法），另ch0；Xbar dummy</x:v>
      </x:c>
      <x:c r="D23" s="144" t="str">
        <x:v>建立全芯片DMA/PaRAM/TCC/region/Q ownership，避免M4/RSS冲突。</x:v>
      </x:c>
      <x:c r="E23" s="144" t="str">
        <x:v>M1</x:v>
      </x:c>
      <x:c r="F23" s="144" t="str">
        <x:v>资源矩阵</x:v>
      </x:c>
      <x:c r="G23" s="144" t="str">
        <x:v>自动冲突扫描/压力</x:v>
      </x:c>
      <x:c r="H23" s="144" t="str">
        <x:v>Cdd_Dma_PBCfg.c:60-247</x:v>
      </x:c>
    </x:row>
    <x:row r="24" ht="72" customHeight="1">
      <x:c r="A24" s="144" t="str">
        <x:v>算法</x:v>
      </x:c>
      <x:c r="B24" s="144" t="str">
        <x:v>R5任务链</x:v>
      </x:c>
      <x:c r="C24" s="144" t="str">
        <x:v>Trigger66：init→signal→perception→output→RteComMapping</x:v>
      </x:c>
      <x:c r="D24" s="144" t="str">
        <x:v>定义同帧trace、WCET/stack/memory。</x:v>
      </x:c>
      <x:c r="E24" s="144" t="str">
        <x:v>M1</x:v>
      </x:c>
      <x:c r="F24" s="144" t="str">
        <x:v>适配层与trace</x:v>
      </x:c>
      <x:c r="G24" s="144" t="str">
        <x:v>golden/WCET/异常输入</x:v>
      </x:c>
      <x:c r="H24" s="144" t="str">
        <x:v>OsTask_MMW.c:242-334</x:v>
      </x:c>
    </x:row>
    <x:row r="25" ht="72" customHeight="1">
      <x:c r="A25" s="144" t="str">
        <x:v>算法</x:v>
      </x:c>
      <x:c r="B25" s="144" t="str">
        <x:v>时间回调</x:v>
      </x:c>
      <x:c r="C25" s="144" t="str">
        <x:v>cb_time_get_us实际返回rbTime_GetLocalTime_ms</x:v>
      </x:c>
      <x:c r="D25" s="144" t="str">
        <x:v>明确单位并修正接口合同，不能照抄名称。</x:v>
      </x:c>
      <x:c r="E25" s="144" t="str">
        <x:v>M0/M1</x:v>
      </x:c>
      <x:c r="F25" s="144" t="str">
        <x:v>时间API规范</x:v>
      </x:c>
      <x:c r="G25" s="144" t="str">
        <x:v>单位/溢出/长稳</x:v>
      </x:c>
      <x:c r="H25" s="144" t="str">
        <x:v>signal_process.c:58-72</x:v>
      </x:c>
    </x:row>
    <x:row r="26" ht="72" customHeight="1">
      <x:c r="A26" s="144" t="str">
        <x:v>OS</x:v>
      </x:c>
      <x:c r="B26" s="144" t="str">
        <x:v>配置规模</x:v>
      </x:c>
      <x:c r="C26" s="144" t="str">
        <x:v>单核SC1；10 BCC2 tasks；14 Cat2+3 Cat1 ISR；CPU400MHz</x:v>
      </x:c>
      <x:c r="D26" s="144" t="str">
        <x:v>stack budget为空，必须测高水位。</x:v>
      </x:c>
      <x:c r="E26" s="144" t="str">
        <x:v>M1</x:v>
      </x:c>
      <x:c r="F26" s="144" t="str">
        <x:v>OS配置/资源预算</x:v>
      </x:c>
      <x:c r="G26" s="144" t="str">
        <x:v>周期/jitter/WCET/stack</x:v>
      </x:c>
      <x:c r="H26" s="144" t="str">
        <x:v>Configuration Summary.txt</x:v>
      </x:c>
    </x:row>
    <x:row r="27" ht="72" customHeight="1">
      <x:c r="A27" s="144" t="str">
        <x:v>OS</x:v>
      </x:c>
      <x:c r="B27" s="144" t="str">
        <x:v>调度</x:v>
      </x:c>
      <x:c r="C27" s="144" t="str">
        <x:v>10ms表：ASW10+BSW10每tick；ASW20偶数；ASW100 offset0</x:v>
      </x:c>
      <x:c r="D27" s="144" t="str">
        <x:v>解释1ms GPT基础tick与10ms RTE tick。</x:v>
      </x:c>
      <x:c r="E27" s="144" t="str">
        <x:v>M0/M1</x:v>
      </x:c>
      <x:c r="F27" s="144" t="str">
        <x:v>时序说明与trace</x:v>
      </x:c>
      <x:c r="G27" s="144" t="str">
        <x:v>节拍与丢激活</x:v>
      </x:c>
      <x:c r="H27" s="144" t="str">
        <x:v>Configuration Summary.txt:524-600；Rte_Const.h:45</x:v>
      </x:c>
    </x:row>
    <x:row r="28" ht="72" customHeight="1">
      <x:c r="A28" s="144" t="str">
        <x:v>OS</x:v>
      </x:c>
      <x:c r="B28" s="144" t="str">
        <x:v>发波任务</x:v>
      </x:c>
      <x:c r="C28" s="144" t="str">
        <x:v>TriggerWave prio70；1ms callback的ActivateTask被注释</x:v>
      </x:c>
      <x:c r="D28" s="144" t="str">
        <x:v>P0风险，必须实测实际激活源。</x:v>
      </x:c>
      <x:c r="E28" s="144" t="str">
        <x:v>M0/M1</x:v>
      </x:c>
      <x:c r="F28" s="144" t="str">
        <x:v>闭环修正/说明</x:v>
      </x:c>
      <x:c r="G28" s="144" t="str">
        <x:v>task trace+频谱</x:v>
      </x:c>
      <x:c r="H28" s="144" t="str">
        <x:v>OsTask_MMW.c:159-186</x:v>
      </x:c>
    </x:row>
    <x:row r="29" ht="72" customHeight="1">
      <x:c r="A29" s="144" t="str">
        <x:v>CAN</x:v>
      </x:c>
      <x:c r="B29" s="144" t="str">
        <x:v>控制器</x:v>
      </x:c>
      <x:c r="C29" s="144" t="str">
        <x:v>2路MCAN；默认500k/2M；亦配置1M/5M；auto wake开、auto retransmission关</x:v>
      </x:c>
      <x:c r="D29" s="144" t="str">
        <x:v>按OEM网络冻结默认/可选速率和恢复策略。</x:v>
      </x:c>
      <x:c r="E29" s="144" t="str">
        <x:v>M1/M2</x:v>
      </x:c>
      <x:c r="F29" s="144" t="str">
        <x:v>MCAL配置</x:v>
      </x:c>
      <x:c r="G29" s="144" t="str">
        <x:v>速率/Bus-Off/错误注入</x:v>
      </x:c>
      <x:c r="H29" s="144" t="str">
        <x:v>Can_PBcfg.c:69-223</x:v>
      </x:c>
    </x:row>
    <x:row r="30" ht="72" customHeight="1">
      <x:c r="A30" s="144" t="str">
        <x:v>CanIf</x:v>
      </x:c>
      <x:c r="B30" s="144" t="str">
        <x:v>规模</x:v>
      </x:c>
      <x:c r="C30" s="144" t="str">
        <x:v>38 Tx、70 Rx、65 HOH、2 controllers、0 transceiver；DLC check开</x:v>
      </x:c>
      <x:c r="D30" s="144" t="str">
        <x:v>东软须依据07页中立PDU/Signal合同自行创建通信数据库和AUTOSAR配置；甲方不提供参考DBC/ARXML。</x:v>
      </x:c>
      <x:c r="E30" s="144" t="str">
        <x:v>M2</x:v>
      </x:c>
      <x:c r="F30" s="144" t="str">
        <x:v>东软自有PDU矩阵/配置</x:v>
      </x:c>
      <x:c r="G30" s="144" t="str">
        <x:v>全量restbus</x:v>
      </x:c>
      <x:c r="H30" s="144" t="str">
        <x:v>CanIf_Cfg.h:113,176,252,258,342,408</x:v>
      </x:c>
    </x:row>
    <x:row r="31" ht="72" customHeight="1">
      <x:c r="A31" s="144" t="str">
        <x:v>Com</x:v>
      </x:c>
      <x:c r="B31" s="144" t="str">
        <x:v>规模</x:v>
      </x:c>
      <x:c r="C31" s="144" t="str">
        <x:v>687 Rx signal、770 Tx signal、0 signal group；34 Tx/64 Rx I-PDU</x:v>
      </x:c>
      <x:c r="D31" s="144" t="str">
        <x:v>0 signal group与E2E Profile01冲突；需重建group。</x:v>
      </x:c>
      <x:c r="E31" s="144" t="str">
        <x:v>M2</x:v>
      </x:c>
      <x:c r="F31" s="144" t="str">
        <x:v>signal矩阵/Com配置</x:v>
      </x:c>
      <x:c r="G31" s="144" t="str">
        <x:v>bit/端序/timeout/E2E</x:v>
      </x:c>
      <x:c r="H31" s="144" t="str">
        <x:v>Com_PBcfg_Variant.h:41-67</x:v>
      </x:c>
    </x:row>
    <x:row r="32" ht="72" customHeight="1">
      <x:c r="A32" s="144" t="str">
        <x:v>NM</x:v>
      </x:c>
      <x:c r="B32" s="144" t="str">
        <x:v>CanNm</x:v>
      </x:c>
      <x:c r="C32" s="144" t="str">
        <x:v>1 channel；500ms、20ms×25、Repeat1.6s、timeout2s、WaitSleep2s、NodeID0x4C</x:v>
      </x:c>
      <x:c r="D32" s="144" t="str">
        <x:v>作为当前行为基线，最终由OEM规范批准。</x:v>
      </x:c>
      <x:c r="E32" s="144" t="str">
        <x:v>M2</x:v>
      </x:c>
      <x:c r="F32" s="144" t="str">
        <x:v>NM状态机/配置</x:v>
      </x:c>
      <x:c r="G32" s="144" t="str">
        <x:v>计时/休眠/唤醒</x:v>
      </x:c>
      <x:c r="H32" s="144" t="str">
        <x:v>CanNm_PBcfg.c:40-95</x:v>
      </x:c>
    </x:row>
    <x:row r="33" ht="72" customHeight="1">
      <x:c r="A33" s="144" t="str">
        <x:v>CanSM/ComM</x:v>
      </x:c>
      <x:c r="B33" s="144" t="str">
        <x:v>网络</x:v>
      </x:c>
      <x:c r="C33" s="144" t="str">
        <x:v>2网络COM/XCP；COM FULL NM、XCP NONE；BOR L1/L2</x:v>
      </x:c>
      <x:c r="D33" s="144" t="str">
        <x:v>全功能阶段验证Bus-Off与诊断/XCP保持通信。</x:v>
      </x:c>
      <x:c r="E33" s="144" t="str">
        <x:v>M2</x:v>
      </x:c>
      <x:c r="F33" s="144" t="str">
        <x:v>配置与状态机</x:v>
      </x:c>
      <x:c r="G33" s="144" t="str">
        <x:v>L1/L2恢复/NoCom</x:v>
      </x:c>
      <x:c r="H33" s="144" t="str">
        <x:v>ComM_PBcfg.c:62-155；CanSM配置</x:v>
      </x:c>
    </x:row>
    <x:row r="34" ht="72" customHeight="1">
      <x:c r="A34" s="144" t="str">
        <x:v>TimeSync</x:v>
      </x:c>
      <x:c r="B34" s="144" t="str">
        <x:v>CanTSyn</x:v>
      </x:c>
      <x:c r="C34" s="144" t="str">
        <x:v>1 master、2 slave；master 0x6FC；CRC开</x:v>
      </x:c>
      <x:c r="D34" s="144" t="str">
        <x:v>M1最小发波同步，M2完整错误/恢复。</x:v>
      </x:c>
      <x:c r="E34" s="144" t="str">
        <x:v>M1/M2</x:v>
      </x:c>
      <x:c r="F34" s="144" t="str">
        <x:v>timebase矩阵</x:v>
      </x:c>
      <x:c r="G34" s="144" t="str">
        <x:v>失步/跳变/CRC</x:v>
      </x:c>
      <x:c r="H34" s="144" t="str">
        <x:v>CanTSyn_PBcfg.c:82-138</x:v>
      </x:c>
    </x:row>
    <x:row r="35" ht="72" customHeight="1">
      <x:c r="A35" s="144" t="str">
        <x:v>TimeSync</x:v>
      </x:c>
      <x:c r="B35" s="144" t="str">
        <x:v>StbM</x:v>
      </x:c>
      <x:c r="C35" s="144" t="str">
        <x:v>3 timebase、2 recording、0 NvM、1 sync master；OS counter reference</x:v>
      </x:c>
      <x:c r="D35" s="144" t="str">
        <x:v>明确断电/重启/失同步行为。</x:v>
      </x:c>
      <x:c r="E35" s="144" t="str">
        <x:v>M1/M2</x:v>
      </x:c>
      <x:c r="F35" s="144" t="str">
        <x:v>StbM配置</x:v>
      </x:c>
      <x:c r="G35" s="144" t="str">
        <x:v>误差/状态/恢复</x:v>
      </x:c>
      <x:c r="H35" s="144" t="str">
        <x:v>StbM_Cfg.h:39-54,142-186</x:v>
      </x:c>
    </x:row>
    <x:row r="36" ht="72" customHeight="1">
      <x:c r="A36" s="144" t="str">
        <x:v>NvM</x:v>
      </x:c>
      <x:c r="B36" s="144" t="str">
        <x:v>规模/属性</x:v>
      </x:c>
      <x:c r="C36" s="144" t="str">
        <x:v>ID0..104；业务103；NoCrc、priority1；仅ID15 redundant；其余native</x:v>
      </x:c>
      <x:c r="D36" s="144" t="str">
        <x:v>详见05页；物理地址由Fee动态管理。</x:v>
      </x:c>
      <x:c r="E36" s="144" t="str">
        <x:v>M2</x:v>
      </x:c>
      <x:c r="F36" s="144" t="str">
        <x:v>完整block dictionary</x:v>
      </x:c>
      <x:c r="G36" s="144" t="str">
        <x:v>105项diff/掉电</x:v>
      </x:c>
      <x:c r="H36" s="144" t="str">
        <x:v>NvM_Cfg.c:1303-4877</x:v>
      </x:c>
    </x:row>
    <x:row r="37" ht="72" customHeight="1">
      <x:c r="A37" s="144" t="str">
        <x:v>Fee</x:v>
      </x:c>
      <x:c r="B37" s="144" t="str">
        <x:v>Bank</x:v>
      </x:c>
      <x:c r="C37" s="144" t="str">
        <x:v>2×256KiB：0x00350000–0x0038FFFF、0x00390000–0x003CFFFF</x:v>
      </x:c>
      <x:c r="D37" s="144" t="str">
        <x:v>persistent ID为逻辑ID，不等于物理地址。</x:v>
      </x:c>
      <x:c r="E37" s="144" t="str">
        <x:v>M2</x:v>
      </x:c>
      <x:c r="F37" s="144" t="str">
        <x:v>Fee布局/寿命</x:v>
      </x:c>
      <x:c r="G37" s="144" t="str">
        <x:v>reorg/断电/冗余</x:v>
      </x:c>
      <x:c r="H37" s="144" t="str">
        <x:v>rba_FeeFs1x_Prv_Cfg.h:68,77-86</x:v>
      </x:c>
    </x:row>
    <x:row r="38" ht="72" customHeight="1">
      <x:c r="A38" s="144" t="str">
        <x:v>Dcm</x:v>
      </x:c>
      <x:c r="B38" s="144" t="str">
        <x:v>规模</x:v>
      </x:c>
      <x:c r="C38" s="144" t="str">
        <x:v>11服务、5 session、3 security、5 routine、48 DID</x:v>
      </x:c>
      <x:c r="D38" s="144" t="str">
        <x:v>详见06页；正式需求仍需关闭QA。</x:v>
      </x:c>
      <x:c r="E38" s="144" t="str">
        <x:v>M2</x:v>
      </x:c>
      <x:c r="F38" s="144" t="str">
        <x:v>矩阵/配置/脚本</x:v>
      </x:c>
      <x:c r="G38" s="144" t="str">
        <x:v>全正负向</x:v>
      </x:c>
      <x:c r="H38" s="144" t="str">
        <x:v>Dcm_Lcfg_Dsd.c；Dcm_Lcfg_DspUds.c</x:v>
      </x:c>
    </x:row>
    <x:row r="39" ht="72" customHeight="1">
      <x:c r="A39" s="144" t="str">
        <x:v>Dem</x:v>
      </x:c>
      <x:c r="B39" s="144" t="str">
        <x:v>规模</x:v>
      </x:c>
      <x:c r="C39" s="144" t="str">
        <x:v>217 Event、59 DTC、主存储40、42 NvM block</x:v>
      </x:c>
      <x:c r="D39" s="144" t="str">
        <x:v>交Event级矩阵而非只交DTC。</x:v>
      </x:c>
      <x:c r="E39" s="144" t="str">
        <x:v>M2</x:v>
      </x:c>
      <x:c r="F39" s="144" t="str">
        <x:v>Event/DTC/NvM映射</x:v>
      </x:c>
      <x:c r="G39" s="144" t="str">
        <x:v>注入/满载/掉电</x:v>
      </x:c>
      <x:c r="H39" s="144" t="str">
        <x:v>Dem_Cfg_*</x:v>
      </x:c>
    </x:row>
    <x:row r="40" ht="72" customHeight="1">
      <x:c r="A40" s="144" t="str">
        <x:v>Wdg</x:v>
      </x:c>
      <x:c r="B40" s="144" t="str">
        <x:v>当前有效性</x:v>
      </x:c>
      <x:c r="C40" s="144" t="str">
        <x:v>WdgM配置存在但ASW checkpoints/Wdg driver为空；另有LP87745 FuSa watchdog链</x:v>
      </x:c>
      <x:c r="D40" s="144" t="str">
        <x:v>必须架构决策，不能宣称WdgM已生效。</x:v>
      </x:c>
      <x:c r="E40" s="144" t="str">
        <x:v>M1/M2</x:v>
      </x:c>
      <x:c r="F40" s="144" t="str">
        <x:v>监控矩阵/故障测试</x:v>
      </x:c>
      <x:c r="G40" s="144" t="str">
        <x:v>实际复位时间/原因</x:v>
      </x:c>
      <x:c r="H40" s="144" t="str">
        <x:v>ASW_WDG.c；FUSA_WDGDrv.c</x:v>
      </x:c>
    </x:row>
    <x:row r="41" ht="72" customHeight="1">
      <x:c r="A41" s="144" t="str">
        <x:v>XCP</x:v>
      </x:c>
      <x:c r="B41" s="144" t="str">
        <x:v>配置/风险</x:v>
      </x:c>
      <x:c r="C41" s="144" t="str">
        <x:v>Tx 0x778/Rx0x332、64B、10ms event；seed/key样例；内存保护关</x:v>
      </x:c>
      <x:c r="D41" s="144" t="str">
        <x:v>量产件必须关闭或白名单+批准算法。</x:v>
      </x:c>
      <x:c r="E41" s="144" t="str">
        <x:v>M2/M3</x:v>
      </x:c>
      <x:c r="F41" s="144" t="str">
        <x:v>A2L/权限/安全测试</x:v>
      </x:c>
      <x:c r="G41" s="144" t="str">
        <x:v>非法地址/生命周期</x:v>
      </x:c>
      <x:c r="H41" s="144" t="str">
        <x:v>Xcp_Cfg.h；Xcp_SeedAndKey.c</x:v>
      </x:c>
    </x:row>
    <x:row r="42" ht="72" customHeight="1">
      <x:c r="A42" s="144" t="str">
        <x:v>Boot/Security</x:v>
      </x:c>
      <x:c r="B42" s="144" t="str">
        <x:v>布局/签名</x:v>
      </x:c>
      <x:c r="C42" s="144" t="str">
        <x:v>App 0x090000–0x28FFFF；HSM 0x2D0000–0x30FFFF；CUDA/CLDA 0x320000/0x330000；efused依赖KMS</x:v>
      </x:c>
      <x:c r="D42" s="144" t="str">
        <x:v>签名职责/manifest/失败/审计必须合同化；anti-rollback TBD。</x:v>
      </x:c>
      <x:c r="E42" s="144" t="str">
        <x:v>BT/M3</x:v>
      </x:c>
      <x:c r="F42" s="144" t="str">
        <x:v>容器/签名接口</x:v>
      </x:c>
      <x:c r="G42" s="144" t="str">
        <x:v>篡改/掉电/生命周期</x:v>
      </x:c>
      <x:c r="H42" s="144" t="str">
        <x:v>ContainerGen.py:38-66；BlockProcessor.py:548-629</x:v>
      </x:c>
    </x:row>
    <x:row r="43" ht="72" customHeight="1">
      <x:c r="A43" s="144" t="str">
        <x:v>CI</x:v>
      </x:c>
      <x:c r="B43" s="144" t="str">
        <x:v>覆盖</x:v>
      </x:c>
      <x:c r="C43" s="144" t="str">
        <x:v>主UT列表8模块，客户列表22模块；无明确覆盖率门禁</x:v>
      </x:c>
      <x:c r="D43" s="144" t="str">
        <x:v>扩展并设硬阈值；禁止空归档。</x:v>
      </x:c>
      <x:c r="E43" s="144" t="str">
        <x:v>M2/M3</x:v>
      </x:c>
      <x:c r="F43" s="144" t="str">
        <x:v>UT/coverage/CI gate</x:v>
      </x:c>
      <x:c r="G43" s="144" t="str">
        <x:v>低阈值失败</x:v>
      </x:c>
      <x:c r="H43" s="144" t="str">
        <x:v>unittest_list.json；module_lists_coem.json</x:v>
      </x:c>
    </x:row>
    <x:row r="44" ht="72" customHeight="1">
      <x:c r="A44" s="144" t="str">
        <x:v>Com-I-PDU</x:v>
      </x:c>
      <x:c r="B44" s="144" t="str">
        <x:v>COM-MSG-Rx-000 / APA_0x134</x:v>
      </x:c>
      <x:c r="C44" s="144" t="str">
        <x:v>方向=Rx; CAN_ID=0x134; DLC=8; 周期=20 ms; Sender=APA; Signal数=1</x:v>
      </x:c>
      <x:c r="D44" s="144" t="str">
        <x:v>输入：总线报文；输出：Com Signal 与超时状态。边界：DLC/周期/更新位/超时/Bus-Off/无效值必须显式处理；不得依据参考 DBC 生成。</x:v>
      </x:c>
      <x:c r="E44" s="144" t="str">
        <x:v>M2</x:v>
      </x:c>
      <x:c r="F44" s="144" t="str">
        <x:v>东软自有通信数据库、CanIf/PduR/Com 配置、PDU→Signal 映射、timeout/E2E/更新位需求和自动测试。</x:v>
      </x:c>
      <x:c r="G44" s="144" t="str">
        <x:v>正确/错误 DLC、最小/最大周期、丢帧/重复/乱序、Bus-Off、全 Signal 边界值；CAN ID/DLC/方向逐项一致。</x:v>
      </x:c>
      <x:c r="H44" s="144" t="str">
        <x:v>coem/BYD_UKE/gen_bsw/Com/Com_Cfg_SymbolicNames.h:71; BoschOversea_StandardCANFD_commplatform_RCR_CAN_Matrix_V4.18.2_20251104.dbc:328; coem/BYD_UKE/gen_bsw/CanIf/CanIf_PBcfg.c:1554</x:v>
      </x:c>
    </x:row>
    <x:row r="45" ht="72" customHeight="1">
      <x:c r="A45" s="144" t="str">
        <x:v>Com-I-PDU</x:v>
      </x:c>
      <x:c r="B45" s="144" t="str">
        <x:v>COM-MSG-Rx-001 / CS_0x133</x:v>
      </x:c>
      <x:c r="C45" s="144" t="str">
        <x:v>方向=Rx; CAN_ID=0x133; DLC=8; 周期=50 ms; Sender=CS; Signal数=3</x:v>
      </x:c>
      <x:c r="D45" s="144" t="str">
        <x:v>输入：总线报文；输出：Com Signal 与超时状态。边界：DLC/周期/更新位/超时/Bus-Off/无效值必须显式处理；不得依据参考 DBC 生成。</x:v>
      </x:c>
      <x:c r="E45" s="144" t="str">
        <x:v>M2</x:v>
      </x:c>
      <x:c r="F45" s="144" t="str">
        <x:v>东软自有通信数据库、CanIf/PduR/Com 配置、PDU→Signal 映射、timeout/E2E/更新位需求和自动测试。</x:v>
      </x:c>
      <x:c r="G45" s="144" t="str">
        <x:v>正确/错误 DLC、最小/最大周期、丢帧/重复/乱序、Bus-Off、全 Signal 边界值；CAN ID/DLC/方向逐项一致。</x:v>
      </x:c>
      <x:c r="H45" s="144" t="str">
        <x:v>coem/BYD_UKE/gen_bsw/Com/Com_Cfg_SymbolicNames.h:72; BoschOversea_StandardCANFD_commplatform_RCR_CAN_Matrix_V4.18.2_20251104.dbc:99; coem/BYD_UKE/gen_bsw/CanIf/CanIf_PBcfg.c:1551</x:v>
      </x:c>
    </x:row>
    <x:row r="46" ht="72" customHeight="1">
      <x:c r="A46" s="144" t="str">
        <x:v>Com-I-PDU</x:v>
      </x:c>
      <x:c r="B46" s="144" t="str">
        <x:v>COM-MSG-Rx-002 / CS_0x142</x:v>
      </x:c>
      <x:c r="C46" s="144" t="str">
        <x:v>方向=Rx; CAN_ID=0x142; DLC=5; 周期=10 ms; Sender=CS; Signal数=4</x:v>
      </x:c>
      <x:c r="D46" s="144" t="str">
        <x:v>输入：总线报文；输出：Com Signal 与超时状态。边界：DLC/周期/更新位/超时/Bus-Off/无效值必须显式处理；不得依据参考 DBC 生成。</x:v>
      </x:c>
      <x:c r="E46" s="144" t="str">
        <x:v>M2</x:v>
      </x:c>
      <x:c r="F46" s="144" t="str">
        <x:v>东软自有通信数据库、CanIf/PduR/Com 配置、PDU→Signal 映射、timeout/E2E/更新位需求和自动测试。</x:v>
      </x:c>
      <x:c r="G46" s="144" t="str">
        <x:v>正确/错误 DLC、最小/最大周期、丢帧/重复/乱序、Bus-Off、全 Signal 边界值；CAN ID/DLC/方向逐项一致。</x:v>
      </x:c>
      <x:c r="H46" s="144" t="str">
        <x:v>coem/BYD_UKE/gen_bsw/Com/Com_Cfg_SymbolicNames.h:73; BoschOversea_StandardCANFD_commplatform_RCR_CAN_Matrix_V4.18.2_20251104.dbc:105; coem/BYD_UKE/gen_bsw/CanIf/CanIf_PBcfg.c:1560</x:v>
      </x:c>
    </x:row>
    <x:row r="47" ht="72" customHeight="1">
      <x:c r="A47" s="144" t="str">
        <x:v>Com-I-PDU</x:v>
      </x:c>
      <x:c r="B47" s="144" t="str">
        <x:v>COM-MSG-Rx-003 / DiSus_0x109</x:v>
      </x:c>
      <x:c r="C47" s="144" t="str">
        <x:v>方向=Rx; CAN_ID=0x109; DLC=64; 周期=20 ms; Sender=DiSus; Signal数=12</x:v>
      </x:c>
      <x:c r="D47" s="144" t="str">
        <x:v>输入：总线报文；输出：Com Signal 与超时状态。边界：DLC/周期/更新位/超时/Bus-Off/无效值必须显式处理；不得依据参考 DBC 生成。</x:v>
      </x:c>
      <x:c r="E47" s="144" t="str">
        <x:v>M2</x:v>
      </x:c>
      <x:c r="F47" s="144" t="str">
        <x:v>东软自有通信数据库、CanIf/PduR/Com 配置、PDU→Signal 映射、timeout/E2E/更新位需求和自动测试。</x:v>
      </x:c>
      <x:c r="G47" s="144" t="str">
        <x:v>正确/错误 DLC、最小/最大周期、丢帧/重复/乱序、Bus-Off、全 Signal 边界值；CAN ID/DLC/方向逐项一致。</x:v>
      </x:c>
      <x:c r="H47" s="144" t="str">
        <x:v>coem/BYD_UKE/gen_bsw/Com/Com_Cfg_SymbolicNames.h:74; BoschOversea_StandardCANFD_commplatform_RCR_CAN_Matrix_V4.18.2_20251104.dbc:487; coem/BYD_UKE/gen_bsw/CanIf/CanIf_PBcfg.c:1587</x:v>
      </x:c>
    </x:row>
    <x:row r="48" ht="72" customHeight="1">
      <x:c r="A48" s="144" t="str">
        <x:v>Com-I-PDU</x:v>
      </x:c>
      <x:c r="B48" s="144" t="str">
        <x:v>COM-MSG-Rx-004 / DiSus_0x258</x:v>
      </x:c>
      <x:c r="C48" s="144" t="str">
        <x:v>方向=Rx; CAN_ID=0x258; DLC=64; 周期=100 ms; Sender=DiSus; Signal数=9</x:v>
      </x:c>
      <x:c r="D48" s="144" t="str">
        <x:v>输入：总线报文；输出：Com Signal 与超时状态。边界：DLC/周期/更新位/超时/Bus-Off/无效值必须显式处理；不得依据参考 DBC 生成。</x:v>
      </x:c>
      <x:c r="E48" s="144" t="str">
        <x:v>M2</x:v>
      </x:c>
      <x:c r="F48" s="144" t="str">
        <x:v>东软自有通信数据库、CanIf/PduR/Com 配置、PDU→Signal 映射、timeout/E2E/更新位需求和自动测试。</x:v>
      </x:c>
      <x:c r="G48" s="144" t="str">
        <x:v>正确/错误 DLC、最小/最大周期、丢帧/重复/乱序、Bus-Off、全 Signal 边界值；CAN ID/DLC/方向逐项一致。</x:v>
      </x:c>
      <x:c r="H48" s="144" t="str">
        <x:v>coem/BYD_UKE/gen_bsw/Com/Com_Cfg_SymbolicNames.h:75; BoschOversea_StandardCANFD_commplatform_RCR_CAN_Matrix_V4.18.2_20251104.dbc:476; coem/BYD_UKE/gen_bsw/CanIf/CanIf_PBcfg.c:1638</x:v>
      </x:c>
    </x:row>
    <x:row r="49" ht="72" customHeight="1">
      <x:c r="A49" s="144" t="str">
        <x:v>Com-I-PDU</x:v>
      </x:c>
      <x:c r="B49" s="144" t="str">
        <x:v>COM-MSG-Rx-005 / ECM_0x10D</x:v>
      </x:c>
      <x:c r="C49" s="144" t="str">
        <x:v>方向=Rx; CAN_ID=0x10D; DLC=8; 周期=20 ms; Sender=ECM; Signal数=2</x:v>
      </x:c>
      <x:c r="D49" s="144" t="str">
        <x:v>输入：总线报文；输出：Com Signal 与超时状态。边界：DLC/周期/更新位/超时/Bus-Off/无效值必须显式处理；不得依据参考 DBC 生成。</x:v>
      </x:c>
      <x:c r="E49" s="144" t="str">
        <x:v>M2</x:v>
      </x:c>
      <x:c r="F49" s="144" t="str">
        <x:v>东软自有通信数据库、CanIf/PduR/Com 配置、PDU→Signal 映射、timeout/E2E/更新位需求和自动测试。</x:v>
      </x:c>
      <x:c r="G49" s="144" t="str">
        <x:v>正确/错误 DLC、最小/最大周期、丢帧/重复/乱序、Bus-Off、全 Signal 边界值；CAN ID/DLC/方向逐项一致。</x:v>
      </x:c>
      <x:c r="H49" s="144" t="str">
        <x:v>coem/BYD_UKE/gen_bsw/Com/Com_Cfg_SymbolicNames.h:76; BoschOversea_StandardCANFD_commplatform_RCR_CAN_Matrix_V4.18.2_20251104.dbc:114; coem/BYD_UKE/gen_bsw/CanIf/CanIf_PBcfg.c:1581</x:v>
      </x:c>
    </x:row>
    <x:row r="50" ht="72" customHeight="1">
      <x:c r="A50" s="144" t="str">
        <x:v>Com-I-PDU</x:v>
      </x:c>
      <x:c r="B50" s="144" t="str">
        <x:v>COM-MSG-Rx-006 / ELKOT_LeftObj</x:v>
      </x:c>
      <x:c r="C50" s="144" t="str">
        <x:v>方向=Rx; CAN_ID=0x2A5; DLC=8; 周期=50 ms; Sender=RadarRearLeft; Signal数=5</x:v>
      </x:c>
      <x:c r="D50" s="144" t="str">
        <x:v>输入：总线报文；输出：Com Signal 与超时状态。边界：DLC/周期/更新位/超时/Bus-Off/无效值必须显式处理；不得依据参考 DBC 生成。</x:v>
      </x:c>
      <x:c r="E50" s="144" t="str">
        <x:v>M2</x:v>
      </x:c>
      <x:c r="F50" s="144" t="str">
        <x:v>东软自有通信数据库、CanIf/PduR/Com 配置、PDU→Signal 映射、timeout/E2E/更新位需求和自动测试。</x:v>
      </x:c>
      <x:c r="G50" s="144" t="str">
        <x:v>正确/错误 DLC、最小/最大周期、丢帧/重复/乱序、Bus-Off、全 Signal 边界值；CAN ID/DLC/方向逐项一致。</x:v>
      </x:c>
      <x:c r="H50" s="144" t="str">
        <x:v>coem/BYD_UKE/gen_bsw/Com/Com_Cfg_SymbolicNames.h:77; BYD_5R1V_RadarRearcorner_V2.5_AllNodes.dbc:124; coem/BYD_UKE/gen_bsw/CanIf/CanIf_PBcfg.c:1666</x:v>
      </x:c>
    </x:row>
    <x:row r="51" ht="72" customHeight="1">
      <x:c r="A51" s="144" t="str">
        <x:v>Com-I-PDU</x:v>
      </x:c>
      <x:c r="B51" s="144" t="str">
        <x:v>COM-MSG-Rx-007 / EPS_0x11F</x:v>
      </x:c>
      <x:c r="C51" s="144" t="str">
        <x:v>方向=Rx; CAN_ID=0x11F; DLC=5; 周期=10 ms; Sender=EPS; Signal数=7</x:v>
      </x:c>
      <x:c r="D51" s="144" t="str">
        <x:v>输入：总线报文；输出：Com Signal 与超时状态。边界：DLC/周期/更新位/超时/Bus-Off/无效值必须显式处理；不得依据参考 DBC 生成。</x:v>
      </x:c>
      <x:c r="E51" s="144" t="str">
        <x:v>M2</x:v>
      </x:c>
      <x:c r="F51" s="144" t="str">
        <x:v>东软自有通信数据库、CanIf/PduR/Com 配置、PDU→Signal 映射、timeout/E2E/更新位需求和自动测试。</x:v>
      </x:c>
      <x:c r="G51" s="144" t="str">
        <x:v>正确/错误 DLC、最小/最大周期、丢帧/重复/乱序、Bus-Off、全 Signal 边界值；CAN ID/DLC/方向逐项一致。</x:v>
      </x:c>
      <x:c r="H51" s="144" t="str">
        <x:v>coem/BYD_UKE/gen_bsw/Com/Com_Cfg_SymbolicNames.h:78; BoschOversea_StandardCANFD_commplatform_RCR_CAN_Matrix_V4.18.2_20251104.dbc:231; coem/BYD_UKE/gen_bsw/CanIf/CanIf_PBcfg.c:1620</x:v>
      </x:c>
    </x:row>
    <x:row r="52" ht="72" customHeight="1">
      <x:c r="A52" s="144" t="str">
        <x:v>Com-I-PDU</x:v>
      </x:c>
      <x:c r="B52" s="144" t="str">
        <x:v>COM-MSG-Rx-008 / IPB_0x0D5</x:v>
      </x:c>
      <x:c r="C52" s="144" t="str">
        <x:v>方向=Rx; CAN_ID=0xD5; DLC=8; 周期=10 ms; Sender=IPB; Signal数=4</x:v>
      </x:c>
      <x:c r="D52" s="144" t="str">
        <x:v>输入：总线报文；输出：Com Signal 与超时状态。边界：DLC/周期/更新位/超时/Bus-Off/无效值必须显式处理；不得依据参考 DBC 生成。</x:v>
      </x:c>
      <x:c r="E52" s="144" t="str">
        <x:v>M2</x:v>
      </x:c>
      <x:c r="F52" s="144" t="str">
        <x:v>东软自有通信数据库、CanIf/PduR/Com 配置、PDU→Signal 映射、timeout/E2E/更新位需求和自动测试。</x:v>
      </x:c>
      <x:c r="G52" s="144" t="str">
        <x:v>正确/错误 DLC、最小/最大周期、丢帧/重复/乱序、Bus-Off、全 Signal 边界值；CAN ID/DLC/方向逐项一致。</x:v>
      </x:c>
      <x:c r="H52" s="144" t="str">
        <x:v>coem/BYD_UKE/gen_bsw/Com/Com_Cfg_SymbolicNames.h:79; BoschOversea_StandardCANFD_commplatform_RCR_CAN_Matrix_V4.18.2_20251104.dbc:225; coem/BYD_UKE/gen_bsw/CanIf/CanIf_PBcfg.c:1617</x:v>
      </x:c>
    </x:row>
    <x:row r="53" ht="72" customHeight="1">
      <x:c r="A53" s="144" t="str">
        <x:v>Com-I-PDU</x:v>
      </x:c>
      <x:c r="B53" s="144" t="str">
        <x:v>COM-MSG-Rx-009 / IPB_0x10C</x:v>
      </x:c>
      <x:c r="C53" s="144" t="str">
        <x:v>方向=Rx; CAN_ID=0x10C; DLC=64; 周期=10 ms; Sender=IPB; Signal数=87</x:v>
      </x:c>
      <x:c r="D53" s="144" t="str">
        <x:v>输入：总线报文；输出：Com Signal 与超时状态。边界：DLC/周期/更新位/超时/Bus-Off/无效值必须显式处理；不得依据参考 DBC 生成。</x:v>
      </x:c>
      <x:c r="E53" s="144" t="str">
        <x:v>M2</x:v>
      </x:c>
      <x:c r="F53" s="144" t="str">
        <x:v>东软自有通信数据库、CanIf/PduR/Com 配置、PDU→Signal 映射、timeout/E2E/更新位需求和自动测试。</x:v>
      </x:c>
      <x:c r="G53" s="144" t="str">
        <x:v>正确/错误 DLC、最小/最大周期、丢帧/重复/乱序、Bus-Off、全 Signal 边界值；CAN ID/DLC/方向逐项一致。</x:v>
      </x:c>
      <x:c r="H53" s="144" t="str">
        <x:v>coem/BYD_UKE/gen_bsw/Com/Com_Cfg_SymbolicNames.h:80; BoschOversea_StandardCANFD_commplatform_RCR_CAN_Matrix_V4.18.2_20251104.dbc:387; coem/BYD_UKE/gen_bsw/CanIf/CanIf_PBcfg.c:1584</x:v>
      </x:c>
    </x:row>
    <x:row r="54" ht="72" customHeight="1">
      <x:c r="A54" s="144" t="str">
        <x:v>Com-I-PDU</x:v>
      </x:c>
      <x:c r="B54" s="144" t="str">
        <x:v>COM-MSG-Rx-010 / IPB_0x121</x:v>
      </x:c>
      <x:c r="C54" s="144" t="str">
        <x:v>方向=Rx; CAN_ID=0x121; DLC=8; 周期=20 ms; Sender=IPB; Signal数=12</x:v>
      </x:c>
      <x:c r="D54" s="144" t="str">
        <x:v>输入：总线报文；输出：Com Signal 与超时状态。边界：DLC/周期/更新位/超时/Bus-Off/无效值必须显式处理；不得依据参考 DBC 生成。</x:v>
      </x:c>
      <x:c r="E54" s="144" t="str">
        <x:v>M2</x:v>
      </x:c>
      <x:c r="F54" s="144" t="str">
        <x:v>东软自有通信数据库、CanIf/PduR/Com 配置、PDU→Signal 映射、timeout/E2E/更新位需求和自动测试。</x:v>
      </x:c>
      <x:c r="G54" s="144" t="str">
        <x:v>正确/错误 DLC、最小/最大周期、丢帧/重复/乱序、Bus-Off、全 Signal 边界值；CAN ID/DLC/方向逐项一致。</x:v>
      </x:c>
      <x:c r="H54" s="144" t="str">
        <x:v>coem/BYD_UKE/gen_bsw/Com/Com_Cfg_SymbolicNames.h:81; BoschOversea_StandardCANFD_commplatform_RCR_CAN_Matrix_V4.18.2_20251104.dbc:133; coem/BYD_UKE/gen_bsw/CanIf/CanIf_PBcfg.c:1533</x:v>
      </x:c>
    </x:row>
    <x:row r="55" ht="72" customHeight="1">
      <x:c r="A55" s="144" t="str">
        <x:v>Com-I-PDU</x:v>
      </x:c>
      <x:c r="B55" s="144" t="str">
        <x:v>COM-MSG-Rx-011 / IPB_0x123</x:v>
      </x:c>
      <x:c r="C55" s="144" t="str">
        <x:v>方向=Rx; CAN_ID=0x123; DLC=8; 周期=10 ms; Sender=IPB; Signal数=8</x:v>
      </x:c>
      <x:c r="D55" s="144" t="str">
        <x:v>输入：总线报文；输出：Com Signal 与超时状态。边界：DLC/周期/更新位/超时/Bus-Off/无效值必须显式处理；不得依据参考 DBC 生成。</x:v>
      </x:c>
      <x:c r="E55" s="144" t="str">
        <x:v>M2</x:v>
      </x:c>
      <x:c r="F55" s="144" t="str">
        <x:v>东软自有通信数据库、CanIf/PduR/Com 配置、PDU→Signal 映射、timeout/E2E/更新位需求和自动测试。</x:v>
      </x:c>
      <x:c r="G55" s="144" t="str">
        <x:v>正确/错误 DLC、最小/最大周期、丢帧/重复/乱序、Bus-Off、全 Signal 边界值；CAN ID/DLC/方向逐项一致。</x:v>
      </x:c>
      <x:c r="H55" s="144" t="str">
        <x:v>coem/BYD_UKE/gen_bsw/Com/Com_Cfg_SymbolicNames.h:82; BoschOversea_StandardCANFD_commplatform_RCR_CAN_Matrix_V4.18.2_20251104.dbc:154; coem/BYD_UKE/gen_bsw/CanIf/CanIf_PBcfg.c:1536</x:v>
      </x:c>
    </x:row>
    <x:row r="56" ht="72" customHeight="1">
      <x:c r="A56" s="144" t="str">
        <x:v>Com-I-PDU</x:v>
      </x:c>
      <x:c r="B56" s="144" t="str">
        <x:v>COM-MSG-Rx-012 / IPB_0x1F0</x:v>
      </x:c>
      <x:c r="C56" s="144" t="str">
        <x:v>方向=Rx; CAN_ID=0x1F0; DLC=8; 周期=20 ms; Sender=IPB; Signal数=10</x:v>
      </x:c>
      <x:c r="D56" s="144" t="str">
        <x:v>输入：总线报文；输出：Com Signal 与超时状态。边界：DLC/周期/更新位/超时/Bus-Off/无效值必须显式处理；不得依据参考 DBC 生成。</x:v>
      </x:c>
      <x:c r="E56" s="144" t="str">
        <x:v>M2</x:v>
      </x:c>
      <x:c r="F56" s="144" t="str">
        <x:v>东软自有通信数据库、CanIf/PduR/Com 配置、PDU→Signal 映射、timeout/E2E/更新位需求和自动测试。</x:v>
      </x:c>
      <x:c r="G56" s="144" t="str">
        <x:v>正确/错误 DLC、最小/最大周期、丢帧/重复/乱序、Bus-Off、全 Signal 边界值；CAN ID/DLC/方向逐项一致。</x:v>
      </x:c>
      <x:c r="H56" s="144" t="str">
        <x:v>coem/BYD_UKE/gen_bsw/Com/Com_Cfg_SymbolicNames.h:83; BoschOversea_StandardCANFD_commplatform_RCR_CAN_Matrix_V4.18.2_20251104.dbc:213; coem/BYD_UKE/gen_bsw/CanIf/CanIf_PBcfg.c:1608</x:v>
      </x:c>
    </x:row>
    <x:row r="57" ht="72" customHeight="1">
      <x:c r="A57" s="144" t="str">
        <x:v>Com-I-PDU</x:v>
      </x:c>
      <x:c r="B57" s="144" t="str">
        <x:v>COM-MSG-Rx-013 / IPB_0x220</x:v>
      </x:c>
      <x:c r="C57" s="144" t="str">
        <x:v>方向=Rx; CAN_ID=0x220; DLC=8; 周期=20 ms; Sender=IPB; Signal数=21</x:v>
      </x:c>
      <x:c r="D57" s="144" t="str">
        <x:v>输入：总线报文；输出：Com Signal 与超时状态。边界：DLC/周期/更新位/超时/Bus-Off/无效值必须显式处理；不得依据参考 DBC 生成。</x:v>
      </x:c>
      <x:c r="E57" s="144" t="str">
        <x:v>M2</x:v>
      </x:c>
      <x:c r="F57" s="144" t="str">
        <x:v>东软自有通信数据库、CanIf/PduR/Com 配置、PDU→Signal 映射、timeout/E2E/更新位需求和自动测试。</x:v>
      </x:c>
      <x:c r="G57" s="144" t="str">
        <x:v>正确/错误 DLC、最小/最大周期、丢帧/重复/乱序、Bus-Off、全 Signal 边界值；CAN ID/DLC/方向逐项一致。</x:v>
      </x:c>
      <x:c r="H57" s="144" t="str">
        <x:v>coem/BYD_UKE/gen_bsw/Com/Com_Cfg_SymbolicNames.h:84; BoschOversea_StandardCANFD_commplatform_RCR_CAN_Matrix_V4.18.2_20251104.dbc:189; coem/BYD_UKE/gen_bsw/CanIf/CanIf_PBcfg.c:1605</x:v>
      </x:c>
    </x:row>
    <x:row r="58" ht="72" customHeight="1">
      <x:c r="A58" s="144" t="str">
        <x:v>Com-I-PDU</x:v>
      </x:c>
      <x:c r="B58" s="144" t="str">
        <x:v>COM-MSG-Rx-014 / IPB_0x222</x:v>
      </x:c>
      <x:c r="C58" s="144" t="str">
        <x:v>方向=Rx; CAN_ID=0x222; DLC=8; 周期=20 ms; Sender=IPB; Signal数=13</x:v>
      </x:c>
      <x:c r="D58" s="144" t="str">
        <x:v>输入：总线报文；输出：Com Signal 与超时状态。边界：DLC/周期/更新位/超时/Bus-Off/无效值必须显式处理；不得依据参考 DBC 生成。</x:v>
      </x:c>
      <x:c r="E58" s="144" t="str">
        <x:v>M2</x:v>
      </x:c>
      <x:c r="F58" s="144" t="str">
        <x:v>东软自有通信数据库、CanIf/PduR/Com 配置、PDU→Signal 映射、timeout/E2E/更新位需求和自动测试。</x:v>
      </x:c>
      <x:c r="G58" s="144" t="str">
        <x:v>正确/错误 DLC、最小/最大周期、丢帧/重复/乱序、Bus-Off、全 Signal 边界值；CAN ID/DLC/方向逐项一致。</x:v>
      </x:c>
      <x:c r="H58" s="144" t="str">
        <x:v>coem/BYD_UKE/gen_bsw/Com/Com_Cfg_SymbolicNames.h:85; BoschOversea_StandardCANFD_commplatform_RCR_CAN_Matrix_V4.18.2_20251104.dbc:164; coem/BYD_UKE/gen_bsw/CanIf/CanIf_PBcfg.c:1599</x:v>
      </x:c>
    </x:row>
    <x:row r="59" ht="72" customHeight="1">
      <x:c r="A59" s="144" t="str">
        <x:v>Com-I-PDU</x:v>
      </x:c>
      <x:c r="B59" s="144" t="str">
        <x:v>COM-MSG-Rx-015 / IPB_0x223</x:v>
      </x:c>
      <x:c r="C59" s="144" t="str">
        <x:v>方向=Rx; CAN_ID=0x223; DLC=8; 周期=20 ms; Sender=IPB; Signal数=8</x:v>
      </x:c>
      <x:c r="D59" s="144" t="str">
        <x:v>输入：总线报文；输出：Com Signal 与超时状态。边界：DLC/周期/更新位/超时/Bus-Off/无效值必须显式处理；不得依据参考 DBC 生成。</x:v>
      </x:c>
      <x:c r="E59" s="144" t="str">
        <x:v>M2</x:v>
      </x:c>
      <x:c r="F59" s="144" t="str">
        <x:v>东软自有通信数据库、CanIf/PduR/Com 配置、PDU→Signal 映射、timeout/E2E/更新位需求和自动测试。</x:v>
      </x:c>
      <x:c r="G59" s="144" t="str">
        <x:v>正确/错误 DLC、最小/最大周期、丢帧/重复/乱序、Bus-Off、全 Signal 边界值；CAN ID/DLC/方向逐项一致。</x:v>
      </x:c>
      <x:c r="H59" s="144" t="str">
        <x:v>coem/BYD_UKE/gen_bsw/Com/Com_Cfg_SymbolicNames.h:86; BoschOversea_StandardCANFD_commplatform_RCR_CAN_Matrix_V4.18.2_20251104.dbc:179; coem/BYD_UKE/gen_bsw/CanIf/CanIf_PBcfg.c:1602</x:v>
      </x:c>
    </x:row>
    <x:row r="60" ht="72" customHeight="1">
      <x:c r="A60" s="144" t="str">
        <x:v>Com-I-PDU</x:v>
      </x:c>
      <x:c r="B60" s="144" t="str">
        <x:v>COM-MSG-Rx-016 / IPB_0x322</x:v>
      </x:c>
      <x:c r="C60" s="144" t="str">
        <x:v>方向=Rx; CAN_ID=0x322; DLC=8; 周期=20 ms; Sender=IPB; Signal数=2</x:v>
      </x:c>
      <x:c r="D60" s="144" t="str">
        <x:v>输入：总线报文；输出：Com Signal 与超时状态。边界：DLC/周期/更新位/超时/Bus-Off/无效值必须显式处理；不得依据参考 DBC 生成。</x:v>
      </x:c>
      <x:c r="E60" s="144" t="str">
        <x:v>M2</x:v>
      </x:c>
      <x:c r="F60" s="144" t="str">
        <x:v>东软自有通信数据库、CanIf/PduR/Com 配置、PDU→Signal 映射、timeout/E2E/更新位需求和自动测试。</x:v>
      </x:c>
      <x:c r="G60" s="144" t="str">
        <x:v>正确/错误 DLC、最小/最大周期、丢帧/重复/乱序、Bus-Off、全 Signal 边界值；CAN ID/DLC/方向逐项一致。</x:v>
      </x:c>
      <x:c r="H60" s="144" t="str">
        <x:v>coem/BYD_UKE/gen_bsw/Com/Com_Cfg_SymbolicNames.h:87; BoschOversea_StandardCANFD_commplatform_RCR_CAN_Matrix_V4.18.2_20251104.dbc:371; coem/BYD_UKE/gen_bsw/CanIf/CanIf_PBcfg.c:1623</x:v>
      </x:c>
    </x:row>
    <x:row r="61" ht="72" customHeight="1">
      <x:c r="A61" s="144" t="str">
        <x:v>Com-I-PDU</x:v>
      </x:c>
      <x:c r="B61" s="144" t="str">
        <x:v>COM-MSG-Rx-017 / LTE4G_0x49A</x:v>
      </x:c>
      <x:c r="C61" s="144" t="str">
        <x:v>方向=Rx; CAN_ID=0x49A; DLC=8; 周期=1000 ms; Sender=Media; Signal数=2</x:v>
      </x:c>
      <x:c r="D61" s="144" t="str">
        <x:v>输入：总线报文；输出：Com Signal 与超时状态。边界：DLC/周期/更新位/超时/Bus-Off/无效值必须显式处理；不得依据参考 DBC 生成。</x:v>
      </x:c>
      <x:c r="E61" s="144" t="str">
        <x:v>M2</x:v>
      </x:c>
      <x:c r="F61" s="144" t="str">
        <x:v>东软自有通信数据库、CanIf/PduR/Com 配置、PDU→Signal 映射、timeout/E2E/更新位需求和自动测试。</x:v>
      </x:c>
      <x:c r="G61" s="144" t="str">
        <x:v>正确/错误 DLC、最小/最大周期、丢帧/重复/乱序、Bus-Off、全 Signal 边界值；CAN ID/DLC/方向逐项一致。</x:v>
      </x:c>
      <x:c r="H61" s="144" t="str">
        <x:v>coem/BYD_UKE/gen_bsw/Com/Com_Cfg_SymbolicNames.h:88; BoschOversea_StandardCANFD_commplatform_RCR_CAN_Matrix_V4.18.2_20251104.dbc:344; coem/BYD_UKE/gen_bsw/CanIf/CanIf_PBcfg.c:1566</x:v>
      </x:c>
    </x:row>
    <x:row r="62" ht="72" customHeight="1">
      <x:c r="A62" s="144" t="str">
        <x:v>Com-I-PDU</x:v>
      </x:c>
      <x:c r="B62" s="144" t="str">
        <x:v>COM-MSG-Rx-018 / Left_BCM_0x12D</x:v>
      </x:c>
      <x:c r="C62" s="144" t="str">
        <x:v>方向=Rx; CAN_ID=0x12D; DLC=8; 周期=50 ms; Sender=Left_BCM_L1; Signal数=2</x:v>
      </x:c>
      <x:c r="D62" s="144" t="str">
        <x:v>输入：总线报文；输出：Com Signal 与超时状态。边界：DLC/周期/更新位/超时/Bus-Off/无效值必须显式处理；不得依据参考 DBC 生成。</x:v>
      </x:c>
      <x:c r="E62" s="144" t="str">
        <x:v>M2</x:v>
      </x:c>
      <x:c r="F62" s="144" t="str">
        <x:v>东软自有通信数据库、CanIf/PduR/Com 配置、PDU→Signal 映射、timeout/E2E/更新位需求和自动测试。</x:v>
      </x:c>
      <x:c r="G62" s="144" t="str">
        <x:v>正确/错误 DLC、最小/最大周期、丢帧/重复/乱序、Bus-Off、全 Signal 边界值；CAN ID/DLC/方向逐项一致。</x:v>
      </x:c>
      <x:c r="H62" s="144" t="str">
        <x:v>coem/BYD_UKE/gen_bsw/Com/Com_Cfg_SymbolicNames.h:89; BoschOversea_StandardCANFD_commplatform_RCR_CAN_Matrix_V4.18.2_20251104.dbc:66; coem/BYD_UKE/gen_bsw/CanIf/CanIf_PBcfg.c:1530</x:v>
      </x:c>
    </x:row>
    <x:row r="63" ht="72" customHeight="1">
      <x:c r="A63" s="144" t="str">
        <x:v>Com-I-PDU</x:v>
      </x:c>
      <x:c r="B63" s="144" t="str">
        <x:v>COM-MSG-Rx-019 / Left_BCM_0x294</x:v>
      </x:c>
      <x:c r="C63" s="144" t="str">
        <x:v>方向=Rx; CAN_ID=0x2F6; DLC=8; 周期=50 ms; Sender=Left_BCM_L4; Signal数=18</x:v>
      </x:c>
      <x:c r="D63" s="144" t="str">
        <x:v>输入：总线报文；输出：Com Signal 与超时状态。边界：DLC/周期/更新位/超时/Bus-Off/无效值必须显式处理；不得依据参考 DBC 生成。</x:v>
      </x:c>
      <x:c r="E63" s="144" t="str">
        <x:v>M2</x:v>
      </x:c>
      <x:c r="F63" s="144" t="str">
        <x:v>东软自有通信数据库、CanIf/PduR/Com 配置、PDU→Signal 映射、timeout/E2E/更新位需求和自动测试。</x:v>
      </x:c>
      <x:c r="G63" s="144" t="str">
        <x:v>正确/错误 DLC、最小/最大周期、丢帧/重复/乱序、Bus-Off、全 Signal 边界值；CAN ID/DLC/方向逐项一致。</x:v>
      </x:c>
      <x:c r="H63" s="144" t="str">
        <x:v>coem/BYD_UKE/gen_bsw/Com/Com_Cfg_SymbolicNames.h:90; BoschOversea_StandardCANFD_commplatform_RCR_CAN_Matrix_V4.18.2_20251104.dbc:39; coem/BYD_UKE/gen_bsw/CanIf/CanIf_PBcfg.c:1493</x:v>
      </x:c>
    </x:row>
    <x:row r="64" ht="72" customHeight="1">
      <x:c r="A64" s="144" t="str">
        <x:v>Com-I-PDU</x:v>
      </x:c>
      <x:c r="B64" s="144" t="str">
        <x:v>COM-MSG-Rx-020 / Left_BCM_0x38A</x:v>
      </x:c>
      <x:c r="C64" s="144" t="str">
        <x:v>方向=Rx; CAN_ID=0x38A; DLC=8; 周期=1000 ms; Sender=Left_BCM_L1; Signal数=1</x:v>
      </x:c>
      <x:c r="D64" s="144" t="str">
        <x:v>输入：总线报文；输出：Com Signal 与超时状态。边界：DLC/周期/更新位/超时/Bus-Off/无效值必须显式处理；不得依据参考 DBC 生成。</x:v>
      </x:c>
      <x:c r="E64" s="144" t="str">
        <x:v>M2</x:v>
      </x:c>
      <x:c r="F64" s="144" t="str">
        <x:v>东软自有通信数据库、CanIf/PduR/Com 配置、PDU→Signal 映射、timeout/E2E/更新位需求和自动测试。</x:v>
      </x:c>
      <x:c r="G64" s="144" t="str">
        <x:v>正确/错误 DLC、最小/最大周期、丢帧/重复/乱序、Bus-Off、全 Signal 边界值；CAN ID/DLC/方向逐项一致。</x:v>
      </x:c>
      <x:c r="H64" s="144" t="str">
        <x:v>coem/BYD_UKE/gen_bsw/Com/Com_Cfg_SymbolicNames.h:91; BoschOversea_StandardCANFD_commplatform_RCR_CAN_Matrix_V4.18.2_20251104.dbc:375; coem/BYD_UKE/gen_bsw/CanIf/CanIf_PBcfg.c:1548</x:v>
      </x:c>
    </x:row>
    <x:row r="65" ht="72" customHeight="1">
      <x:c r="A65" s="144" t="str">
        <x:v>Com-I-PDU</x:v>
      </x:c>
      <x:c r="B65" s="144" t="str">
        <x:v>COM-MSG-Rx-021 / Left_BCM_0x3D9</x:v>
      </x:c>
      <x:c r="C65" s="144" t="str">
        <x:v>方向=Rx; CAN_ID=0x3D9; DLC=8; 周期=1000 ms; Sender=Left_BCM_L1; Signal数=2</x:v>
      </x:c>
      <x:c r="D65" s="144" t="str">
        <x:v>输入：总线报文；输出：Com Signal 与超时状态。边界：DLC/周期/更新位/超时/Bus-Off/无效值必须显式处理；不得依据参考 DBC 生成。</x:v>
      </x:c>
      <x:c r="E65" s="144" t="str">
        <x:v>M2</x:v>
      </x:c>
      <x:c r="F65" s="144" t="str">
        <x:v>东软自有通信数据库、CanIf/PduR/Com 配置、PDU→Signal 映射、timeout/E2E/更新位需求和自动测试。</x:v>
      </x:c>
      <x:c r="G65" s="144" t="str">
        <x:v>正确/错误 DLC、最小/最大周期、丢帧/重复/乱序、Bus-Off、全 Signal 边界值；CAN ID/DLC/方向逐项一致。</x:v>
      </x:c>
      <x:c r="H65" s="144" t="str">
        <x:v>coem/BYD_UKE/gen_bsw/Com/Com_Cfg_SymbolicNames.h:92; BoschOversea_StandardCANFD_commplatform_RCR_CAN_Matrix_V4.18.2_20251104.dbc:70; coem/BYD_UKE/gen_bsw/CanIf/CanIf_PBcfg.c:1539</x:v>
      </x:c>
    </x:row>
    <x:row r="66" ht="72" customHeight="1">
      <x:c r="A66" s="144" t="str">
        <x:v>Com-I-PDU</x:v>
      </x:c>
      <x:c r="B66" s="144" t="str">
        <x:v>COM-MSG-Rx-022 / Left_BCM_0x407</x:v>
      </x:c>
      <x:c r="C66" s="144" t="str">
        <x:v>方向=Rx; CAN_ID=0x407; DLC=8; 周期=1000 ms; Sender=Left_BCM_L1; Signal数=5</x:v>
      </x:c>
      <x:c r="D66" s="144" t="str">
        <x:v>输入：总线报文；输出：Com Signal 与超时状态。边界：DLC/周期/更新位/超时/Bus-Off/无效值必须显式处理；不得依据参考 DBC 生成。</x:v>
      </x:c>
      <x:c r="E66" s="144" t="str">
        <x:v>M2</x:v>
      </x:c>
      <x:c r="F66" s="144" t="str">
        <x:v>东软自有通信数据库、CanIf/PduR/Com 配置、PDU→Signal 映射、timeout/E2E/更新位需求和自动测试。</x:v>
      </x:c>
      <x:c r="G66" s="144" t="str">
        <x:v>正确/错误 DLC、最小/最大周期、丢帧/重复/乱序、Bus-Off、全 Signal 边界值；CAN ID/DLC/方向逐项一致。</x:v>
      </x:c>
      <x:c r="H66" s="144" t="str">
        <x:v>coem/BYD_UKE/gen_bsw/Com/Com_Cfg_SymbolicNames.h:93; BoschOversea_StandardCANFD_commplatform_RCR_CAN_Matrix_V4.18.2_20251104.dbc:59; coem/BYD_UKE/gen_bsw/CanIf/CanIf_PBcfg.c:1515</x:v>
      </x:c>
    </x:row>
    <x:row r="67" ht="72" customHeight="1">
      <x:c r="A67" s="144" t="str">
        <x:v>Com-I-PDU</x:v>
      </x:c>
      <x:c r="B67" s="144" t="str">
        <x:v>COM-MSG-Rx-023 / Left_BCM_0x475</x:v>
      </x:c>
      <x:c r="C67" s="144" t="str">
        <x:v>方向=Rx; CAN_ID=0x475; DLC=8; 周期=1000 ms; Sender=Left_BCM_L1; Signal数=2</x:v>
      </x:c>
      <x:c r="D67" s="144" t="str">
        <x:v>输入：总线报文；输出：Com Signal 与超时状态。边界：DLC/周期/更新位/超时/Bus-Off/无效值必须显式处理；不得依据参考 DBC 生成。</x:v>
      </x:c>
      <x:c r="E67" s="144" t="str">
        <x:v>M2</x:v>
      </x:c>
      <x:c r="F67" s="144" t="str">
        <x:v>东软自有通信数据库、CanIf/PduR/Com 配置、PDU→Signal 映射、timeout/E2E/更新位需求和自动测试。</x:v>
      </x:c>
      <x:c r="G67" s="144" t="str">
        <x:v>正确/错误 DLC、最小/最大周期、丢帧/重复/乱序、Bus-Off、全 Signal 边界值；CAN ID/DLC/方向逐项一致。</x:v>
      </x:c>
      <x:c r="H67" s="144" t="str">
        <x:v>coem/BYD_UKE/gen_bsw/Com/Com_Cfg_SymbolicNames.h:94; BoschOversea_StandardCANFD_commplatform_RCR_CAN_Matrix_V4.18.2_20251104.dbc:367; coem/BYD_UKE/gen_bsw/CanIf/CanIf_PBcfg.c:1524</x:v>
      </x:c>
    </x:row>
    <x:row r="68" ht="72" customHeight="1">
      <x:c r="A68" s="144" t="str">
        <x:v>Com-I-PDU</x:v>
      </x:c>
      <x:c r="B68" s="144" t="str">
        <x:v>COM-MSG-Rx-024 / Left_BCM_0x490</x:v>
      </x:c>
      <x:c r="C68" s="144" t="str">
        <x:v>方向=Rx; CAN_ID=0x490; DLC=8; 周期=100 ms; Sender=Left_BCM_L1; Signal数=4</x:v>
      </x:c>
      <x:c r="D68" s="144" t="str">
        <x:v>输入：总线报文；输出：Com Signal 与超时状态。边界：DLC/周期/更新位/超时/Bus-Off/无效值必须显式处理；不得依据参考 DBC 生成。</x:v>
      </x:c>
      <x:c r="E68" s="144" t="str">
        <x:v>M2</x:v>
      </x:c>
      <x:c r="F68" s="144" t="str">
        <x:v>东软自有通信数据库、CanIf/PduR/Com 配置、PDU→Signal 映射、timeout/E2E/更新位需求和自动测试。</x:v>
      </x:c>
      <x:c r="G68" s="144" t="str">
        <x:v>正确/错误 DLC、最小/最大周期、丢帧/重复/乱序、Bus-Off、全 Signal 边界值；CAN ID/DLC/方向逐项一致。</x:v>
      </x:c>
      <x:c r="H68" s="144" t="str">
        <x:v>coem/BYD_UKE/gen_bsw/Com/Com_Cfg_SymbolicNames.h:95; BoschOversea_StandardCANFD_commplatform_RCR_CAN_Matrix_V4.18.2_20251104.dbc:361; coem/BYD_UKE/gen_bsw/CanIf/CanIf_PBcfg.c:1569</x:v>
      </x:c>
    </x:row>
    <x:row r="69" ht="72" customHeight="1">
      <x:c r="A69" s="144" t="str">
        <x:v>Com-I-PDU</x:v>
      </x:c>
      <x:c r="B69" s="144" t="str">
        <x:v>COM-MSG-Rx-025 / MPC_0x139</x:v>
      </x:c>
      <x:c r="C69" s="144" t="str">
        <x:v>方向=Rx; CAN_ID=0x139; DLC=64; 周期=20 ms; Sender=MPC; Signal数=14</x:v>
      </x:c>
      <x:c r="D69" s="144" t="str">
        <x:v>输入：总线报文；输出：Com Signal 与超时状态。边界：DLC/周期/更新位/超时/Bus-Off/无效值必须显式处理；不得依据参考 DBC 生成。</x:v>
      </x:c>
      <x:c r="E69" s="144" t="str">
        <x:v>M2</x:v>
      </x:c>
      <x:c r="F69" s="144" t="str">
        <x:v>东软自有通信数据库、CanIf/PduR/Com 配置、PDU→Signal 映射、timeout/E2E/更新位需求和自动测试。</x:v>
      </x:c>
      <x:c r="G69" s="144" t="str">
        <x:v>正确/错误 DLC、最小/最大周期、丢帧/重复/乱序、Bus-Off、全 Signal 边界值；CAN ID/DLC/方向逐项一致。</x:v>
      </x:c>
      <x:c r="H69" s="144" t="str">
        <x:v>coem/BYD_UKE/gen_bsw/Com/Com_Cfg_SymbolicNames.h:96; BoschOversea_StandardCANFD_commplatform_RCR_CAN_Matrix_V4.18.2_20251104.dbc:692; coem/BYD_UKE/gen_bsw/CanIf/CanIf_PBcfg.c:1557</x:v>
      </x:c>
    </x:row>
    <x:row r="70" ht="72" customHeight="1">
      <x:c r="A70" s="144" t="str">
        <x:v>Com-I-PDU</x:v>
      </x:c>
      <x:c r="B70" s="144" t="str">
        <x:v>COM-MSG-Rx-026 / MPC_0x1FF</x:v>
      </x:c>
      <x:c r="C70" s="144" t="str">
        <x:v>方向=Rx; CAN_ID=0x1FF; DLC=8; 周期=100 ms; Sender=MPC; Signal数=2</x:v>
      </x:c>
      <x:c r="D70" s="144" t="str">
        <x:v>输入：总线报文；输出：Com Signal 与超时状态。边界：DLC/周期/更新位/超时/Bus-Off/无效值必须显式处理；不得依据参考 DBC 生成。</x:v>
      </x:c>
      <x:c r="E70" s="144" t="str">
        <x:v>M2</x:v>
      </x:c>
      <x:c r="F70" s="144" t="str">
        <x:v>东软自有通信数据库、CanIf/PduR/Com 配置、PDU→Signal 映射、timeout/E2E/更新位需求和自动测试。</x:v>
      </x:c>
      <x:c r="G70" s="144" t="str">
        <x:v>正确/错误 DLC、最小/最大周期、丢帧/重复/乱序、Bus-Off、全 Signal 边界值；CAN ID/DLC/方向逐项一致。</x:v>
      </x:c>
      <x:c r="H70" s="144" t="str">
        <x:v>coem/BYD_UKE/gen_bsw/Com/Com_Cfg_SymbolicNames.h:97; BoschOversea_StandardCANFD_commplatform_RCR_CAN_Matrix_V4.18.2_20251104.dbc:729; coem/BYD_UKE/gen_bsw/CanIf/CanIf_PBcfg.c:1611</x:v>
      </x:c>
    </x:row>
    <x:row r="71" ht="72" customHeight="1">
      <x:c r="A71" s="144" t="str">
        <x:v>Com-I-PDU</x:v>
      </x:c>
      <x:c r="B71" s="144" t="str">
        <x:v>COM-MSG-Rx-027 / MPC_0x432</x:v>
      </x:c>
      <x:c r="C71" s="144" t="str">
        <x:v>方向=Rx; CAN_ID=0x432; DLC=8; 周期=1000 ms; Sender=MPC; Signal数=1</x:v>
      </x:c>
      <x:c r="D71" s="144" t="str">
        <x:v>输入：总线报文；输出：Com Signal 与超时状态。边界：DLC/周期/更新位/超时/Bus-Off/无效值必须显式处理；不得依据参考 DBC 生成。</x:v>
      </x:c>
      <x:c r="E71" s="144" t="str">
        <x:v>M2</x:v>
      </x:c>
      <x:c r="F71" s="144" t="str">
        <x:v>东软自有通信数据库、CanIf/PduR/Com 配置、PDU→Signal 映射、timeout/E2E/更新位需求和自动测试。</x:v>
      </x:c>
      <x:c r="G71" s="144" t="str">
        <x:v>正确/错误 DLC、最小/最大周期、丢帧/重复/乱序、Bus-Off、全 Signal 边界值；CAN ID/DLC/方向逐项一致。</x:v>
      </x:c>
      <x:c r="H71" s="144" t="str">
        <x:v>coem/BYD_UKE/gen_bsw/Com/Com_Cfg_SymbolicNames.h:98; BoschOversea_StandardCANFD_commplatform_RCR_CAN_Matrix_V4.18.2_20251104.dbc:509; coem/BYD_UKE/gen_bsw/CanIf/CanIf_PBcfg.c:1527</x:v>
      </x:c>
    </x:row>
    <x:row r="72" ht="72" customHeight="1">
      <x:c r="A72" s="144" t="str">
        <x:v>Com-I-PDU</x:v>
      </x:c>
      <x:c r="B72" s="144" t="str">
        <x:v>COM-MSG-Rx-028 / MRR_0x32D</x:v>
      </x:c>
      <x:c r="C72" s="144" t="str">
        <x:v>方向=Rx; CAN_ID=0x32D; DLC=8; 周期=20 ms; Sender=MRR; Signal数=3</x:v>
      </x:c>
      <x:c r="D72" s="144" t="str">
        <x:v>输入：总线报文；输出：Com Signal 与超时状态。边界：DLC/周期/更新位/超时/Bus-Off/无效值必须显式处理；不得依据参考 DBC 生成。</x:v>
      </x:c>
      <x:c r="E72" s="144" t="str">
        <x:v>M2</x:v>
      </x:c>
      <x:c r="F72" s="144" t="str">
        <x:v>东软自有通信数据库、CanIf/PduR/Com 配置、PDU→Signal 映射、timeout/E2E/更新位需求和自动测试。</x:v>
      </x:c>
      <x:c r="G72" s="144" t="str">
        <x:v>正确/错误 DLC、最小/最大周期、丢帧/重复/乱序、Bus-Off、全 Signal 边界值；CAN ID/DLC/方向逐项一致。</x:v>
      </x:c>
      <x:c r="H72" s="144" t="str">
        <x:v>coem/BYD_UKE/gen_bsw/Com/Com_Cfg_SymbolicNames.h:99; BoschOversea_StandardCANFD_commplatform_FCR_CAN_Matrix_V4.18.2_20251104.dbc:297; coem/BYD_UKE/gen_bsw/CanIf/CanIf_PBcfg.c:1632</x:v>
      </x:c>
    </x:row>
    <x:row r="73" ht="72" customHeight="1">
      <x:c r="A73" s="144" t="str">
        <x:v>Com-I-PDU</x:v>
      </x:c>
      <x:c r="B73" s="144" t="str">
        <x:v>COM-MSG-Rx-029 / MRR_0x32E</x:v>
      </x:c>
      <x:c r="C73" s="144" t="str">
        <x:v>方向=Rx; CAN_ID=0x32E; DLC=8; 周期=20 ms; Sender=MRR; Signal数=14</x:v>
      </x:c>
      <x:c r="D73" s="144" t="str">
        <x:v>输入：总线报文；输出：Com Signal 与超时状态。边界：DLC/周期/更新位/超时/Bus-Off/无效值必须显式处理；不得依据参考 DBC 生成。</x:v>
      </x:c>
      <x:c r="E73" s="144" t="str">
        <x:v>M2</x:v>
      </x:c>
      <x:c r="F73" s="144" t="str">
        <x:v>东软自有通信数据库、CanIf/PduR/Com 配置、PDU→Signal 映射、timeout/E2E/更新位需求和自动测试。</x:v>
      </x:c>
      <x:c r="G73" s="144" t="str">
        <x:v>正确/错误 DLC、最小/最大周期、丢帧/重复/乱序、Bus-Off、全 Signal 边界值；CAN ID/DLC/方向逐项一致。</x:v>
      </x:c>
      <x:c r="H73" s="144" t="str">
        <x:v>coem/BYD_UKE/gen_bsw/Com/Com_Cfg_SymbolicNames.h:100; BoschOversea_StandardCANFD_commplatform_RCR_CAN_Matrix_V4.18.2_20251104.dbc:708; coem/BYD_UKE/gen_bsw/CanIf/CanIf_PBcfg.c:1629</x:v>
      </x:c>
    </x:row>
    <x:row r="74" ht="72" customHeight="1">
      <x:c r="A74" s="144" t="str">
        <x:v>Com-I-PDU</x:v>
      </x:c>
      <x:c r="B74" s="144" t="str">
        <x:v>COM-MSG-Rx-030 / Media_0x2B6</x:v>
      </x:c>
      <x:c r="C74" s="144" t="str">
        <x:v>方向=Rx; CAN_ID=0x2B6; DLC=8; 周期=500 ms; Sender=Media; Signal数=7</x:v>
      </x:c>
      <x:c r="D74" s="144" t="str">
        <x:v>输入：总线报文；输出：Com Signal 与超时状态。边界：DLC/周期/更新位/超时/Bus-Off/无效值必须显式处理；不得依据参考 DBC 生成。</x:v>
      </x:c>
      <x:c r="E74" s="144" t="str">
        <x:v>M2</x:v>
      </x:c>
      <x:c r="F74" s="144" t="str">
        <x:v>东软自有通信数据库、CanIf/PduR/Com 配置、PDU→Signal 映射、timeout/E2E/更新位需求和自动测试。</x:v>
      </x:c>
      <x:c r="G74" s="144" t="str">
        <x:v>正确/错误 DLC、最小/最大周期、丢帧/重复/乱序、Bus-Off、全 Signal 边界值；CAN ID/DLC/方向逐项一致。</x:v>
      </x:c>
      <x:c r="H74" s="144" t="str">
        <x:v>coem/BYD_UKE/gen_bsw/Com/Com_Cfg_SymbolicNames.h:101; BoschOversea_StandardCANFD_commplatform_RCR_CAN_Matrix_V4.18.2_20251104.dbc:86; coem/BYD_UKE/gen_bsw/CanIf/CanIf_PBcfg.c:1509</x:v>
      </x:c>
    </x:row>
    <x:row r="75" ht="72" customHeight="1">
      <x:c r="A75" s="144" t="str">
        <x:v>Com-I-PDU</x:v>
      </x:c>
      <x:c r="B75" s="144" t="str">
        <x:v>COM-MSG-Rx-031 / Media_0x32B</x:v>
      </x:c>
      <x:c r="C75" s="144" t="str">
        <x:v>方向=Rx; CAN_ID=0x32B; DLC=8; 周期=100 ms; Sender=Media; Signal数=6</x:v>
      </x:c>
      <x:c r="D75" s="144" t="str">
        <x:v>输入：总线报文；输出：Com Signal 与超时状态。边界：DLC/周期/更新位/超时/Bus-Off/无效值必须显式处理；不得依据参考 DBC 生成。</x:v>
      </x:c>
      <x:c r="E75" s="144" t="str">
        <x:v>M2</x:v>
      </x:c>
      <x:c r="F75" s="144" t="str">
        <x:v>东软自有通信数据库、CanIf/PduR/Com 配置、PDU→Signal 映射、timeout/E2E/更新位需求和自动测试。</x:v>
      </x:c>
      <x:c r="G75" s="144" t="str">
        <x:v>正确/错误 DLC、最小/最大周期、丢帧/重复/乱序、Bus-Off、全 Signal 边界值；CAN ID/DLC/方向逐项一致。</x:v>
      </x:c>
      <x:c r="H75" s="144" t="str">
        <x:v>coem/BYD_UKE/gen_bsw/Com/Com_Cfg_SymbolicNames.h:102; BoschOversea_StandardCANFD_commplatform_RCR_CAN_Matrix_V4.18.2_20251104.dbc:501; coem/BYD_UKE/gen_bsw/CanIf/CanIf_PBcfg.c:1626</x:v>
      </x:c>
    </x:row>
    <x:row r="76" ht="72" customHeight="1">
      <x:c r="A76" s="144" t="str">
        <x:v>Com-I-PDU</x:v>
      </x:c>
      <x:c r="B76" s="144" t="str">
        <x:v>COM-MSG-Rx-032 / Media_0x385</x:v>
      </x:c>
      <x:c r="C76" s="144" t="str">
        <x:v>方向=Rx; CAN_ID=0x385; DLC=8; 周期=100 ms; Sender=Media; Signal数=5</x:v>
      </x:c>
      <x:c r="D76" s="144" t="str">
        <x:v>输入：总线报文；输出：Com Signal 与超时状态。边界：DLC/周期/更新位/超时/Bus-Off/无效值必须显式处理；不得依据参考 DBC 生成。</x:v>
      </x:c>
      <x:c r="E76" s="144" t="str">
        <x:v>M2</x:v>
      </x:c>
      <x:c r="F76" s="144" t="str">
        <x:v>东软自有通信数据库、CanIf/PduR/Com 配置、PDU→Signal 映射、timeout/E2E/更新位需求和自动测试。</x:v>
      </x:c>
      <x:c r="G76" s="144" t="str">
        <x:v>正确/错误 DLC、最小/最大周期、丢帧/重复/乱序、Bus-Off、全 Signal 边界值；CAN ID/DLC/方向逐项一致。</x:v>
      </x:c>
      <x:c r="H76" s="144" t="str">
        <x:v>coem/BYD_UKE/gen_bsw/Com/Com_Cfg_SymbolicNames.h:103; BoschOversea_StandardCANFD_commplatform_RCR_CAN_Matrix_V4.18.2_20251104.dbc:79; coem/BYD_UKE/gen_bsw/CanIf/CanIf_PBcfg.c:1542</x:v>
      </x:c>
    </x:row>
    <x:row r="77" ht="72" customHeight="1">
      <x:c r="A77" s="144" t="str">
        <x:v>Com-I-PDU</x:v>
      </x:c>
      <x:c r="B77" s="144" t="str">
        <x:v>COM-MSG-Rx-033 / Media_0x3E3</x:v>
      </x:c>
      <x:c r="C77" s="144" t="str">
        <x:v>方向=Rx; CAN_ID=0x3E3; DLC=8; 周期=100 ms; Sender=Media; Signal数=2</x:v>
      </x:c>
      <x:c r="D77" s="144" t="str">
        <x:v>输入：总线报文；输出：Com Signal 与超时状态。边界：DLC/周期/更新位/超时/Bus-Off/无效值必须显式处理；不得依据参考 DBC 生成。</x:v>
      </x:c>
      <x:c r="E77" s="144" t="str">
        <x:v>M2</x:v>
      </x:c>
      <x:c r="F77" s="144" t="str">
        <x:v>东软自有通信数据库、CanIf/PduR/Com 配置、PDU→Signal 映射、timeout/E2E/更新位需求和自动测试。</x:v>
      </x:c>
      <x:c r="G77" s="144" t="str">
        <x:v>正确/错误 DLC、最小/最大周期、丢帧/重复/乱序、Bus-Off、全 Signal 边界值；CAN ID/DLC/方向逐项一致。</x:v>
      </x:c>
      <x:c r="H77" s="144" t="str">
        <x:v>coem/BYD_UKE/gen_bsw/Com/Com_Cfg_SymbolicNames.h:104; BoschOversea_StandardCANFD_commplatform_RCR_CAN_Matrix_V4.18.2_20251104.dbc:95; coem/BYD_UKE/gen_bsw/CanIf/CanIf_PBcfg.c:1545</x:v>
      </x:c>
    </x:row>
    <x:row r="78" ht="72" customHeight="1">
      <x:c r="A78" s="144" t="str">
        <x:v>Com-I-PDU</x:v>
      </x:c>
      <x:c r="B78" s="144" t="str">
        <x:v>COM-MSG-Rx-034 / Media_0x40C</x:v>
      </x:c>
      <x:c r="C78" s="144" t="str">
        <x:v>方向=Rx; CAN_ID=0x40C; DLC=8; 周期=100 ms; Sender=Media; Signal数=2</x:v>
      </x:c>
      <x:c r="D78" s="144" t="str">
        <x:v>输入：总线报文；输出：Com Signal 与超时状态。边界：DLC/周期/更新位/超时/Bus-Off/无效值必须显式处理；不得依据参考 DBC 生成。</x:v>
      </x:c>
      <x:c r="E78" s="144" t="str">
        <x:v>M2</x:v>
      </x:c>
      <x:c r="F78" s="144" t="str">
        <x:v>东软自有通信数据库、CanIf/PduR/Com 配置、PDU→Signal 映射、timeout/E2E/更新位需求和自动测试。</x:v>
      </x:c>
      <x:c r="G78" s="144" t="str">
        <x:v>正确/错误 DLC、最小/最大周期、丢帧/重复/乱序、Bus-Off、全 Signal 边界值；CAN ID/DLC/方向逐项一致。</x:v>
      </x:c>
      <x:c r="H78" s="144" t="str">
        <x:v>coem/BYD_UKE/gen_bsw/Com/Com_Cfg_SymbolicNames.h:105; BoschOversea_StandardCANFD_commplatform_RCR_CAN_Matrix_V4.18.2_20251104.dbc:357; coem/BYD_UKE/gen_bsw/CanIf/CanIf_PBcfg.c:1521</x:v>
      </x:c>
    </x:row>
    <x:row r="79" ht="72" customHeight="1">
      <x:c r="A79" s="144" t="str">
        <x:v>Com-I-PDU</x:v>
      </x:c>
      <x:c r="B79" s="144" t="str">
        <x:v>COM-MSG-Rx-035 / Media_0x4B4</x:v>
      </x:c>
      <x:c r="C79" s="144" t="str">
        <x:v>方向=Rx; CAN_ID=0x4B4; DLC=64; 周期=1000 ms; Sender=Media; Signal数=17</x:v>
      </x:c>
      <x:c r="D79" s="144" t="str">
        <x:v>输入：总线报文；输出：Com Signal 与超时状态。边界：DLC/周期/更新位/超时/Bus-Off/无效值必须显式处理；不得依据参考 DBC 生成。</x:v>
      </x:c>
      <x:c r="E79" s="144" t="str">
        <x:v>M2</x:v>
      </x:c>
      <x:c r="F79" s="144" t="str">
        <x:v>东软自有通信数据库、CanIf/PduR/Com 配置、PDU→Signal 映射、timeout/E2E/更新位需求和自动测试。</x:v>
      </x:c>
      <x:c r="G79" s="144" t="str">
        <x:v>正确/错误 DLC、最小/最大周期、丢帧/重复/乱序、Bus-Off、全 Signal 边界值；CAN ID/DLC/方向逐项一致。</x:v>
      </x:c>
      <x:c r="H79" s="144" t="str">
        <x:v>coem/BYD_UKE/gen_bsw/Com/Com_Cfg_SymbolicNames.h:106; BoschOversea_StandardCANFD_commplatform_FCR_CAN_Matrix_V4.18.2_20251104.dbc:325; coem/BYD_UKE/gen_bsw/CanIf/CanIf_PBcfg.c:1578</x:v>
      </x:c>
    </x:row>
    <x:row r="80" ht="72" customHeight="1">
      <x:c r="A80" s="144" t="str">
        <x:v>Com-I-PDU</x:v>
      </x:c>
      <x:c r="B80" s="144" t="str">
        <x:v>COM-MSG-Rx-036 / Media_0x4EF</x:v>
      </x:c>
      <x:c r="C80" s="144" t="str">
        <x:v>方向=Rx; CAN_ID=0x4EF; DLC=8; 周期=100 ms; Sender=Media; Signal数=5</x:v>
      </x:c>
      <x:c r="D80" s="144" t="str">
        <x:v>输入：总线报文；输出：Com Signal 与超时状态。边界：DLC/周期/更新位/超时/Bus-Off/无效值必须显式处理；不得依据参考 DBC 生成。</x:v>
      </x:c>
      <x:c r="E80" s="144" t="str">
        <x:v>M2</x:v>
      </x:c>
      <x:c r="F80" s="144" t="str">
        <x:v>东软自有通信数据库、CanIf/PduR/Com 配置、PDU→Signal 映射、timeout/E2E/更新位需求和自动测试。</x:v>
      </x:c>
      <x:c r="G80" s="144" t="str">
        <x:v>正确/错误 DLC、最小/最大周期、丢帧/重复/乱序、Bus-Off、全 Signal 边界值；CAN ID/DLC/方向逐项一致。</x:v>
      </x:c>
      <x:c r="H80" s="144" t="str">
        <x:v>coem/BYD_UKE/gen_bsw/Com/Com_Cfg_SymbolicNames.h:107; BoschOversea_StandardCANFD_commplatform_FCR_CAN_Matrix_V4.18.2_20251104.dbc:78; coem/BYD_UKE/gen_bsw/CanIf/CanIf_PBcfg.c:1575</x:v>
      </x:c>
    </x:row>
    <x:row r="81" ht="72" customHeight="1">
      <x:c r="A81" s="144" t="str">
        <x:v>Com-I-PDU</x:v>
      </x:c>
      <x:c r="B81" s="144" t="str">
        <x:v>COM-MSG-Rx-037 / RFL_50msPDU</x:v>
      </x:c>
      <x:c r="C81" s="144" t="str">
        <x:v>方向=Rx; CAN_ID=0x660; DLC=16; 周期=50 ms; Sender=DASy; Signal数=9</x:v>
      </x:c>
      <x:c r="D81" s="144" t="str">
        <x:v>输入：总线报文；输出：Com Signal 与超时状态。边界：DLC/周期/更新位/超时/Bus-Off/无效值必须显式处理；不得依据参考 DBC 生成。</x:v>
      </x:c>
      <x:c r="E81" s="144" t="str">
        <x:v>M2</x:v>
      </x:c>
      <x:c r="F81" s="144" t="str">
        <x:v>东软自有通信数据库、CanIf/PduR/Com 配置、PDU→Signal 映射、timeout/E2E/更新位需求和自动测试。</x:v>
      </x:c>
      <x:c r="G81" s="144" t="str">
        <x:v>正确/错误 DLC、最小/最大周期、丢帧/重复/乱序、Bus-Off、全 Signal 边界值；CAN ID/DLC/方向逐项一致。</x:v>
      </x:c>
      <x:c r="H81" s="144" t="str">
        <x:v>coem/BYD_UKE/gen_bsw/Com/Com_Cfg_SymbolicNames.h:108; BYD_5R1V_RadarRearcorner_V2.5_AllNodes.dbc:84; coem/BYD_UKE/gen_bsw/CanIf/CanIf_PBcfg.c:1656</x:v>
      </x:c>
    </x:row>
    <x:row r="82" ht="72" customHeight="1">
      <x:c r="A82" s="144" t="str">
        <x:v>Com-I-PDU</x:v>
      </x:c>
      <x:c r="B82" s="144" t="str">
        <x:v>COM-MSG-Rx-038 / RHRDA_ADAS_PriCANFD2_01</x:v>
      </x:c>
      <x:c r="C82" s="144" t="str">
        <x:v>方向=Rx; CAN_ID=0x350; DLC=32; 周期=Com未配置周期（接收报文或直接触发发送） ms; Sender=UNRESOLVED; Signal数=15</x:v>
      </x:c>
      <x:c r="D82" s="144" t="str">
        <x:v>输入：总线报文；输出：Com Signal 与超时状态。边界：DLC/周期/更新位/超时/Bus-Off/无效值必须显式处理；不得依据参考 DBC 生成。</x:v>
      </x:c>
      <x:c r="E82" s="144" t="str">
        <x:v>M2</x:v>
      </x:c>
      <x:c r="F82" s="144" t="str">
        <x:v>东软自有通信数据库、CanIf/PduR/Com 配置、PDU→Signal 映射、timeout/E2E/更新位需求和自动测试。</x:v>
      </x:c>
      <x:c r="G82" s="144" t="str">
        <x:v>正确/错误 DLC、最小/最大周期、丢帧/重复/乱序、Bus-Off、全 Signal 边界值；CAN ID/DLC/方向逐项一致。</x:v>
      </x:c>
      <x:c r="H82" s="144" t="str">
        <x:v>coem/BYD_UKE/gen_bsw/Com/Com_Cfg_SymbolicNames.h:109; coem/BYD_UKE/gen_bsw/CanIf/CanIf_PBcfg.c:1696</x:v>
      </x:c>
    </x:row>
    <x:row r="83" ht="72" customHeight="1">
      <x:c r="A83" s="144" t="str">
        <x:v>Com-I-PDU</x:v>
      </x:c>
      <x:c r="B83" s="144" t="str">
        <x:v>COM-MSG-Rx-039 / RHRDA_ADAS_PriCANFD2_02</x:v>
      </x:c>
      <x:c r="C83" s="144" t="str">
        <x:v>方向=Rx; CAN_ID=0x351; DLC=32; 周期=Com未配置周期（接收报文或直接触发发送） ms; Sender=UNRESOLVED; Signal数=15</x:v>
      </x:c>
      <x:c r="D83" s="144" t="str">
        <x:v>输入：总线报文；输出：Com Signal 与超时状态。边界：DLC/周期/更新位/超时/Bus-Off/无效值必须显式处理；不得依据参考 DBC 生成。</x:v>
      </x:c>
      <x:c r="E83" s="144" t="str">
        <x:v>M2</x:v>
      </x:c>
      <x:c r="F83" s="144" t="str">
        <x:v>东软自有通信数据库、CanIf/PduR/Com 配置、PDU→Signal 映射、timeout/E2E/更新位需求和自动测试。</x:v>
      </x:c>
      <x:c r="G83" s="144" t="str">
        <x:v>正确/错误 DLC、最小/最大周期、丢帧/重复/乱序、Bus-Off、全 Signal 边界值；CAN ID/DLC/方向逐项一致。</x:v>
      </x:c>
      <x:c r="H83" s="144" t="str">
        <x:v>coem/BYD_UKE/gen_bsw/Com/Com_Cfg_SymbolicNames.h:110; coem/BYD_UKE/gen_bsw/CanIf/CanIf_PBcfg.c:1693</x:v>
      </x:c>
    </x:row>
    <x:row r="84" ht="72" customHeight="1">
      <x:c r="A84" s="144" t="str">
        <x:v>Com-I-PDU</x:v>
      </x:c>
      <x:c r="B84" s="144" t="str">
        <x:v>COM-MSG-Rx-040 / RHRDA_ADAS_PriCANFD2_03</x:v>
      </x:c>
      <x:c r="C84" s="144" t="str">
        <x:v>方向=Rx; CAN_ID=0x352; DLC=32; 周期=Com未配置周期（接收报文或直接触发发送） ms; Sender=UNRESOLVED; Signal数=15</x:v>
      </x:c>
      <x:c r="D84" s="144" t="str">
        <x:v>输入：总线报文；输出：Com Signal 与超时状态。边界：DLC/周期/更新位/超时/Bus-Off/无效值必须显式处理；不得依据参考 DBC 生成。</x:v>
      </x:c>
      <x:c r="E84" s="144" t="str">
        <x:v>M2</x:v>
      </x:c>
      <x:c r="F84" s="144" t="str">
        <x:v>东软自有通信数据库、CanIf/PduR/Com 配置、PDU→Signal 映射、timeout/E2E/更新位需求和自动测试。</x:v>
      </x:c>
      <x:c r="G84" s="144" t="str">
        <x:v>正确/错误 DLC、最小/最大周期、丢帧/重复/乱序、Bus-Off、全 Signal 边界值；CAN ID/DLC/方向逐项一致。</x:v>
      </x:c>
      <x:c r="H84" s="144" t="str">
        <x:v>coem/BYD_UKE/gen_bsw/Com/Com_Cfg_SymbolicNames.h:111; coem/BYD_UKE/gen_bsw/CanIf/CanIf_PBcfg.c:1690</x:v>
      </x:c>
    </x:row>
    <x:row r="85" ht="72" customHeight="1">
      <x:c r="A85" s="144" t="str">
        <x:v>Com-I-PDU</x:v>
      </x:c>
      <x:c r="B85" s="144" t="str">
        <x:v>COM-MSG-Rx-041 / RHRDA_ADAS_PriCANFD2_04</x:v>
      </x:c>
      <x:c r="C85" s="144" t="str">
        <x:v>方向=Rx; CAN_ID=0x353; DLC=32; 周期=Com未配置周期（接收报文或直接触发发送） ms; Sender=UNRESOLVED; Signal数=15</x:v>
      </x:c>
      <x:c r="D85" s="144" t="str">
        <x:v>输入：总线报文；输出：Com Signal 与超时状态。边界：DLC/周期/更新位/超时/Bus-Off/无效值必须显式处理；不得依据参考 DBC 生成。</x:v>
      </x:c>
      <x:c r="E85" s="144" t="str">
        <x:v>M2</x:v>
      </x:c>
      <x:c r="F85" s="144" t="str">
        <x:v>东软自有通信数据库、CanIf/PduR/Com 配置、PDU→Signal 映射、timeout/E2E/更新位需求和自动测试。</x:v>
      </x:c>
      <x:c r="G85" s="144" t="str">
        <x:v>正确/错误 DLC、最小/最大周期、丢帧/重复/乱序、Bus-Off、全 Signal 边界值；CAN ID/DLC/方向逐项一致。</x:v>
      </x:c>
      <x:c r="H85" s="144" t="str">
        <x:v>coem/BYD_UKE/gen_bsw/Com/Com_Cfg_SymbolicNames.h:112; coem/BYD_UKE/gen_bsw/CanIf/CanIf_PBcfg.c:1687</x:v>
      </x:c>
    </x:row>
    <x:row r="86" ht="72" customHeight="1">
      <x:c r="A86" s="144" t="str">
        <x:v>Com-I-PDU</x:v>
      </x:c>
      <x:c r="B86" s="144" t="str">
        <x:v>COM-MSG-Rx-042 / RHRDA_ADAS_PriCANFD2_05</x:v>
      </x:c>
      <x:c r="C86" s="144" t="str">
        <x:v>方向=Rx; CAN_ID=0x354; DLC=32; 周期=Com未配置周期（接收报文或直接触发发送） ms; Sender=UNRESOLVED; Signal数=15</x:v>
      </x:c>
      <x:c r="D86" s="144" t="str">
        <x:v>输入：总线报文；输出：Com Signal 与超时状态。边界：DLC/周期/更新位/超时/Bus-Off/无效值必须显式处理；不得依据参考 DBC 生成。</x:v>
      </x:c>
      <x:c r="E86" s="144" t="str">
        <x:v>M2</x:v>
      </x:c>
      <x:c r="F86" s="144" t="str">
        <x:v>东软自有通信数据库、CanIf/PduR/Com 配置、PDU→Signal 映射、timeout/E2E/更新位需求和自动测试。</x:v>
      </x:c>
      <x:c r="G86" s="144" t="str">
        <x:v>正确/错误 DLC、最小/最大周期、丢帧/重复/乱序、Bus-Off、全 Signal 边界值；CAN ID/DLC/方向逐项一致。</x:v>
      </x:c>
      <x:c r="H86" s="144" t="str">
        <x:v>coem/BYD_UKE/gen_bsw/Com/Com_Cfg_SymbolicNames.h:113; coem/BYD_UKE/gen_bsw/CanIf/CanIf_PBcfg.c:1684</x:v>
      </x:c>
    </x:row>
    <x:row r="87" ht="72" customHeight="1">
      <x:c r="A87" s="144" t="str">
        <x:v>Com-I-PDU</x:v>
      </x:c>
      <x:c r="B87" s="144" t="str">
        <x:v>COM-MSG-Rx-043 / RRL_20msPDU</x:v>
      </x:c>
      <x:c r="C87" s="144" t="str">
        <x:v>方向=Rx; CAN_ID=0x560; DLC=16; 周期=20 ms; Sender=RadarRearLeft; Signal数=4</x:v>
      </x:c>
      <x:c r="D87" s="144" t="str">
        <x:v>输入：总线报文；输出：Com Signal 与超时状态。边界：DLC/周期/更新位/超时/Bus-Off/无效值必须显式处理；不得依据参考 DBC 生成。</x:v>
      </x:c>
      <x:c r="E87" s="144" t="str">
        <x:v>M2</x:v>
      </x:c>
      <x:c r="F87" s="144" t="str">
        <x:v>东软自有通信数据库、CanIf/PduR/Com 配置、PDU→Signal 映射、timeout/E2E/更新位需求和自动测试。</x:v>
      </x:c>
      <x:c r="G87" s="144" t="str">
        <x:v>正确/错误 DLC、最小/最大周期、丢帧/重复/乱序、Bus-Off、全 Signal 边界值；CAN ID/DLC/方向逐项一致。</x:v>
      </x:c>
      <x:c r="H87" s="144" t="str">
        <x:v>coem/BYD_UKE/gen_bsw/Com/Com_Cfg_SymbolicNames.h:114; BYD_5R1V_RadarRearcorner_V2.5_AllNodes.dbc:1501; coem/BYD_UKE/gen_bsw/CanIf/CanIf_PBcfg.c:1675</x:v>
      </x:c>
    </x:row>
    <x:row r="88" ht="72" customHeight="1">
      <x:c r="A88" s="144" t="str">
        <x:v>Com-I-PDU</x:v>
      </x:c>
      <x:c r="B88" s="144" t="str">
        <x:v>COM-MSG-Rx-044 / RRL_50msPDU</x:v>
      </x:c>
      <x:c r="C88" s="144" t="str">
        <x:v>方向=Rx; CAN_ID=0x561; DLC=16; 周期=50 ms; Sender=RadarRearLeft; Signal数=14</x:v>
      </x:c>
      <x:c r="D88" s="144" t="str">
        <x:v>输入：总线报文；输出：Com Signal 与超时状态。边界：DLC/周期/更新位/超时/Bus-Off/无效值必须显式处理；不得依据参考 DBC 生成。</x:v>
      </x:c>
      <x:c r="E88" s="144" t="str">
        <x:v>M2</x:v>
      </x:c>
      <x:c r="F88" s="144" t="str">
        <x:v>东软自有通信数据库、CanIf/PduR/Com 配置、PDU→Signal 映射、timeout/E2E/更新位需求和自动测试。</x:v>
      </x:c>
      <x:c r="G88" s="144" t="str">
        <x:v>正确/错误 DLC、最小/最大周期、丢帧/重复/乱序、Bus-Off、全 Signal 边界值；CAN ID/DLC/方向逐项一致。</x:v>
      </x:c>
      <x:c r="H88" s="144" t="str">
        <x:v>coem/BYD_UKE/gen_bsw/Com/Com_Cfg_SymbolicNames.h:115; BYD_5R1V_RadarRearcorner_V2.5_AllNodes.dbc:1507; coem/BYD_UKE/gen_bsw/CanIf/CanIf_PBcfg.c:1678</x:v>
      </x:c>
    </x:row>
    <x:row r="89" ht="72" customHeight="1">
      <x:c r="A89" s="144" t="str">
        <x:v>Com-I-PDU</x:v>
      </x:c>
      <x:c r="B89" s="144" t="str">
        <x:v>COM-MSG-Rx-045 / RRL_Obj00A</x:v>
      </x:c>
      <x:c r="C89" s="144" t="str">
        <x:v>方向=Rx; CAN_ID=0x310; DLC=64; 周期=数据库/Com未配置周期 ms; Sender=RadarRearLeft; Signal数=48</x:v>
      </x:c>
      <x:c r="D89" s="144" t="str">
        <x:v>输入：总线报文；输出：Com Signal 与超时状态。边界：DLC/周期/更新位/超时/Bus-Off/无效值必须显式处理；不得依据参考 DBC 生成。</x:v>
      </x:c>
      <x:c r="E89" s="144" t="str">
        <x:v>M2</x:v>
      </x:c>
      <x:c r="F89" s="144" t="str">
        <x:v>东软自有通信数据库、CanIf/PduR/Com 配置、PDU→Signal 映射、timeout/E2E/更新位需求和自动测试。</x:v>
      </x:c>
      <x:c r="G89" s="144" t="str">
        <x:v>正确/错误 DLC、最小/最大周期、丢帧/重复/乱序、Bus-Off、全 Signal 边界值；CAN ID/DLC/方向逐项一致。</x:v>
      </x:c>
      <x:c r="H89" s="144" t="str">
        <x:v>coem/BYD_UKE/gen_bsw/Com/Com_Cfg_SymbolicNames.h:116; BYD_5R1V_RadarRearcorner_V2.5_AllNodes.dbc:156; coem/BYD_UKE/gen_bsw/CanIf/CanIf_PBcfg.c:1669</x:v>
      </x:c>
    </x:row>
    <x:row r="90" ht="72" customHeight="1">
      <x:c r="A90" s="144" t="str">
        <x:v>Com-I-PDU</x:v>
      </x:c>
      <x:c r="B90" s="144" t="str">
        <x:v>COM-MSG-Rx-046 / RRL_Obj00B</x:v>
      </x:c>
      <x:c r="C90" s="144" t="str">
        <x:v>方向=Rx; CAN_ID=0x311; DLC=12; 周期=数据库/Com未配置周期 ms; Sender=RadarRearLeft; Signal数=14</x:v>
      </x:c>
      <x:c r="D90" s="144" t="str">
        <x:v>输入：总线报文；输出：Com Signal 与超时状态。边界：DLC/周期/更新位/超时/Bus-Off/无效值必须显式处理；不得依据参考 DBC 生成。</x:v>
      </x:c>
      <x:c r="E90" s="144" t="str">
        <x:v>M2</x:v>
      </x:c>
      <x:c r="F90" s="144" t="str">
        <x:v>东软自有通信数据库、CanIf/PduR/Com 配置、PDU→Signal 映射、timeout/E2E/更新位需求和自动测试。</x:v>
      </x:c>
      <x:c r="G90" s="144" t="str">
        <x:v>正确/错误 DLC、最小/最大周期、丢帧/重复/乱序、Bus-Off、全 Signal 边界值；CAN ID/DLC/方向逐项一致。</x:v>
      </x:c>
      <x:c r="H90" s="144" t="str">
        <x:v>coem/BYD_UKE/gen_bsw/Com/Com_Cfg_SymbolicNames.h:117; BYD_5R1V_RadarRearcorner_V2.5_AllNodes.dbc:206; coem/BYD_UKE/gen_bsw/CanIf/CanIf_PBcfg.c:1672</x:v>
      </x:c>
    </x:row>
    <x:row r="91" ht="72" customHeight="1">
      <x:c r="A91" s="144" t="str">
        <x:v>Com-I-PDU</x:v>
      </x:c>
      <x:c r="B91" s="144" t="str">
        <x:v>COM-MSG-Rx-047 / RRL_Status</x:v>
      </x:c>
      <x:c r="C91" s="144" t="str">
        <x:v>方向=Rx; CAN_ID=0x53; DLC=8; 周期=50 ms; Sender=RadarRearLeft; Signal数=4</x:v>
      </x:c>
      <x:c r="D91" s="144" t="str">
        <x:v>输入：总线报文；输出：Com Signal 与超时状态。边界：DLC/周期/更新位/超时/Bus-Off/无效值必须显式处理；不得依据参考 DBC 生成。</x:v>
      </x:c>
      <x:c r="E91" s="144" t="str">
        <x:v>M2</x:v>
      </x:c>
      <x:c r="F91" s="144" t="str">
        <x:v>东软自有通信数据库、CanIf/PduR/Com 配置、PDU→Signal 映射、timeout/E2E/更新位需求和自动测试。</x:v>
      </x:c>
      <x:c r="G91" s="144" t="str">
        <x:v>正确/错误 DLC、最小/最大周期、丢帧/重复/乱序、Bus-Off、全 Signal 边界值；CAN ID/DLC/方向逐项一致。</x:v>
      </x:c>
      <x:c r="H91" s="144" t="str">
        <x:v>coem/BYD_UKE/gen_bsw/Com/Com_Cfg_SymbolicNames.h:118; BYD_5R1V_RadarRearcorner_V2.5_AllNodes.dbc:112; coem/BYD_UKE/gen_bsw/CanIf/CanIf_PBcfg.c:1662</x:v>
      </x:c>
    </x:row>
    <x:row r="92" ht="72" customHeight="1">
      <x:c r="A92" s="144" t="str">
        <x:v>Com-I-PDU</x:v>
      </x:c>
      <x:c r="B92" s="144" t="str">
        <x:v>COM-MSG-Rx-048 / RRR_HU_SelReq_Rx</x:v>
      </x:c>
      <x:c r="C92" s="144" t="str">
        <x:v>方向=Rx; CAN_ID=0x54; DLC=8; 周期=100 ms; Sender=DASy; Signal数=7</x:v>
      </x:c>
      <x:c r="D92" s="144" t="str">
        <x:v>输入：总线报文；输出：Com Signal 与超时状态。边界：DLC/周期/更新位/超时/Bus-Off/无效值必须显式处理；不得依据参考 DBC 生成。</x:v>
      </x:c>
      <x:c r="E92" s="144" t="str">
        <x:v>M2</x:v>
      </x:c>
      <x:c r="F92" s="144" t="str">
        <x:v>东软自有通信数据库、CanIf/PduR/Com 配置、PDU→Signal 映射、timeout/E2E/更新位需求和自动测试。</x:v>
      </x:c>
      <x:c r="G92" s="144" t="str">
        <x:v>正确/错误 DLC、最小/最大周期、丢帧/重复/乱序、Bus-Off、全 Signal 边界值；CAN ID/DLC/方向逐项一致。</x:v>
      </x:c>
      <x:c r="H92" s="144" t="str">
        <x:v>coem/BYD_UKE/gen_bsw/Com/Com_Cfg_SymbolicNames.h:119; BYD_5R1V_RadarRearcorner_V2.5_AllNodes.dbc:94; coem/BYD_UKE/gen_bsw/CanIf/CanIf_PBcfg.c:1659</x:v>
      </x:c>
    </x:row>
    <x:row r="93" ht="72" customHeight="1">
      <x:c r="A93" s="144" t="str">
        <x:v>Com-I-PDU</x:v>
      </x:c>
      <x:c r="B93" s="144" t="str">
        <x:v>COM-MSG-Rx-049 / RRR_RDA_SGU_Head</x:v>
      </x:c>
      <x:c r="C93" s="144" t="str">
        <x:v>方向=Rx; CAN_ID=0x370; DLC=4; 周期=Com未配置周期（接收报文或直接触发发送） ms; Sender=UNRESOLVED; Signal数=4</x:v>
      </x:c>
      <x:c r="D93" s="144" t="str">
        <x:v>输入：总线报文；输出：Com Signal 与超时状态。边界：DLC/周期/更新位/超时/Bus-Off/无效值必须显式处理；不得依据参考 DBC 生成。</x:v>
      </x:c>
      <x:c r="E93" s="144" t="str">
        <x:v>M2</x:v>
      </x:c>
      <x:c r="F93" s="144" t="str">
        <x:v>东软自有通信数据库、CanIf/PduR/Com 配置、PDU→Signal 映射、timeout/E2E/更新位需求和自动测试。</x:v>
      </x:c>
      <x:c r="G93" s="144" t="str">
        <x:v>正确/错误 DLC、最小/最大周期、丢帧/重复/乱序、Bus-Off、全 Signal 边界值；CAN ID/DLC/方向逐项一致。</x:v>
      </x:c>
      <x:c r="H93" s="144" t="str">
        <x:v>coem/BYD_UKE/gen_bsw/Com/Com_Cfg_SymbolicNames.h:120; coem/BYD_UKE/gen_bsw/CanIf/CanIf_PBcfg.c:1681</x:v>
      </x:c>
    </x:row>
    <x:row r="94" ht="72" customHeight="1">
      <x:c r="A94" s="144" t="str">
        <x:v>Com-I-PDU</x:v>
      </x:c>
      <x:c r="B94" s="144" t="str">
        <x:v>COM-MSG-Rx-050 / Right_BCM_0x1C6</x:v>
      </x:c>
      <x:c r="C94" s="144" t="str">
        <x:v>方向=Rx; CAN_ID=0x1C6; DLC=8; 周期=100 ms; Sender=Right_BCM; Signal数=13</x:v>
      </x:c>
      <x:c r="D94" s="144" t="str">
        <x:v>输入：总线报文；输出：Com Signal 与超时状态。边界：DLC/周期/更新位/超时/Bus-Off/无效值必须显式处理；不得依据参考 DBC 生成。</x:v>
      </x:c>
      <x:c r="E94" s="144" t="str">
        <x:v>M2</x:v>
      </x:c>
      <x:c r="F94" s="144" t="str">
        <x:v>东软自有通信数据库、CanIf/PduR/Com 配置、PDU→Signal 映射、timeout/E2E/更新位需求和自动测试。</x:v>
      </x:c>
      <x:c r="G94" s="144" t="str">
        <x:v>正确/错误 DLC、最小/最大周期、丢帧/重复/乱序、Bus-Off、全 Signal 边界值；CAN ID/DLC/方向逐项一致。</x:v>
      </x:c>
      <x:c r="H94" s="144" t="str">
        <x:v>coem/BYD_UKE/gen_bsw/Com/Com_Cfg_SymbolicNames.h:121; BoschOversea_StandardCANFD_commplatform_RCR_CAN_Matrix_V4.18.2_20251104.dbc:522; coem/BYD_UKE/gen_bsw/CanIf/CanIf_PBcfg.c:1614</x:v>
      </x:c>
    </x:row>
    <x:row r="95" ht="72" customHeight="1">
      <x:c r="A95" s="144" t="str">
        <x:v>Com-I-PDU</x:v>
      </x:c>
      <x:c r="B95" s="144" t="str">
        <x:v>COM-MSG-Rx-051 / Right_BCM_0x404</x:v>
      </x:c>
      <x:c r="C95" s="144" t="str">
        <x:v>方向=Rx; CAN_ID=0x404; DLC=8; 周期=1000 ms; Sender=Left_BCM_L1; Signal数=2</x:v>
      </x:c>
      <x:c r="D95" s="144" t="str">
        <x:v>输入：总线报文；输出：Com Signal 与超时状态。边界：DLC/周期/更新位/超时/Bus-Off/无效值必须显式处理；不得依据参考 DBC 生成。</x:v>
      </x:c>
      <x:c r="E95" s="144" t="str">
        <x:v>M2</x:v>
      </x:c>
      <x:c r="F95" s="144" t="str">
        <x:v>东软自有通信数据库、CanIf/PduR/Com 配置、PDU→Signal 映射、timeout/E2E/更新位需求和自动测试。</x:v>
      </x:c>
      <x:c r="G95" s="144" t="str">
        <x:v>正确/错误 DLC、最小/最大周期、丢帧/重复/乱序、Bus-Off、全 Signal 边界值；CAN ID/DLC/方向逐项一致。</x:v>
      </x:c>
      <x:c r="H95" s="144" t="str">
        <x:v>coem/BYD_UKE/gen_bsw/Com/Com_Cfg_SymbolicNames.h:122; BoschOversea_StandardCANFD_commplatform_RCR_CAN_Matrix_V4.18.2_20251104.dbc:74; coem/BYD_UKE/gen_bsw/CanIf/CanIf_PBcfg.c:1518</x:v>
      </x:c>
    </x:row>
    <x:row r="96" ht="72" customHeight="1">
      <x:c r="A96" s="144" t="str">
        <x:v>Com-I-PDU</x:v>
      </x:c>
      <x:c r="B96" s="144" t="str">
        <x:v>COM-MSG-Rx-052 / SCPA_0x4A9</x:v>
      </x:c>
      <x:c r="C96" s="144" t="str">
        <x:v>方向=Rx; CAN_ID=0x4A9; DLC=8; 周期=1000 ms; Sender=SCPA; Signal数=1</x:v>
      </x:c>
      <x:c r="D96" s="144" t="str">
        <x:v>输入：总线报文；输出：Com Signal 与超时状态。边界：DLC/周期/更新位/超时/Bus-Off/无效值必须显式处理；不得依据参考 DBC 生成。</x:v>
      </x:c>
      <x:c r="E96" s="144" t="str">
        <x:v>M2</x:v>
      </x:c>
      <x:c r="F96" s="144" t="str">
        <x:v>东软自有通信数据库、CanIf/PduR/Com 配置、PDU→Signal 映射、timeout/E2E/更新位需求和自动测试。</x:v>
      </x:c>
      <x:c r="G96" s="144" t="str">
        <x:v>正确/错误 DLC、最小/最大周期、丢帧/重复/乱序、Bus-Off、全 Signal 边界值；CAN ID/DLC/方向逐项一致。</x:v>
      </x:c>
      <x:c r="H96" s="144" t="str">
        <x:v>coem/BYD_UKE/gen_bsw/Com/Com_Cfg_SymbolicNames.h:123; BoschOversea_StandardCANFD_commplatform_RCR_CAN_Matrix_V4.18.2_20251104.dbc:111; coem/BYD_UKE/gen_bsw/CanIf/CanIf_PBcfg.c:1563</x:v>
      </x:c>
    </x:row>
    <x:row r="97" ht="72" customHeight="1">
      <x:c r="A97" s="144" t="str">
        <x:v>Com-I-PDU</x:v>
      </x:c>
      <x:c r="B97" s="144" t="str">
        <x:v>COM-MSG-Rx-053 / TCU_0x212</x:v>
      </x:c>
      <x:c r="C97" s="144" t="str">
        <x:v>方向=Rx; CAN_ID=0x212; DLC=8; 周期=20 ms; Sender=TCU; Signal数=2</x:v>
      </x:c>
      <x:c r="D97" s="144" t="str">
        <x:v>输入：总线报文；输出：Com Signal 与超时状态。边界：DLC/周期/更新位/超时/Bus-Off/无效值必须显式处理；不得依据参考 DBC 生成。</x:v>
      </x:c>
      <x:c r="E97" s="144" t="str">
        <x:v>M2</x:v>
      </x:c>
      <x:c r="F97" s="144" t="str">
        <x:v>东软自有通信数据库、CanIf/PduR/Com 配置、PDU→Signal 映射、timeout/E2E/更新位需求和自动测试。</x:v>
      </x:c>
      <x:c r="G97" s="144" t="str">
        <x:v>正确/错误 DLC、最小/最大周期、丢帧/重复/乱序、Bus-Off、全 Signal 边界值；CAN ID/DLC/方向逐项一致。</x:v>
      </x:c>
      <x:c r="H97" s="144" t="str">
        <x:v>coem/BYD_UKE/gen_bsw/Com/Com_Cfg_SymbolicNames.h:124; BoschOversea_StandardCANFD_commplatform_RCR_CAN_Matrix_V4.18.2_20251104.dbc:129; coem/BYD_UKE/gen_bsw/CanIf/CanIf_PBcfg.c:1596</x:v>
      </x:c>
    </x:row>
    <x:row r="98" ht="72" customHeight="1">
      <x:c r="A98" s="144" t="str">
        <x:v>Com-I-PDU</x:v>
      </x:c>
      <x:c r="B98" s="144" t="str">
        <x:v>COM-MSG-Rx-054 / VCU_0x05A</x:v>
      </x:c>
      <x:c r="C98" s="144" t="str">
        <x:v>方向=Rx; CAN_ID=0x5A; DLC=64; 周期=10 ms; Sender=VCU; Signal数=65</x:v>
      </x:c>
      <x:c r="D98" s="144" t="str">
        <x:v>输入：总线报文；输出：Com Signal 与超时状态。边界：DLC/周期/更新位/超时/Bus-Off/无效值必须显式处理；不得依据参考 DBC 生成。</x:v>
      </x:c>
      <x:c r="E98" s="144" t="str">
        <x:v>M2</x:v>
      </x:c>
      <x:c r="F98" s="144" t="str">
        <x:v>东软自有通信数据库、CanIf/PduR/Com 配置、PDU→Signal 映射、timeout/E2E/更新位需求和自动测试。</x:v>
      </x:c>
      <x:c r="G98" s="144" t="str">
        <x:v>正确/错误 DLC、最小/最大周期、丢帧/重复/乱序、Bus-Off、全 Signal 边界值；CAN ID/DLC/方向逐项一致。</x:v>
      </x:c>
      <x:c r="H98" s="144" t="str">
        <x:v>coem/BYD_UKE/gen_bsw/Com/Com_Cfg_SymbolicNames.h:125; BoschOversea_StandardCANFD_commplatform_RCR_CAN_Matrix_V4.18.2_20251104.dbc:558; coem/BYD_UKE/gen_bsw/CanIf/CanIf_PBcfg.c:1647</x:v>
      </x:c>
    </x:row>
    <x:row r="99" ht="72" customHeight="1">
      <x:c r="A99" s="144" t="str">
        <x:v>Com-I-PDU</x:v>
      </x:c>
      <x:c r="B99" s="144" t="str">
        <x:v>COM-MSG-Rx-055 / VCU_0x098</x:v>
      </x:c>
      <x:c r="C99" s="144" t="str">
        <x:v>方向=Rx; CAN_ID=0x98; DLC=64; 周期=10 ms; Sender=VCU; Signal数=6</x:v>
      </x:c>
      <x:c r="D99" s="144" t="str">
        <x:v>输入：总线报文；输出：Com Signal 与超时状态。边界：DLC/周期/更新位/超时/Bus-Off/无效值必须显式处理；不得依据参考 DBC 生成。</x:v>
      </x:c>
      <x:c r="E99" s="144" t="str">
        <x:v>M2</x:v>
      </x:c>
      <x:c r="F99" s="144" t="str">
        <x:v>东软自有通信数据库、CanIf/PduR/Com 配置、PDU→Signal 映射、timeout/E2E/更新位需求和自动测试。</x:v>
      </x:c>
      <x:c r="G99" s="144" t="str">
        <x:v>正确/错误 DLC、最小/最大周期、丢帧/重复/乱序、Bus-Off、全 Signal 边界值；CAN ID/DLC/方向逐项一致。</x:v>
      </x:c>
      <x:c r="H99" s="144" t="str">
        <x:v>coem/BYD_UKE/gen_bsw/Com/Com_Cfg_SymbolicNames.h:126; BoschOversea_StandardCANFD_commplatform_RCR_CAN_Matrix_V4.18.2_20251104.dbc:684; coem/BYD_UKE/gen_bsw/CanIf/CanIf_PBcfg.c:1653</x:v>
      </x:c>
    </x:row>
    <x:row r="100" ht="72" customHeight="1">
      <x:c r="A100" s="144" t="str">
        <x:v>Com-I-PDU</x:v>
      </x:c>
      <x:c r="B100" s="144" t="str">
        <x:v>COM-MSG-Rx-056 / VCU_0x0FC</x:v>
      </x:c>
      <x:c r="C100" s="144" t="str">
        <x:v>方向=Rx; CAN_ID=0xFC; DLC=64; 周期=10 ms; Sender=VCU; Signal数=57</x:v>
      </x:c>
      <x:c r="D100" s="144" t="str">
        <x:v>输入：总线报文；输出：Com Signal 与超时状态。边界：DLC/周期/更新位/超时/Bus-Off/无效值必须显式处理；不得依据参考 DBC 生成。</x:v>
      </x:c>
      <x:c r="E100" s="144" t="str">
        <x:v>M2</x:v>
      </x:c>
      <x:c r="F100" s="144" t="str">
        <x:v>东软自有通信数据库、CanIf/PduR/Com 配置、PDU→Signal 映射、timeout/E2E/更新位需求和自动测试。</x:v>
      </x:c>
      <x:c r="G100" s="144" t="str">
        <x:v>正确/错误 DLC、最小/最大周期、丢帧/重复/乱序、Bus-Off、全 Signal 边界值；CAN ID/DLC/方向逐项一致。</x:v>
      </x:c>
      <x:c r="H100" s="144" t="str">
        <x:v>coem/BYD_UKE/gen_bsw/Com/Com_Cfg_SymbolicNames.h:127; BoschOversea_StandardCANFD_commplatform_RCR_CAN_Matrix_V4.18.2_20251104.dbc:625; coem/BYD_UKE/gen_bsw/CanIf/CanIf_PBcfg.c:1650</x:v>
      </x:c>
    </x:row>
    <x:row r="101" ht="72" customHeight="1">
      <x:c r="A101" s="144" t="str">
        <x:v>Com-I-PDU</x:v>
      </x:c>
      <x:c r="B101" s="144" t="str">
        <x:v>COM-MSG-Rx-057 / VCU_0x1A8</x:v>
      </x:c>
      <x:c r="C101" s="144" t="str">
        <x:v>方向=Rx; CAN_ID=0x1A8; DLC=64; 周期=20 ms; Sender=VCU; Signal数=19</x:v>
      </x:c>
      <x:c r="D101" s="144" t="str">
        <x:v>输入：总线报文；输出：Com Signal 与超时状态。边界：DLC/周期/更新位/超时/Bus-Off/无效值必须显式处理；不得依据参考 DBC 生成。</x:v>
      </x:c>
      <x:c r="E101" s="144" t="str">
        <x:v>M2</x:v>
      </x:c>
      <x:c r="F101" s="144" t="str">
        <x:v>东软自有通信数据库、CanIf/PduR/Com 配置、PDU→Signal 映射、timeout/E2E/更新位需求和自动测试。</x:v>
      </x:c>
      <x:c r="G101" s="144" t="str">
        <x:v>正确/错误 DLC、最小/最大周期、丢帧/重复/乱序、Bus-Off、全 Signal 边界值；CAN ID/DLC/方向逐项一致。</x:v>
      </x:c>
      <x:c r="H101" s="144" t="str">
        <x:v>coem/BYD_UKE/gen_bsw/Com/Com_Cfg_SymbolicNames.h:128; BoschOversea_StandardCANFD_commplatform_RCR_CAN_Matrix_V4.18.2_20251104.dbc:537; coem/BYD_UKE/gen_bsw/CanIf/CanIf_PBcfg.c:1644</x:v>
      </x:c>
    </x:row>
    <x:row r="102" ht="72" customHeight="1">
      <x:c r="A102" s="144" t="str">
        <x:v>Com-I-PDU</x:v>
      </x:c>
      <x:c r="B102" s="144" t="str">
        <x:v>COM-MSG-Rx-058 / VCU_0x240</x:v>
      </x:c>
      <x:c r="C102" s="144" t="str">
        <x:v>方向=Rx; CAN_ID=0x240; DLC=8; 周期=100 ms; Sender=VCU; Signal数=2</x:v>
      </x:c>
      <x:c r="D102" s="144" t="str">
        <x:v>输入：总线报文；输出：Com Signal 与超时状态。边界：DLC/周期/更新位/超时/Bus-Off/无效值必须显式处理；不得依据参考 DBC 生成。</x:v>
      </x:c>
      <x:c r="E102" s="144" t="str">
        <x:v>M2</x:v>
      </x:c>
      <x:c r="F102" s="144" t="str">
        <x:v>东软自有通信数据库、CanIf/PduR/Com 配置、PDU→Signal 映射、timeout/E2E/更新位需求和自动测试。</x:v>
      </x:c>
      <x:c r="G102" s="144" t="str">
        <x:v>正确/错误 DLC、最小/最大周期、丢帧/重复/乱序、Bus-Off、全 Signal 边界值；CAN ID/DLC/方向逐项一致。</x:v>
      </x:c>
      <x:c r="H102" s="144" t="str">
        <x:v>coem/BYD_UKE/gen_bsw/Com/Com_Cfg_SymbolicNames.h:129; BoschOversea_StandardCANFD_commplatform_RCR_CAN_Matrix_V4.18.2_20251104.dbc:378; coem/BYD_UKE/gen_bsw/CanIf/CanIf_PBcfg.c:1635</x:v>
      </x:c>
    </x:row>
    <x:row r="103" ht="72" customHeight="1">
      <x:c r="A103" s="144" t="str">
        <x:v>Com-I-PDU</x:v>
      </x:c>
      <x:c r="B103" s="144" t="str">
        <x:v>COM-MSG-Rx-059 / VCU_0x242</x:v>
      </x:c>
      <x:c r="C103" s="144" t="str">
        <x:v>方向=Rx; CAN_ID=0x242; DLC=8; 周期=20 ms; Sender=VCU; Signal数=5</x:v>
      </x:c>
      <x:c r="D103" s="144" t="str">
        <x:v>输入：总线报文；输出：Com Signal 与超时状态。边界：DLC/周期/更新位/超时/Bus-Off/无效值必须显式处理；不得依据参考 DBC 生成。</x:v>
      </x:c>
      <x:c r="E103" s="144" t="str">
        <x:v>M2</x:v>
      </x:c>
      <x:c r="F103" s="144" t="str">
        <x:v>东软自有通信数据库、CanIf/PduR/Com 配置、PDU→Signal 映射、timeout/E2E/更新位需求和自动测试。</x:v>
      </x:c>
      <x:c r="G103" s="144" t="str">
        <x:v>正确/错误 DLC、最小/最大周期、丢帧/重复/乱序、Bus-Off、全 Signal 边界值；CAN ID/DLC/方向逐项一致。</x:v>
      </x:c>
      <x:c r="H103" s="144" t="str">
        <x:v>coem/BYD_UKE/gen_bsw/Com/Com_Cfg_SymbolicNames.h:130; BoschOversea_StandardCANFD_commplatform_RCR_CAN_Matrix_V4.18.2_20251104.dbc:512; coem/BYD_UKE/gen_bsw/CanIf/CanIf_PBcfg.c:1641</x:v>
      </x:c>
    </x:row>
    <x:row r="104" ht="72" customHeight="1">
      <x:c r="A104" s="144" t="str">
        <x:v>Com-I-PDU</x:v>
      </x:c>
      <x:c r="B104" s="144" t="str">
        <x:v>COM-MSG-Rx-060 / VCU_0x28A</x:v>
      </x:c>
      <x:c r="C104" s="144" t="str">
        <x:v>方向=Rx; CAN_ID=0x28A; DLC=64; 周期=100 ms; Sender=VCU; Signal数=1</x:v>
      </x:c>
      <x:c r="D104" s="144" t="str">
        <x:v>输入：总线报文；输出：Com Signal 与超时状态。边界：DLC/周期/更新位/超时/Bus-Off/无效值必须显式处理；不得依据参考 DBC 生成。</x:v>
      </x:c>
      <x:c r="E104" s="144" t="str">
        <x:v>M2</x:v>
      </x:c>
      <x:c r="F104" s="144" t="str">
        <x:v>东软自有通信数据库、CanIf/PduR/Com 配置、PDU→Signal 映射、timeout/E2E/更新位需求和自动测试。</x:v>
      </x:c>
      <x:c r="G104" s="144" t="str">
        <x:v>正确/错误 DLC、最小/最大周期、丢帧/重复/乱序、Bus-Off、全 Signal 边界值；CAN ID/DLC/方向逐项一致。</x:v>
      </x:c>
      <x:c r="H104" s="144" t="str">
        <x:v>coem/BYD_UKE/gen_bsw/Com/Com_Cfg_SymbolicNames.h:131; BoschOversea_StandardCANFD_commplatform_RCR_CAN_Matrix_V4.18.2_20251104.dbc:519; coem/BYD_UKE/gen_bsw/CanIf/CanIf_PBcfg.c:1512</x:v>
      </x:c>
    </x:row>
    <x:row r="105" ht="72" customHeight="1">
      <x:c r="A105" s="144" t="str">
        <x:v>Com-I-PDU</x:v>
      </x:c>
      <x:c r="B105" s="144" t="str">
        <x:v>COM-MSG-Rx-061 / VCU_0x341</x:v>
      </x:c>
      <x:c r="C105" s="144" t="str">
        <x:v>方向=Rx; CAN_ID=0x341; DLC=8; 周期=100 ms; Sender=VCU; Signal数=3</x:v>
      </x:c>
      <x:c r="D105" s="144" t="str">
        <x:v>输入：总线报文；输出：Com Signal 与超时状态。边界：DLC/周期/更新位/超时/Bus-Off/无效值必须显式处理；不得依据参考 DBC 生成。</x:v>
      </x:c>
      <x:c r="E105" s="144" t="str">
        <x:v>M2</x:v>
      </x:c>
      <x:c r="F105" s="144" t="str">
        <x:v>东软自有通信数据库、CanIf/PduR/Com 配置、PDU→Signal 映射、timeout/E2E/更新位需求和自动测试。</x:v>
      </x:c>
      <x:c r="G105" s="144" t="str">
        <x:v>正确/错误 DLC、最小/最大周期、丢帧/重复/乱序、Bus-Off、全 Signal 边界值；CAN ID/DLC/方向逐项一致。</x:v>
      </x:c>
      <x:c r="H105" s="144" t="str">
        <x:v>coem/BYD_UKE/gen_bsw/Com/Com_Cfg_SymbolicNames.h:132; BoschOversea_StandardCANFD_commplatform_RCR_CAN_Matrix_V4.18.2_20251104.dbc:724; coem/BYD_UKE/gen_bsw/CanIf/CanIf_PBcfg.c:1593</x:v>
      </x:c>
    </x:row>
    <x:row r="106" ht="72" customHeight="1">
      <x:c r="A106" s="144" t="str">
        <x:v>Com-I-PDU</x:v>
      </x:c>
      <x:c r="B106" s="144" t="str">
        <x:v>COM-MSG-Rx-062 / VCU_0x342</x:v>
      </x:c>
      <x:c r="C106" s="144" t="str">
        <x:v>方向=Rx; CAN_ID=0x342; DLC=8; 周期=20 ms; Sender=VCU; Signal数=7</x:v>
      </x:c>
      <x:c r="D106" s="144" t="str">
        <x:v>输入：总线报文；输出：Com Signal 与超时状态。边界：DLC/周期/更新位/超时/Bus-Off/无效值必须显式处理；不得依据参考 DBC 生成。</x:v>
      </x:c>
      <x:c r="E106" s="144" t="str">
        <x:v>M2</x:v>
      </x:c>
      <x:c r="F106" s="144" t="str">
        <x:v>东软自有通信数据库、CanIf/PduR/Com 配置、PDU→Signal 映射、timeout/E2E/更新位需求和自动测试。</x:v>
      </x:c>
      <x:c r="G106" s="144" t="str">
        <x:v>正确/错误 DLC、最小/最大周期、丢帧/重复/乱序、Bus-Off、全 Signal 边界值；CAN ID/DLC/方向逐项一致。</x:v>
      </x:c>
      <x:c r="H106" s="144" t="str">
        <x:v>coem/BYD_UKE/gen_bsw/Com/Com_Cfg_SymbolicNames.h:133; BoschOversea_StandardCANFD_commplatform_RCR_CAN_Matrix_V4.18.2_20251104.dbc:121; coem/BYD_UKE/gen_bsw/CanIf/CanIf_PBcfg.c:1590</x:v>
      </x:c>
    </x:row>
    <x:row r="107" ht="72" customHeight="1">
      <x:c r="A107" s="144" t="str">
        <x:v>Com-I-PDU</x:v>
      </x:c>
      <x:c r="B107" s="144" t="str">
        <x:v>COM-MSG-Rx-063 / VCU_0x4BE</x:v>
      </x:c>
      <x:c r="C107" s="144" t="str">
        <x:v>方向=Rx; CAN_ID=0x4BE; DLC=8; 周期=100 ms; Sender=VCU; Signal数=3</x:v>
      </x:c>
      <x:c r="D107" s="144" t="str">
        <x:v>输入：总线报文；输出：Com Signal 与超时状态。边界：DLC/周期/更新位/超时/Bus-Off/无效值必须显式处理；不得依据参考 DBC 生成。</x:v>
      </x:c>
      <x:c r="E107" s="144" t="str">
        <x:v>M2</x:v>
      </x:c>
      <x:c r="F107" s="144" t="str">
        <x:v>东软自有通信数据库、CanIf/PduR/Com 配置、PDU→Signal 映射、timeout/E2E/更新位需求和自动测试。</x:v>
      </x:c>
      <x:c r="G107" s="144" t="str">
        <x:v>正确/错误 DLC、最小/最大周期、丢帧/重复/乱序、Bus-Off、全 Signal 边界值；CAN ID/DLC/方向逐项一致。</x:v>
      </x:c>
      <x:c r="H107" s="144" t="str">
        <x:v>coem/BYD_UKE/gen_bsw/Com/Com_Cfg_SymbolicNames.h:134; BoschOversea_StandardCANFD_commplatform_RCR_CAN_Matrix_V4.18.2_20251104.dbc:382; coem/BYD_UKE/gen_bsw/CanIf/CanIf_PBcfg.c:1572</x:v>
      </x:c>
    </x:row>
    <x:row r="108" ht="72" customHeight="1">
      <x:c r="A108" s="144" t="str">
        <x:v>Com-I-PDU</x:v>
      </x:c>
      <x:c r="B108" s="144" t="str">
        <x:v>COM-MSG-Tx-000 / RRL_20msPDU_Tx</x:v>
      </x:c>
      <x:c r="C108" s="144" t="str">
        <x:v>方向=Tx; CAN_ID=0x560; DLC=16; 周期=20 ms; Sender=RadarRearRight; Signal数=4</x:v>
      </x:c>
      <x:c r="D108" s="144" t="str">
        <x:v>输入：RTE/ASW 信号更新；输出：CAN 帧。边界：DLC/周期/更新位/超时/Bus-Off/无效值必须显式处理；不得依据参考 DBC 生成。</x:v>
      </x:c>
      <x:c r="E108" s="144" t="str">
        <x:v>M2</x:v>
      </x:c>
      <x:c r="F108" s="144" t="str">
        <x:v>东软自有通信数据库、CanIf/PduR/Com 配置、PDU→Signal 映射、timeout/E2E/更新位需求和自动测试。</x:v>
      </x:c>
      <x:c r="G108" s="144" t="str">
        <x:v>正确/错误 DLC、最小/最大周期、丢帧/重复/乱序、Bus-Off、全 Signal 边界值；CAN ID/DLC/方向逐项一致。</x:v>
      </x:c>
      <x:c r="H108" s="144" t="str">
        <x:v>coem/BYD_UKE/gen_bsw/Com/Com_Cfg_SymbolicNames.h:36; BYD_5R1V_RadarRearcorner_V2.5_AllNodes.dbc:71; coem/BYD_UKE/gen_bsw/CanIf/CanIf_PBcfg.c:1203</x:v>
      </x:c>
    </x:row>
    <x:row r="109" ht="72" customHeight="1">
      <x:c r="A109" s="144" t="str">
        <x:v>Com-I-PDU</x:v>
      </x:c>
      <x:c r="B109" s="144" t="str">
        <x:v>COM-MSG-Tx-001 / ELKOT_LeftObj_Tx</x:v>
      </x:c>
      <x:c r="C109" s="144" t="str">
        <x:v>方向=Tx; CAN_ID=0x7A5; DLC=8; 周期=50 ms; Sender=RadarRearRight; Signal数=5</x:v>
      </x:c>
      <x:c r="D109" s="144" t="str">
        <x:v>输入：RTE/ASW 信号更新；输出：CAN 帧。边界：DLC/周期/更新位/超时/Bus-Off/无效值必须显式处理；不得依据参考 DBC 生成。</x:v>
      </x:c>
      <x:c r="E109" s="144" t="str">
        <x:v>M2</x:v>
      </x:c>
      <x:c r="F109" s="144" t="str">
        <x:v>东软自有通信数据库、CanIf/PduR/Com 配置、PDU→Signal 映射、timeout/E2E/更新位需求和自动测试。</x:v>
      </x:c>
      <x:c r="G109" s="144" t="str">
        <x:v>正确/错误 DLC、最小/最大周期、丢帧/重复/乱序、Bus-Off、全 Signal 边界值；CAN ID/DLC/方向逐项一致。</x:v>
      </x:c>
      <x:c r="H109" s="144" t="str">
        <x:v>coem/BYD_UKE/gen_bsw/Com/Com_Cfg_SymbolicNames.h:37; BYD_5R1V_RadarRearcorner_V2.5_AllNodes.dbc:77</x:v>
      </x:c>
    </x:row>
    <x:row r="110" ht="72" customHeight="1">
      <x:c r="A110" s="144" t="str">
        <x:v>Com-I-PDU</x:v>
      </x:c>
      <x:c r="B110" s="144" t="str">
        <x:v>COM-MSG-Tx-002 / FCR_R_0x2CA</x:v>
      </x:c>
      <x:c r="C110" s="144" t="str">
        <x:v>方向=Tx; CAN_ID=0x2CA; DLC=8; 周期=50 ms; Sender=FCR; Signal数=15</x:v>
      </x:c>
      <x:c r="D110" s="144" t="str">
        <x:v>输入：RTE/ASW 信号更新；输出：CAN 帧。边界：DLC/周期/更新位/超时/Bus-Off/无效值必须显式处理；不得依据参考 DBC 生成。</x:v>
      </x:c>
      <x:c r="E110" s="144" t="str">
        <x:v>M2</x:v>
      </x:c>
      <x:c r="F110" s="144" t="str">
        <x:v>东软自有通信数据库、CanIf/PduR/Com 配置、PDU→Signal 映射、timeout/E2E/更新位需求和自动测试。</x:v>
      </x:c>
      <x:c r="G110" s="144" t="str">
        <x:v>正确/错误 DLC、最小/最大周期、丢帧/重复/乱序、Bus-Off、全 Signal 边界值；CAN ID/DLC/方向逐项一致。</x:v>
      </x:c>
      <x:c r="H110" s="144" t="str">
        <x:v>coem/BYD_UKE/gen_bsw/Com/Com_Cfg_SymbolicNames.h:38; BoschOversea_StandardCANFD_commplatform_FCR_CAN_Matrix_V4.18.2_20251104.dbc:248; coem/BYD_UKE/gen_bsw/CanIf/CanIf_PBcfg.c:1161</x:v>
      </x:c>
    </x:row>
    <x:row r="111" ht="72" customHeight="1">
      <x:c r="A111" s="144" t="str">
        <x:v>Com-I-PDU</x:v>
      </x:c>
      <x:c r="B111" s="144" t="str">
        <x:v>COM-MSG-Tx-003 / RCR_R_0x291</x:v>
      </x:c>
      <x:c r="C111" s="144" t="str">
        <x:v>方向=Tx; CAN_ID=0x291; DLC=8; 周期=50 ms; Sender=BSMCR; Signal数=29</x:v>
      </x:c>
      <x:c r="D111" s="144" t="str">
        <x:v>输入：RTE/ASW 信号更新；输出：CAN 帧。边界：DLC/周期/更新位/超时/Bus-Off/无效值必须显式处理；不得依据参考 DBC 生成。</x:v>
      </x:c>
      <x:c r="E111" s="144" t="str">
        <x:v>M2</x:v>
      </x:c>
      <x:c r="F111" s="144" t="str">
        <x:v>东软自有通信数据库、CanIf/PduR/Com 配置、PDU→Signal 映射、timeout/E2E/更新位需求和自动测试。</x:v>
      </x:c>
      <x:c r="G111" s="144" t="str">
        <x:v>正确/错误 DLC、最小/最大周期、丢帧/重复/乱序、Bus-Off、全 Signal 边界值；CAN ID/DLC/方向逐项一致。</x:v>
      </x:c>
      <x:c r="H111" s="144" t="str">
        <x:v>coem/BYD_UKE/gen_bsw/Com/Com_Cfg_SymbolicNames.h:39; BoschOversea_StandardCANFD_commplatform_RCR_CAN_Matrix_V4.18.2_20251104.dbc:298; coem/BYD_UKE/gen_bsw/CanIf/CanIf_PBcfg.c:1179</x:v>
      </x:c>
    </x:row>
    <x:row r="112" ht="72" customHeight="1">
      <x:c r="A112" s="144" t="str">
        <x:v>Com-I-PDU</x:v>
      </x:c>
      <x:c r="B112" s="144" t="str">
        <x:v>COM-MSG-Tx-004 / RCR_R_0x418</x:v>
      </x:c>
      <x:c r="C112" s="144" t="str">
        <x:v>方向=Tx; CAN_ID=0x418; DLC=8; 周期=50 ms; Sender=BSMCR; Signal数=23</x:v>
      </x:c>
      <x:c r="D112" s="144" t="str">
        <x:v>输入：RTE/ASW 信号更新；输出：CAN 帧。边界：DLC/周期/更新位/超时/Bus-Off/无效值必须显式处理；不得依据参考 DBC 生成。</x:v>
      </x:c>
      <x:c r="E112" s="144" t="str">
        <x:v>M2</x:v>
      </x:c>
      <x:c r="F112" s="144" t="str">
        <x:v>东软自有通信数据库、CanIf/PduR/Com 配置、PDU→Signal 映射、timeout/E2E/更新位需求和自动测试。</x:v>
      </x:c>
      <x:c r="G112" s="144" t="str">
        <x:v>正确/错误 DLC、最小/最大周期、丢帧/重复/乱序、Bus-Off、全 Signal 边界值；CAN ID/DLC/方向逐项一致。</x:v>
      </x:c>
      <x:c r="H112" s="144" t="str">
        <x:v>coem/BYD_UKE/gen_bsw/Com/Com_Cfg_SymbolicNames.h:40; BoschOversea_StandardCANFD_commplatform_RCR_CAN_Matrix_V4.18.2_20251104.dbc:240; coem/BYD_UKE/gen_bsw/CanIf/CanIf_PBcfg.c:1185</x:v>
      </x:c>
    </x:row>
    <x:row r="113" ht="72" customHeight="1">
      <x:c r="A113" s="144" t="str">
        <x:v>Com-I-PDU</x:v>
      </x:c>
      <x:c r="B113" s="144" t="str">
        <x:v>COM-MSG-Tx-005 / RFL_50msPDU_Tx</x:v>
      </x:c>
      <x:c r="C113" s="144" t="str">
        <x:v>方向=Tx; CAN_ID=0x660; DLC=16; 周期=50 ms; Sender=RadarRearRight; Signal数=9</x:v>
      </x:c>
      <x:c r="D113" s="144" t="str">
        <x:v>输入：RTE/ASW 信号更新；输出：CAN 帧。边界：DLC/周期/更新位/超时/Bus-Off/无效值必须显式处理；不得依据参考 DBC 生成。</x:v>
      </x:c>
      <x:c r="E113" s="144" t="str">
        <x:v>M2</x:v>
      </x:c>
      <x:c r="F113" s="144" t="str">
        <x:v>东软自有通信数据库、CanIf/PduR/Com 配置、PDU→Signal 映射、timeout/E2E/更新位需求和自动测试。</x:v>
      </x:c>
      <x:c r="G113" s="144" t="str">
        <x:v>正确/错误 DLC、最小/最大周期、丢帧/重复/乱序、Bus-Off、全 Signal 边界值；CAN ID/DLC/方向逐项一致。</x:v>
      </x:c>
      <x:c r="H113" s="144" t="str">
        <x:v>coem/BYD_UKE/gen_bsw/Com/Com_Cfg_SymbolicNames.h:41; BYD_5R1V_RadarRearcorner_V2.5_AllNodes.dbc:45; coem/BYD_UKE/gen_bsw/CanIf/CanIf_PBcfg.c:1197</x:v>
      </x:c>
    </x:row>
    <x:row r="114" ht="72" customHeight="1">
      <x:c r="A114" s="144" t="str">
        <x:v>Com-I-PDU</x:v>
      </x:c>
      <x:c r="B114" s="144" t="str">
        <x:v>COM-MSG-Tx-006 / RRL_50msPDU_Tx</x:v>
      </x:c>
      <x:c r="C114" s="144" t="str">
        <x:v>方向=Tx; CAN_ID=0x561; DLC=16; 周期=50 ms; Sender=RadarRearRight; Signal数=14</x:v>
      </x:c>
      <x:c r="D114" s="144" t="str">
        <x:v>输入：RTE/ASW 信号更新；输出：CAN 帧。边界：DLC/周期/更新位/超时/Bus-Off/无效值必须显式处理；不得依据参考 DBC 生成。</x:v>
      </x:c>
      <x:c r="E114" s="144" t="str">
        <x:v>M2</x:v>
      </x:c>
      <x:c r="F114" s="144" t="str">
        <x:v>东软自有通信数据库、CanIf/PduR/Com 配置、PDU→Signal 映射、timeout/E2E/更新位需求和自动测试。</x:v>
      </x:c>
      <x:c r="G114" s="144" t="str">
        <x:v>正确/错误 DLC、最小/最大周期、丢帧/重复/乱序、Bus-Off、全 Signal 边界值；CAN ID/DLC/方向逐项一致。</x:v>
      </x:c>
      <x:c r="H114" s="144" t="str">
        <x:v>coem/BYD_UKE/gen_bsw/Com/Com_Cfg_SymbolicNames.h:42; BYD_5R1V_RadarRearcorner_V2.5_AllNodes.dbc:55; coem/BYD_UKE/gen_bsw/CanIf/CanIf_PBcfg.c:1209</x:v>
      </x:c>
    </x:row>
    <x:row r="115" ht="72" customHeight="1">
      <x:c r="A115" s="144" t="str">
        <x:v>Com-I-PDU</x:v>
      </x:c>
      <x:c r="B115" s="144" t="str">
        <x:v>COM-MSG-Tx-007 / RRR_Status</x:v>
      </x:c>
      <x:c r="C115" s="144" t="str">
        <x:v>方向=Tx; CAN_ID=0x55; DLC=8; 周期=50 ms; Sender=RadarRearRight; Signal数=5</x:v>
      </x:c>
      <x:c r="D115" s="144" t="str">
        <x:v>输入：RTE/ASW 信号更新；输出：CAN 帧。边界：DLC/周期/更新位/超时/Bus-Off/无效值必须显式处理；不得依据参考 DBC 生成。</x:v>
      </x:c>
      <x:c r="E115" s="144" t="str">
        <x:v>M2</x:v>
      </x:c>
      <x:c r="F115" s="144" t="str">
        <x:v>东软自有通信数据库、CanIf/PduR/Com 配置、PDU→Signal 映射、timeout/E2E/更新位需求和自动测试。</x:v>
      </x:c>
      <x:c r="G115" s="144" t="str">
        <x:v>正确/错误 DLC、最小/最大周期、丢帧/重复/乱序、Bus-Off、全 Signal 边界值；CAN ID/DLC/方向逐项一致。</x:v>
      </x:c>
      <x:c r="H115" s="144" t="str">
        <x:v>coem/BYD_UKE/gen_bsw/Com/Com_Cfg_SymbolicNames.h:43; BYD_5R1V_RadarRearcorner_V2.5_AllNodes.dbc:118; coem/BYD_UKE/gen_bsw/CanIf/CanIf_PBcfg.c:1347</x:v>
      </x:c>
    </x:row>
    <x:row r="116" ht="72" customHeight="1">
      <x:c r="A116" s="144" t="str">
        <x:v>Com-I-PDU</x:v>
      </x:c>
      <x:c r="B116" s="144" t="str">
        <x:v>COM-MSG-Tx-008 / RRR_HU_SelReq</x:v>
      </x:c>
      <x:c r="C116" s="144" t="str">
        <x:v>方向=Tx; CAN_ID=0x54; DLC=8; 周期=100 ms; Sender=RadarRearRight; Signal数=7</x:v>
      </x:c>
      <x:c r="D116" s="144" t="str">
        <x:v>输入：RTE/ASW 信号更新；输出：CAN 帧。边界：DLC/周期/更新位/超时/Bus-Off/无效值必须显式处理；不得依据参考 DBC 生成。</x:v>
      </x:c>
      <x:c r="E116" s="144" t="str">
        <x:v>M2</x:v>
      </x:c>
      <x:c r="F116" s="144" t="str">
        <x:v>东软自有通信数据库、CanIf/PduR/Com 配置、PDU→Signal 映射、timeout/E2E/更新位需求和自动测试。</x:v>
      </x:c>
      <x:c r="G116" s="144" t="str">
        <x:v>正确/错误 DLC、最小/最大周期、丢帧/重复/乱序、Bus-Off、全 Signal 边界值；CAN ID/DLC/方向逐项一致。</x:v>
      </x:c>
      <x:c r="H116" s="144" t="str">
        <x:v>coem/BYD_UKE/gen_bsw/Com/Com_Cfg_SymbolicNames.h:44; BYD_5R1V_RadarRearcorner_V2.5_AllNodes.dbc:103; coem/BYD_UKE/gen_bsw/CanIf/CanIf_PBcfg.c:1215</x:v>
      </x:c>
    </x:row>
    <x:row r="117" ht="72" customHeight="1">
      <x:c r="A117" s="144" t="str">
        <x:v>Com-I-PDU</x:v>
      </x:c>
      <x:c r="B117" s="144" t="str">
        <x:v>COM-MSG-Tx-009 / RCR_R_0x453</x:v>
      </x:c>
      <x:c r="C117" s="144" t="str">
        <x:v>方向=Tx; CAN_ID=0x453; DLC=8; 周期=1000 ms; Sender=BSMCR; Signal数=13</x:v>
      </x:c>
      <x:c r="D117" s="144" t="str">
        <x:v>输入：RTE/ASW 信号更新；输出：CAN 帧。边界：DLC/周期/更新位/超时/Bus-Off/无效值必须显式处理；不得依据参考 DBC 生成。</x:v>
      </x:c>
      <x:c r="E117" s="144" t="str">
        <x:v>M2</x:v>
      </x:c>
      <x:c r="F117" s="144" t="str">
        <x:v>东软自有通信数据库、CanIf/PduR/Com 配置、PDU→Signal 映射、timeout/E2E/更新位需求和自动测试。</x:v>
      </x:c>
      <x:c r="G117" s="144" t="str">
        <x:v>正确/错误 DLC、最小/最大周期、丢帧/重复/乱序、Bus-Off、全 Signal 边界值；CAN ID/DLC/方向逐项一致。</x:v>
      </x:c>
      <x:c r="H117" s="144" t="str">
        <x:v>coem/BYD_UKE/gen_bsw/Com/Com_Cfg_SymbolicNames.h:45; BoschOversea_StandardCANFD_commplatform_RCR_CAN_Matrix_V4.18.2_20251104.dbc:264; coem/BYD_UKE/gen_bsw/CanIf/CanIf_PBcfg.c:1191</x:v>
      </x:c>
    </x:row>
    <x:row r="118" ht="72" customHeight="1">
      <x:c r="A118" s="144" t="str">
        <x:v>Com-I-PDU</x:v>
      </x:c>
      <x:c r="B118" s="144" t="str">
        <x:v>COM-MSG-Tx-010 / RRR_Obj00A</x:v>
      </x:c>
      <x:c r="C118" s="144" t="str">
        <x:v>方向=Tx; CAN_ID=0x510; DLC=64; 周期=数据库/Com未配置周期 ms; Sender=RadarRearRight; Signal数=48</x:v>
      </x:c>
      <x:c r="D118" s="144" t="str">
        <x:v>输入：RTE/ASW 信号更新；输出：CAN 帧。边界：DLC/周期/更新位/超时/Bus-Off/无效值必须显式处理；不得依据参考 DBC 生成。</x:v>
      </x:c>
      <x:c r="E118" s="144" t="str">
        <x:v>M2</x:v>
      </x:c>
      <x:c r="F118" s="144" t="str">
        <x:v>东软自有通信数据库、CanIf/PduR/Com 配置、PDU→Signal 映射、timeout/E2E/更新位需求和自动测试。</x:v>
      </x:c>
      <x:c r="G118" s="144" t="str">
        <x:v>正确/错误 DLC、最小/最大周期、丢帧/重复/乱序、Bus-Off、全 Signal 边界值；CAN ID/DLC/方向逐项一致。</x:v>
      </x:c>
      <x:c r="H118" s="144" t="str">
        <x:v>coem/BYD_UKE/gen_bsw/Com/Com_Cfg_SymbolicNames.h:46; BYD_5R1V_RadarRearcorner_V2.5_AllNodes.dbc:841; coem/BYD_UKE/gen_bsw/CanIf/CanIf_PBcfg.c:1221</x:v>
      </x:c>
    </x:row>
    <x:row r="119" ht="72" customHeight="1">
      <x:c r="A119" s="144" t="str">
        <x:v>Com-I-PDU</x:v>
      </x:c>
      <x:c r="B119" s="144" t="str">
        <x:v>COM-MSG-Tx-011 / RRR_Obj00B</x:v>
      </x:c>
      <x:c r="C119" s="144" t="str">
        <x:v>方向=Tx; CAN_ID=0x511; DLC=12; 周期=数据库/Com未配置周期 ms; Sender=RadarRearRight; Signal数=14</x:v>
      </x:c>
      <x:c r="D119" s="144" t="str">
        <x:v>输入：RTE/ASW 信号更新；输出：CAN 帧。边界：DLC/周期/更新位/超时/Bus-Off/无效值必须显式处理；不得依据参考 DBC 生成。</x:v>
      </x:c>
      <x:c r="E119" s="144" t="str">
        <x:v>M2</x:v>
      </x:c>
      <x:c r="F119" s="144" t="str">
        <x:v>东软自有通信数据库、CanIf/PduR/Com 配置、PDU→Signal 映射、timeout/E2E/更新位需求和自动测试。</x:v>
      </x:c>
      <x:c r="G119" s="144" t="str">
        <x:v>正确/错误 DLC、最小/最大周期、丢帧/重复/乱序、Bus-Off、全 Signal 边界值；CAN ID/DLC/方向逐项一致。</x:v>
      </x:c>
      <x:c r="H119" s="144" t="str">
        <x:v>coem/BYD_UKE/gen_bsw/Com/Com_Cfg_SymbolicNames.h:47; BYD_5R1V_RadarRearcorner_V2.5_AllNodes.dbc:891; coem/BYD_UKE/gen_bsw/CanIf/CanIf_PBcfg.c:1227</x:v>
      </x:c>
    </x:row>
    <x:row r="120" ht="72" customHeight="1">
      <x:c r="A120" s="144" t="str">
        <x:v>Com-I-PDU</x:v>
      </x:c>
      <x:c r="B120" s="144" t="str">
        <x:v>COM-MSG-Tx-012 / RRR_Obj01A</x:v>
      </x:c>
      <x:c r="C120" s="144" t="str">
        <x:v>方向=Tx; CAN_ID=0x512; DLC=64; 周期=数据库/Com未配置周期 ms; Sender=RadarRearRight; Signal数=48</x:v>
      </x:c>
      <x:c r="D120" s="144" t="str">
        <x:v>输入：RTE/ASW 信号更新；输出：CAN 帧。边界：DLC/周期/更新位/超时/Bus-Off/无效值必须显式处理；不得依据参考 DBC 生成。</x:v>
      </x:c>
      <x:c r="E120" s="144" t="str">
        <x:v>M2</x:v>
      </x:c>
      <x:c r="F120" s="144" t="str">
        <x:v>东软自有通信数据库、CanIf/PduR/Com 配置、PDU→Signal 映射、timeout/E2E/更新位需求和自动测试。</x:v>
      </x:c>
      <x:c r="G120" s="144" t="str">
        <x:v>正确/错误 DLC、最小/最大周期、丢帧/重复/乱序、Bus-Off、全 Signal 边界值；CAN ID/DLC/方向逐项一致。</x:v>
      </x:c>
      <x:c r="H120" s="144" t="str">
        <x:v>coem/BYD_UKE/gen_bsw/Com/Com_Cfg_SymbolicNames.h:48; BYD_5R1V_RadarRearcorner_V2.5_AllNodes.dbc:907; coem/BYD_UKE/gen_bsw/CanIf/CanIf_PBcfg.c:1233</x:v>
      </x:c>
    </x:row>
    <x:row r="121" ht="72" customHeight="1">
      <x:c r="A121" s="144" t="str">
        <x:v>Com-I-PDU</x:v>
      </x:c>
      <x:c r="B121" s="144" t="str">
        <x:v>COM-MSG-Tx-013 / RRR_Obj01B</x:v>
      </x:c>
      <x:c r="C121" s="144" t="str">
        <x:v>方向=Tx; CAN_ID=0x513; DLC=12; 周期=数据库/Com未配置周期 ms; Sender=RadarRearRight; Signal数=14</x:v>
      </x:c>
      <x:c r="D121" s="144" t="str">
        <x:v>输入：RTE/ASW 信号更新；输出：CAN 帧。边界：DLC/周期/更新位/超时/Bus-Off/无效值必须显式处理；不得依据参考 DBC 生成。</x:v>
      </x:c>
      <x:c r="E121" s="144" t="str">
        <x:v>M2</x:v>
      </x:c>
      <x:c r="F121" s="144" t="str">
        <x:v>东软自有通信数据库、CanIf/PduR/Com 配置、PDU→Signal 映射、timeout/E2E/更新位需求和自动测试。</x:v>
      </x:c>
      <x:c r="G121" s="144" t="str">
        <x:v>正确/错误 DLC、最小/最大周期、丢帧/重复/乱序、Bus-Off、全 Signal 边界值；CAN ID/DLC/方向逐项一致。</x:v>
      </x:c>
      <x:c r="H121" s="144" t="str">
        <x:v>coem/BYD_UKE/gen_bsw/Com/Com_Cfg_SymbolicNames.h:49; BYD_5R1V_RadarRearcorner_V2.5_AllNodes.dbc:957; coem/BYD_UKE/gen_bsw/CanIf/CanIf_PBcfg.c:1239</x:v>
      </x:c>
    </x:row>
    <x:row r="122" ht="72" customHeight="1">
      <x:c r="A122" s="144" t="str">
        <x:v>Com-I-PDU</x:v>
      </x:c>
      <x:c r="B122" s="144" t="str">
        <x:v>COM-MSG-Tx-014 / RRR_Obj02A</x:v>
      </x:c>
      <x:c r="C122" s="144" t="str">
        <x:v>方向=Tx; CAN_ID=0x514; DLC=64; 周期=数据库/Com未配置周期 ms; Sender=RadarRearRight; Signal数=48</x:v>
      </x:c>
      <x:c r="D122" s="144" t="str">
        <x:v>输入：RTE/ASW 信号更新；输出：CAN 帧。边界：DLC/周期/更新位/超时/Bus-Off/无效值必须显式处理；不得依据参考 DBC 生成。</x:v>
      </x:c>
      <x:c r="E122" s="144" t="str">
        <x:v>M2</x:v>
      </x:c>
      <x:c r="F122" s="144" t="str">
        <x:v>东软自有通信数据库、CanIf/PduR/Com 配置、PDU→Signal 映射、timeout/E2E/更新位需求和自动测试。</x:v>
      </x:c>
      <x:c r="G122" s="144" t="str">
        <x:v>正确/错误 DLC、最小/最大周期、丢帧/重复/乱序、Bus-Off、全 Signal 边界值；CAN ID/DLC/方向逐项一致。</x:v>
      </x:c>
      <x:c r="H122" s="144" t="str">
        <x:v>coem/BYD_UKE/gen_bsw/Com/Com_Cfg_SymbolicNames.h:50; BYD_5R1V_RadarRearcorner_V2.5_AllNodes.dbc:973; coem/BYD_UKE/gen_bsw/CanIf/CanIf_PBcfg.c:1245</x:v>
      </x:c>
    </x:row>
    <x:row r="123" ht="72" customHeight="1">
      <x:c r="A123" s="144" t="str">
        <x:v>Com-I-PDU</x:v>
      </x:c>
      <x:c r="B123" s="144" t="str">
        <x:v>COM-MSG-Tx-015 / RRR_Obj02B</x:v>
      </x:c>
      <x:c r="C123" s="144" t="str">
        <x:v>方向=Tx; CAN_ID=0x515; DLC=12; 周期=数据库/Com未配置周期 ms; Sender=RadarRearRight; Signal数=14</x:v>
      </x:c>
      <x:c r="D123" s="144" t="str">
        <x:v>输入：RTE/ASW 信号更新；输出：CAN 帧。边界：DLC/周期/更新位/超时/Bus-Off/无效值必须显式处理；不得依据参考 DBC 生成。</x:v>
      </x:c>
      <x:c r="E123" s="144" t="str">
        <x:v>M2</x:v>
      </x:c>
      <x:c r="F123" s="144" t="str">
        <x:v>东软自有通信数据库、CanIf/PduR/Com 配置、PDU→Signal 映射、timeout/E2E/更新位需求和自动测试。</x:v>
      </x:c>
      <x:c r="G123" s="144" t="str">
        <x:v>正确/错误 DLC、最小/最大周期、丢帧/重复/乱序、Bus-Off、全 Signal 边界值；CAN ID/DLC/方向逐项一致。</x:v>
      </x:c>
      <x:c r="H123" s="144" t="str">
        <x:v>coem/BYD_UKE/gen_bsw/Com/Com_Cfg_SymbolicNames.h:51; BYD_5R1V_RadarRearcorner_V2.5_AllNodes.dbc:1023; coem/BYD_UKE/gen_bsw/CanIf/CanIf_PBcfg.c:1251</x:v>
      </x:c>
    </x:row>
    <x:row r="124" ht="72" customHeight="1">
      <x:c r="A124" s="144" t="str">
        <x:v>Com-I-PDU</x:v>
      </x:c>
      <x:c r="B124" s="144" t="str">
        <x:v>COM-MSG-Tx-016 / RRR_Obj03A</x:v>
      </x:c>
      <x:c r="C124" s="144" t="str">
        <x:v>方向=Tx; CAN_ID=0x516; DLC=64; 周期=数据库/Com未配置周期 ms; Sender=RadarRearRight; Signal数=48</x:v>
      </x:c>
      <x:c r="D124" s="144" t="str">
        <x:v>输入：RTE/ASW 信号更新；输出：CAN 帧。边界：DLC/周期/更新位/超时/Bus-Off/无效值必须显式处理；不得依据参考 DBC 生成。</x:v>
      </x:c>
      <x:c r="E124" s="144" t="str">
        <x:v>M2</x:v>
      </x:c>
      <x:c r="F124" s="144" t="str">
        <x:v>东软自有通信数据库、CanIf/PduR/Com 配置、PDU→Signal 映射、timeout/E2E/更新位需求和自动测试。</x:v>
      </x:c>
      <x:c r="G124" s="144" t="str">
        <x:v>正确/错误 DLC、最小/最大周期、丢帧/重复/乱序、Bus-Off、全 Signal 边界值；CAN ID/DLC/方向逐项一致。</x:v>
      </x:c>
      <x:c r="H124" s="144" t="str">
        <x:v>coem/BYD_UKE/gen_bsw/Com/Com_Cfg_SymbolicNames.h:52; BYD_5R1V_RadarRearcorner_V2.5_AllNodes.dbc:1039; coem/BYD_UKE/gen_bsw/CanIf/CanIf_PBcfg.c:1257</x:v>
      </x:c>
    </x:row>
    <x:row r="125" ht="72" customHeight="1">
      <x:c r="A125" s="144" t="str">
        <x:v>Com-I-PDU</x:v>
      </x:c>
      <x:c r="B125" s="144" t="str">
        <x:v>COM-MSG-Tx-017 / RRR_Obj03B</x:v>
      </x:c>
      <x:c r="C125" s="144" t="str">
        <x:v>方向=Tx; CAN_ID=0x517; DLC=12; 周期=数据库/Com未配置周期 ms; Sender=RadarRearRight; Signal数=14</x:v>
      </x:c>
      <x:c r="D125" s="144" t="str">
        <x:v>输入：RTE/ASW 信号更新；输出：CAN 帧。边界：DLC/周期/更新位/超时/Bus-Off/无效值必须显式处理；不得依据参考 DBC 生成。</x:v>
      </x:c>
      <x:c r="E125" s="144" t="str">
        <x:v>M2</x:v>
      </x:c>
      <x:c r="F125" s="144" t="str">
        <x:v>东软自有通信数据库、CanIf/PduR/Com 配置、PDU→Signal 映射、timeout/E2E/更新位需求和自动测试。</x:v>
      </x:c>
      <x:c r="G125" s="144" t="str">
        <x:v>正确/错误 DLC、最小/最大周期、丢帧/重复/乱序、Bus-Off、全 Signal 边界值；CAN ID/DLC/方向逐项一致。</x:v>
      </x:c>
      <x:c r="H125" s="144" t="str">
        <x:v>coem/BYD_UKE/gen_bsw/Com/Com_Cfg_SymbolicNames.h:53; BYD_5R1V_RadarRearcorner_V2.5_AllNodes.dbc:1089; coem/BYD_UKE/gen_bsw/CanIf/CanIf_PBcfg.c:1263</x:v>
      </x:c>
    </x:row>
    <x:row r="126" ht="72" customHeight="1">
      <x:c r="A126" s="144" t="str">
        <x:v>Com-I-PDU</x:v>
      </x:c>
      <x:c r="B126" s="144" t="str">
        <x:v>COM-MSG-Tx-018 / RRR_Obj04A</x:v>
      </x:c>
      <x:c r="C126" s="144" t="str">
        <x:v>方向=Tx; CAN_ID=0x518; DLC=64; 周期=数据库/Com未配置周期 ms; Sender=RadarRearRight; Signal数=48</x:v>
      </x:c>
      <x:c r="D126" s="144" t="str">
        <x:v>输入：RTE/ASW 信号更新；输出：CAN 帧。边界：DLC/周期/更新位/超时/Bus-Off/无效值必须显式处理；不得依据参考 DBC 生成。</x:v>
      </x:c>
      <x:c r="E126" s="144" t="str">
        <x:v>M2</x:v>
      </x:c>
      <x:c r="F126" s="144" t="str">
        <x:v>东软自有通信数据库、CanIf/PduR/Com 配置、PDU→Signal 映射、timeout/E2E/更新位需求和自动测试。</x:v>
      </x:c>
      <x:c r="G126" s="144" t="str">
        <x:v>正确/错误 DLC、最小/最大周期、丢帧/重复/乱序、Bus-Off、全 Signal 边界值；CAN ID/DLC/方向逐项一致。</x:v>
      </x:c>
      <x:c r="H126" s="144" t="str">
        <x:v>coem/BYD_UKE/gen_bsw/Com/Com_Cfg_SymbolicNames.h:54; BYD_5R1V_RadarRearcorner_V2.5_AllNodes.dbc:1105; coem/BYD_UKE/gen_bsw/CanIf/CanIf_PBcfg.c:1269</x:v>
      </x:c>
    </x:row>
    <x:row r="127" ht="72" customHeight="1">
      <x:c r="A127" s="144" t="str">
        <x:v>Com-I-PDU</x:v>
      </x:c>
      <x:c r="B127" s="144" t="str">
        <x:v>COM-MSG-Tx-019 / RRR_Obj04B</x:v>
      </x:c>
      <x:c r="C127" s="144" t="str">
        <x:v>方向=Tx; CAN_ID=0x519; DLC=12; 周期=数据库/Com未配置周期 ms; Sender=RadarRearRight; Signal数=14</x:v>
      </x:c>
      <x:c r="D127" s="144" t="str">
        <x:v>输入：RTE/ASW 信号更新；输出：CAN 帧。边界：DLC/周期/更新位/超时/Bus-Off/无效值必须显式处理；不得依据参考 DBC 生成。</x:v>
      </x:c>
      <x:c r="E127" s="144" t="str">
        <x:v>M2</x:v>
      </x:c>
      <x:c r="F127" s="144" t="str">
        <x:v>东软自有通信数据库、CanIf/PduR/Com 配置、PDU→Signal 映射、timeout/E2E/更新位需求和自动测试。</x:v>
      </x:c>
      <x:c r="G127" s="144" t="str">
        <x:v>正确/错误 DLC、最小/最大周期、丢帧/重复/乱序、Bus-Off、全 Signal 边界值；CAN ID/DLC/方向逐项一致。</x:v>
      </x:c>
      <x:c r="H127" s="144" t="str">
        <x:v>coem/BYD_UKE/gen_bsw/Com/Com_Cfg_SymbolicNames.h:55; BYD_5R1V_RadarRearcorner_V2.5_AllNodes.dbc:1155; coem/BYD_UKE/gen_bsw/CanIf/CanIf_PBcfg.c:1275</x:v>
      </x:c>
    </x:row>
    <x:row r="128" ht="72" customHeight="1">
      <x:c r="A128" s="144" t="str">
        <x:v>Com-I-PDU</x:v>
      </x:c>
      <x:c r="B128" s="144" t="str">
        <x:v>COM-MSG-Tx-020 / RRR_Obj05A</x:v>
      </x:c>
      <x:c r="C128" s="144" t="str">
        <x:v>方向=Tx; CAN_ID=0x51A; DLC=64; 周期=数据库/Com未配置周期 ms; Sender=RadarRearRight; Signal数=48</x:v>
      </x:c>
      <x:c r="D128" s="144" t="str">
        <x:v>输入：RTE/ASW 信号更新；输出：CAN 帧。边界：DLC/周期/更新位/超时/Bus-Off/无效值必须显式处理；不得依据参考 DBC 生成。</x:v>
      </x:c>
      <x:c r="E128" s="144" t="str">
        <x:v>M2</x:v>
      </x:c>
      <x:c r="F128" s="144" t="str">
        <x:v>东软自有通信数据库、CanIf/PduR/Com 配置、PDU→Signal 映射、timeout/E2E/更新位需求和自动测试。</x:v>
      </x:c>
      <x:c r="G128" s="144" t="str">
        <x:v>正确/错误 DLC、最小/最大周期、丢帧/重复/乱序、Bus-Off、全 Signal 边界值；CAN ID/DLC/方向逐项一致。</x:v>
      </x:c>
      <x:c r="H128" s="144" t="str">
        <x:v>coem/BYD_UKE/gen_bsw/Com/Com_Cfg_SymbolicNames.h:56; BYD_5R1V_RadarRearcorner_V2.5_AllNodes.dbc:1171; coem/BYD_UKE/gen_bsw/CanIf/CanIf_PBcfg.c:1281</x:v>
      </x:c>
    </x:row>
    <x:row r="129" ht="72" customHeight="1">
      <x:c r="A129" s="144" t="str">
        <x:v>Com-I-PDU</x:v>
      </x:c>
      <x:c r="B129" s="144" t="str">
        <x:v>COM-MSG-Tx-021 / RRR_Obj05B</x:v>
      </x:c>
      <x:c r="C129" s="144" t="str">
        <x:v>方向=Tx; CAN_ID=0x51B; DLC=12; 周期=数据库/Com未配置周期 ms; Sender=RadarRearRight; Signal数=14</x:v>
      </x:c>
      <x:c r="D129" s="144" t="str">
        <x:v>输入：RTE/ASW 信号更新；输出：CAN 帧。边界：DLC/周期/更新位/超时/Bus-Off/无效值必须显式处理；不得依据参考 DBC 生成。</x:v>
      </x:c>
      <x:c r="E129" s="144" t="str">
        <x:v>M2</x:v>
      </x:c>
      <x:c r="F129" s="144" t="str">
        <x:v>东软自有通信数据库、CanIf/PduR/Com 配置、PDU→Signal 映射、timeout/E2E/更新位需求和自动测试。</x:v>
      </x:c>
      <x:c r="G129" s="144" t="str">
        <x:v>正确/错误 DLC、最小/最大周期、丢帧/重复/乱序、Bus-Off、全 Signal 边界值；CAN ID/DLC/方向逐项一致。</x:v>
      </x:c>
      <x:c r="H129" s="144" t="str">
        <x:v>coem/BYD_UKE/gen_bsw/Com/Com_Cfg_SymbolicNames.h:57; BYD_5R1V_RadarRearcorner_V2.5_AllNodes.dbc:1221; coem/BYD_UKE/gen_bsw/CanIf/CanIf_PBcfg.c:1287</x:v>
      </x:c>
    </x:row>
    <x:row r="130" ht="72" customHeight="1">
      <x:c r="A130" s="144" t="str">
        <x:v>Com-I-PDU</x:v>
      </x:c>
      <x:c r="B130" s="144" t="str">
        <x:v>COM-MSG-Tx-022 / RRR_Obj06A</x:v>
      </x:c>
      <x:c r="C130" s="144" t="str">
        <x:v>方向=Tx; CAN_ID=0x51C; DLC=64; 周期=数据库/Com未配置周期 ms; Sender=RadarRearRight; Signal数=48</x:v>
      </x:c>
      <x:c r="D130" s="144" t="str">
        <x:v>输入：RTE/ASW 信号更新；输出：CAN 帧。边界：DLC/周期/更新位/超时/Bus-Off/无效值必须显式处理；不得依据参考 DBC 生成。</x:v>
      </x:c>
      <x:c r="E130" s="144" t="str">
        <x:v>M2</x:v>
      </x:c>
      <x:c r="F130" s="144" t="str">
        <x:v>东软自有通信数据库、CanIf/PduR/Com 配置、PDU→Signal 映射、timeout/E2E/更新位需求和自动测试。</x:v>
      </x:c>
      <x:c r="G130" s="144" t="str">
        <x:v>正确/错误 DLC、最小/最大周期、丢帧/重复/乱序、Bus-Off、全 Signal 边界值；CAN ID/DLC/方向逐项一致。</x:v>
      </x:c>
      <x:c r="H130" s="144" t="str">
        <x:v>coem/BYD_UKE/gen_bsw/Com/Com_Cfg_SymbolicNames.h:58; BYD_5R1V_RadarRearcorner_V2.5_AllNodes.dbc:1237; coem/BYD_UKE/gen_bsw/CanIf/CanIf_PBcfg.c:1293</x:v>
      </x:c>
    </x:row>
    <x:row r="131" ht="72" customHeight="1">
      <x:c r="A131" s="144" t="str">
        <x:v>Com-I-PDU</x:v>
      </x:c>
      <x:c r="B131" s="144" t="str">
        <x:v>COM-MSG-Tx-023 / RRR_Obj06B</x:v>
      </x:c>
      <x:c r="C131" s="144" t="str">
        <x:v>方向=Tx; CAN_ID=0x51D; DLC=12; 周期=数据库/Com未配置周期 ms; Sender=RadarRearRight; Signal数=14</x:v>
      </x:c>
      <x:c r="D131" s="144" t="str">
        <x:v>输入：RTE/ASW 信号更新；输出：CAN 帧。边界：DLC/周期/更新位/超时/Bus-Off/无效值必须显式处理；不得依据参考 DBC 生成。</x:v>
      </x:c>
      <x:c r="E131" s="144" t="str">
        <x:v>M2</x:v>
      </x:c>
      <x:c r="F131" s="144" t="str">
        <x:v>东软自有通信数据库、CanIf/PduR/Com 配置、PDU→Signal 映射、timeout/E2E/更新位需求和自动测试。</x:v>
      </x:c>
      <x:c r="G131" s="144" t="str">
        <x:v>正确/错误 DLC、最小/最大周期、丢帧/重复/乱序、Bus-Off、全 Signal 边界值；CAN ID/DLC/方向逐项一致。</x:v>
      </x:c>
      <x:c r="H131" s="144" t="str">
        <x:v>coem/BYD_UKE/gen_bsw/Com/Com_Cfg_SymbolicNames.h:59; BYD_5R1V_RadarRearcorner_V2.5_AllNodes.dbc:1287; coem/BYD_UKE/gen_bsw/CanIf/CanIf_PBcfg.c:1299</x:v>
      </x:c>
    </x:row>
    <x:row r="132" ht="72" customHeight="1">
      <x:c r="A132" s="144" t="str">
        <x:v>Com-I-PDU</x:v>
      </x:c>
      <x:c r="B132" s="144" t="str">
        <x:v>COM-MSG-Tx-024 / RRR_Obj07A</x:v>
      </x:c>
      <x:c r="C132" s="144" t="str">
        <x:v>方向=Tx; CAN_ID=0x51E; DLC=64; 周期=数据库/Com未配置周期 ms; Sender=RadarRearRight; Signal数=48</x:v>
      </x:c>
      <x:c r="D132" s="144" t="str">
        <x:v>输入：RTE/ASW 信号更新；输出：CAN 帧。边界：DLC/周期/更新位/超时/Bus-Off/无效值必须显式处理；不得依据参考 DBC 生成。</x:v>
      </x:c>
      <x:c r="E132" s="144" t="str">
        <x:v>M2</x:v>
      </x:c>
      <x:c r="F132" s="144" t="str">
        <x:v>东软自有通信数据库、CanIf/PduR/Com 配置、PDU→Signal 映射、timeout/E2E/更新位需求和自动测试。</x:v>
      </x:c>
      <x:c r="G132" s="144" t="str">
        <x:v>正确/错误 DLC、最小/最大周期、丢帧/重复/乱序、Bus-Off、全 Signal 边界值；CAN ID/DLC/方向逐项一致。</x:v>
      </x:c>
      <x:c r="H132" s="144" t="str">
        <x:v>coem/BYD_UKE/gen_bsw/Com/Com_Cfg_SymbolicNames.h:60; BYD_5R1V_RadarRearcorner_V2.5_AllNodes.dbc:1303; coem/BYD_UKE/gen_bsw/CanIf/CanIf_PBcfg.c:1305</x:v>
      </x:c>
    </x:row>
    <x:row r="133" ht="72" customHeight="1">
      <x:c r="A133" s="144" t="str">
        <x:v>Com-I-PDU</x:v>
      </x:c>
      <x:c r="B133" s="144" t="str">
        <x:v>COM-MSG-Tx-025 / RRR_Obj07B</x:v>
      </x:c>
      <x:c r="C133" s="144" t="str">
        <x:v>方向=Tx; CAN_ID=0x51F; DLC=12; 周期=数据库/Com未配置周期 ms; Sender=RadarRearRight; Signal数=14</x:v>
      </x:c>
      <x:c r="D133" s="144" t="str">
        <x:v>输入：RTE/ASW 信号更新；输出：CAN 帧。边界：DLC/周期/更新位/超时/Bus-Off/无效值必须显式处理；不得依据参考 DBC 生成。</x:v>
      </x:c>
      <x:c r="E133" s="144" t="str">
        <x:v>M2</x:v>
      </x:c>
      <x:c r="F133" s="144" t="str">
        <x:v>东软自有通信数据库、CanIf/PduR/Com 配置、PDU→Signal 映射、timeout/E2E/更新位需求和自动测试。</x:v>
      </x:c>
      <x:c r="G133" s="144" t="str">
        <x:v>正确/错误 DLC、最小/最大周期、丢帧/重复/乱序、Bus-Off、全 Signal 边界值；CAN ID/DLC/方向逐项一致。</x:v>
      </x:c>
      <x:c r="H133" s="144" t="str">
        <x:v>coem/BYD_UKE/gen_bsw/Com/Com_Cfg_SymbolicNames.h:61; BYD_5R1V_RadarRearcorner_V2.5_AllNodes.dbc:1353; coem/BYD_UKE/gen_bsw/CanIf/CanIf_PBcfg.c:1311</x:v>
      </x:c>
    </x:row>
    <x:row r="134" ht="72" customHeight="1">
      <x:c r="A134" s="144" t="str">
        <x:v>Com-I-PDU</x:v>
      </x:c>
      <x:c r="B134" s="144" t="str">
        <x:v>COM-MSG-Tx-026 / RRR_Obj08A</x:v>
      </x:c>
      <x:c r="C134" s="144" t="str">
        <x:v>方向=Tx; CAN_ID=0x520; DLC=64; 周期=数据库/Com未配置周期 ms; Sender=RadarRearRight; Signal数=48</x:v>
      </x:c>
      <x:c r="D134" s="144" t="str">
        <x:v>输入：RTE/ASW 信号更新；输出：CAN 帧。边界：DLC/周期/更新位/超时/Bus-Off/无效值必须显式处理；不得依据参考 DBC 生成。</x:v>
      </x:c>
      <x:c r="E134" s="144" t="str">
        <x:v>M2</x:v>
      </x:c>
      <x:c r="F134" s="144" t="str">
        <x:v>东软自有通信数据库、CanIf/PduR/Com 配置、PDU→Signal 映射、timeout/E2E/更新位需求和自动测试。</x:v>
      </x:c>
      <x:c r="G134" s="144" t="str">
        <x:v>正确/错误 DLC、最小/最大周期、丢帧/重复/乱序、Bus-Off、全 Signal 边界值；CAN ID/DLC/方向逐项一致。</x:v>
      </x:c>
      <x:c r="H134" s="144" t="str">
        <x:v>coem/BYD_UKE/gen_bsw/Com/Com_Cfg_SymbolicNames.h:62; BYD_5R1V_RadarRearcorner_V2.5_AllNodes.dbc:1369; coem/BYD_UKE/gen_bsw/CanIf/CanIf_PBcfg.c:1317</x:v>
      </x:c>
    </x:row>
    <x:row r="135" ht="72" customHeight="1">
      <x:c r="A135" s="144" t="str">
        <x:v>Com-I-PDU</x:v>
      </x:c>
      <x:c r="B135" s="144" t="str">
        <x:v>COM-MSG-Tx-027 / RRR_Obj08B</x:v>
      </x:c>
      <x:c r="C135" s="144" t="str">
        <x:v>方向=Tx; CAN_ID=0x521; DLC=12; 周期=数据库/Com未配置周期 ms; Sender=RadarRearRight; Signal数=14</x:v>
      </x:c>
      <x:c r="D135" s="144" t="str">
        <x:v>输入：RTE/ASW 信号更新；输出：CAN 帧。边界：DLC/周期/更新位/超时/Bus-Off/无效值必须显式处理；不得依据参考 DBC 生成。</x:v>
      </x:c>
      <x:c r="E135" s="144" t="str">
        <x:v>M2</x:v>
      </x:c>
      <x:c r="F135" s="144" t="str">
        <x:v>东软自有通信数据库、CanIf/PduR/Com 配置、PDU→Signal 映射、timeout/E2E/更新位需求和自动测试。</x:v>
      </x:c>
      <x:c r="G135" s="144" t="str">
        <x:v>正确/错误 DLC、最小/最大周期、丢帧/重复/乱序、Bus-Off、全 Signal 边界值；CAN ID/DLC/方向逐项一致。</x:v>
      </x:c>
      <x:c r="H135" s="144" t="str">
        <x:v>coem/BYD_UKE/gen_bsw/Com/Com_Cfg_SymbolicNames.h:63; BYD_5R1V_RadarRearcorner_V2.5_AllNodes.dbc:1419; coem/BYD_UKE/gen_bsw/CanIf/CanIf_PBcfg.c:1323</x:v>
      </x:c>
    </x:row>
    <x:row r="136" ht="72" customHeight="1">
      <x:c r="A136" s="144" t="str">
        <x:v>Com-I-PDU</x:v>
      </x:c>
      <x:c r="B136" s="144" t="str">
        <x:v>COM-MSG-Tx-028 / RRR_Obj09A</x:v>
      </x:c>
      <x:c r="C136" s="144" t="str">
        <x:v>方向=Tx; CAN_ID=0x522; DLC=64; 周期=数据库/Com未配置周期 ms; Sender=RadarRearRight; Signal数=48</x:v>
      </x:c>
      <x:c r="D136" s="144" t="str">
        <x:v>输入：RTE/ASW 信号更新；输出：CAN 帧。边界：DLC/周期/更新位/超时/Bus-Off/无效值必须显式处理；不得依据参考 DBC 生成。</x:v>
      </x:c>
      <x:c r="E136" s="144" t="str">
        <x:v>M2</x:v>
      </x:c>
      <x:c r="F136" s="144" t="str">
        <x:v>东软自有通信数据库、CanIf/PduR/Com 配置、PDU→Signal 映射、timeout/E2E/更新位需求和自动测试。</x:v>
      </x:c>
      <x:c r="G136" s="144" t="str">
        <x:v>正确/错误 DLC、最小/最大周期、丢帧/重复/乱序、Bus-Off、全 Signal 边界值；CAN ID/DLC/方向逐项一致。</x:v>
      </x:c>
      <x:c r="H136" s="144" t="str">
        <x:v>coem/BYD_UKE/gen_bsw/Com/Com_Cfg_SymbolicNames.h:64; BYD_5R1V_RadarRearcorner_V2.5_AllNodes.dbc:1435; coem/BYD_UKE/gen_bsw/CanIf/CanIf_PBcfg.c:1329</x:v>
      </x:c>
    </x:row>
    <x:row r="137" ht="72" customHeight="1">
      <x:c r="A137" s="144" t="str">
        <x:v>Com-I-PDU</x:v>
      </x:c>
      <x:c r="B137" s="144" t="str">
        <x:v>COM-MSG-Tx-029 / RRR_Obj09B</x:v>
      </x:c>
      <x:c r="C137" s="144" t="str">
        <x:v>方向=Tx; CAN_ID=0x523; DLC=12; 周期=数据库/Com未配置周期 ms; Sender=RadarRearRight; Signal数=14</x:v>
      </x:c>
      <x:c r="D137" s="144" t="str">
        <x:v>输入：RTE/ASW 信号更新；输出：CAN 帧。边界：DLC/周期/更新位/超时/Bus-Off/无效值必须显式处理；不得依据参考 DBC 生成。</x:v>
      </x:c>
      <x:c r="E137" s="144" t="str">
        <x:v>M2</x:v>
      </x:c>
      <x:c r="F137" s="144" t="str">
        <x:v>东软自有通信数据库、CanIf/PduR/Com 配置、PDU→Signal 映射、timeout/E2E/更新位需求和自动测试。</x:v>
      </x:c>
      <x:c r="G137" s="144" t="str">
        <x:v>正确/错误 DLC、最小/最大周期、丢帧/重复/乱序、Bus-Off、全 Signal 边界值；CAN ID/DLC/方向逐项一致。</x:v>
      </x:c>
      <x:c r="H137" s="144" t="str">
        <x:v>coem/BYD_UKE/gen_bsw/Com/Com_Cfg_SymbolicNames.h:65; BYD_5R1V_RadarRearcorner_V2.5_AllNodes.dbc:1485; coem/BYD_UKE/gen_bsw/CanIf/CanIf_PBcfg.c:1335</x:v>
      </x:c>
    </x:row>
    <x:row r="138" ht="72" customHeight="1">
      <x:c r="A138" s="144" t="str">
        <x:v>Com-I-PDU</x:v>
      </x:c>
      <x:c r="B138" s="144" t="str">
        <x:v>COM-MSG-Tx-030 / RRR_ObjHdr</x:v>
      </x:c>
      <x:c r="C138" s="144" t="str">
        <x:v>方向=Tx; CAN_ID=0x505; DLC=48; 周期=数据库/Com未配置周期 ms; Sender=RadarRearRight; Signal数=23</x:v>
      </x:c>
      <x:c r="D138" s="144" t="str">
        <x:v>输入：RTE/ASW 信号更新；输出：CAN 帧。边界：DLC/周期/更新位/超时/Bus-Off/无效值必须显式处理；不得依据参考 DBC 生成。</x:v>
      </x:c>
      <x:c r="E138" s="144" t="str">
        <x:v>M2</x:v>
      </x:c>
      <x:c r="F138" s="144" t="str">
        <x:v>东软自有通信数据库、CanIf/PduR/Com 配置、PDU→Signal 映射、timeout/E2E/更新位需求和自动测试。</x:v>
      </x:c>
      <x:c r="G138" s="144" t="str">
        <x:v>正确/错误 DLC、最小/最大周期、丢帧/重复/乱序、Bus-Off、全 Signal 边界值；CAN ID/DLC/方向逐项一致。</x:v>
      </x:c>
      <x:c r="H138" s="144" t="str">
        <x:v>coem/BYD_UKE/gen_bsw/Com/Com_Cfg_SymbolicNames.h:66; BYD_5R1V_RadarRearcorner_V2.5_AllNodes.dbc:816; coem/BYD_UKE/gen_bsw/CanIf/CanIf_PBcfg.c:1341</x:v>
      </x:c>
    </x:row>
    <x:row r="139" ht="72" customHeight="1">
      <x:c r="A139" s="144" t="str">
        <x:v>Com-I-PDU</x:v>
      </x:c>
      <x:c r="B139" s="144" t="str">
        <x:v>COM-MSG-Tx-031 / Test_OS1</x:v>
      </x:c>
      <x:c r="C139" s="144" t="str">
        <x:v>方向=Tx; CAN_ID=0x601; DLC=64; 周期=Com未配置周期（接收报文或直接触发发送） ms; Sender=UNRESOLVED; Signal数=1</x:v>
      </x:c>
      <x:c r="D139" s="144" t="str">
        <x:v>输入：RTE/ASW 信号更新；输出：CAN 帧。边界：DLC/周期/更新位/超时/Bus-Off/无效值必须显式处理；不得依据参考 DBC 生成。</x:v>
      </x:c>
      <x:c r="E139" s="144" t="str">
        <x:v>M2</x:v>
      </x:c>
      <x:c r="F139" s="144" t="str">
        <x:v>东软自有通信数据库、CanIf/PduR/Com 配置、PDU→Signal 映射、timeout/E2E/更新位需求和自动测试。</x:v>
      </x:c>
      <x:c r="G139" s="144" t="str">
        <x:v>正确/错误 DLC、最小/最大周期、丢帧/重复/乱序、Bus-Off、全 Signal 边界值；CAN ID/DLC/方向逐项一致。</x:v>
      </x:c>
      <x:c r="H139" s="144" t="str">
        <x:v>coem/BYD_UKE/gen_bsw/Com/Com_Cfg_SymbolicNames.h:67; coem/BYD_UKE/gen_bsw/CanIf/CanIf_PBcfg.c:1353</x:v>
      </x:c>
    </x:row>
    <x:row r="140" ht="72" customHeight="1">
      <x:c r="A140" s="144" t="str">
        <x:v>Com-I-PDU</x:v>
      </x:c>
      <x:c r="B140" s="144" t="str">
        <x:v>COM-MSG-Tx-032 / Test_OS2</x:v>
      </x:c>
      <x:c r="C140" s="144" t="str">
        <x:v>方向=Tx; CAN_ID=0x602; DLC=64; 周期=Com未配置周期（接收报文或直接触发发送） ms; Sender=UNRESOLVED; Signal数=1</x:v>
      </x:c>
      <x:c r="D140" s="144" t="str">
        <x:v>输入：RTE/ASW 信号更新；输出：CAN 帧。边界：DLC/周期/更新位/超时/Bus-Off/无效值必须显式处理；不得依据参考 DBC 生成。</x:v>
      </x:c>
      <x:c r="E140" s="144" t="str">
        <x:v>M2</x:v>
      </x:c>
      <x:c r="F140" s="144" t="str">
        <x:v>东软自有通信数据库、CanIf/PduR/Com 配置、PDU→Signal 映射、timeout/E2E/更新位需求和自动测试。</x:v>
      </x:c>
      <x:c r="G140" s="144" t="str">
        <x:v>正确/错误 DLC、最小/最大周期、丢帧/重复/乱序、Bus-Off、全 Signal 边界值；CAN ID/DLC/方向逐项一致。</x:v>
      </x:c>
      <x:c r="H140" s="144" t="str">
        <x:v>coem/BYD_UKE/gen_bsw/Com/Com_Cfg_SymbolicNames.h:68; coem/BYD_UKE/gen_bsw/CanIf/CanIf_PBcfg.c:1359</x:v>
      </x:c>
    </x:row>
    <x:row r="141" ht="72" customHeight="1">
      <x:c r="A141" s="144" t="str">
        <x:v>Com-I-PDU</x:v>
      </x:c>
      <x:c r="B141" s="144" t="str">
        <x:v>COM-MSG-Tx-033 / Test_OS3</x:v>
      </x:c>
      <x:c r="C141" s="144" t="str">
        <x:v>方向=Tx; CAN_ID=0x603; DLC=64; 周期=Com未配置周期（接收报文或直接触发发送） ms; Sender=UNRESOLVED; Signal数=1</x:v>
      </x:c>
      <x:c r="D141" s="144" t="str">
        <x:v>输入：RTE/ASW 信号更新；输出：CAN 帧。边界：DLC/周期/更新位/超时/Bus-Off/无效值必须显式处理；不得依据参考 DBC 生成。</x:v>
      </x:c>
      <x:c r="E141" s="144" t="str">
        <x:v>M2</x:v>
      </x:c>
      <x:c r="F141" s="144" t="str">
        <x:v>东软自有通信数据库、CanIf/PduR/Com 配置、PDU→Signal 映射、timeout/E2E/更新位需求和自动测试。</x:v>
      </x:c>
      <x:c r="G141" s="144" t="str">
        <x:v>正确/错误 DLC、最小/最大周期、丢帧/重复/乱序、Bus-Off、全 Signal 边界值；CAN ID/DLC/方向逐项一致。</x:v>
      </x:c>
      <x:c r="H141" s="144" t="str">
        <x:v>coem/BYD_UKE/gen_bsw/Com/Com_Cfg_SymbolicNames.h:69; coem/BYD_UKE/gen_bsw/CanIf/CanIf_PBcfg.c:1365</x:v>
      </x:c>
    </x:row>
    <x:row r="142" ht="72" customHeight="1">
      <x:c r="A142" s="144" t="str">
        <x:v>Com-Signal</x:v>
      </x:c>
      <x:c r="B142" s="144" t="str">
        <x:v>COM-SIG-Tx-0000 / RRL_20msPDU_AliveCtr_Tx</x:v>
      </x:c>
      <x:c r="C142" s="144" t="str">
        <x:v>PDU=RRL_20msPDU_Tx; startBit=16; length=8; byteOrder=Little; type=UINT8; factor=1; offset=0; min=0; max=255; unit=-; receivers=DASy</x:v>
      </x:c>
      <x:c r="D1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2" s="144" t="str">
        <x:v>M2</x:v>
      </x:c>
      <x:c r="F142" s="144" t="str">
        <x:v>Signal 级可编辑配置、数据类型/缩放/端序合同、RTE 接口、边界值与 round-trip 测试。</x:v>
      </x:c>
      <x:c r="G142" s="144" t="str">
        <x:v>raw=0、raw=max、物理 min/max、越界/保留值、端序字节向量、pack→unpack round-trip；1457/1457 通过。</x:v>
      </x:c>
      <x:c r="H142" s="144" t="str">
        <x:v>coem/BYD_UKE/gen_bsw/Com/Com_PBcfg.c:55; BYD_5R1V_RadarRearcorner_V2.5_AllNodes.dbc:75</x:v>
      </x:c>
    </x:row>
    <x:row r="143" ht="72" customHeight="1">
      <x:c r="A143" s="144" t="str">
        <x:v>Com-Signal</x:v>
      </x:c>
      <x:c r="B143" s="144" t="str">
        <x:v>COM-SIG-Tx-0001 / RRL_20msPDU_CRC_Tx</x:v>
      </x:c>
      <x:c r="C143" s="144" t="str">
        <x:v>PDU=RRL_20msPDU_Tx; startBit=0; length=16; byteOrder=Little; type=UINT16; factor=1; offset=0; min=0; max=65535; unit=-; receivers=DASy</x:v>
      </x:c>
      <x:c r="D1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3" s="144" t="str">
        <x:v>M2</x:v>
      </x:c>
      <x:c r="F143" s="144" t="str">
        <x:v>Signal 级可编辑配置、数据类型/缩放/端序合同、RTE 接口、边界值与 round-trip 测试。</x:v>
      </x:c>
      <x:c r="G143" s="144" t="str">
        <x:v>raw=0、raw=max、物理 min/max、越界/保留值、端序字节向量、pack→unpack round-trip；1457/1457 通过。</x:v>
      </x:c>
      <x:c r="H143" s="144" t="str">
        <x:v>coem/BYD_UKE/gen_bsw/Com/Com_PBcfg.c:108; BYD_5R1V_RadarRearcorner_V2.5_AllNodes.dbc:74</x:v>
      </x:c>
    </x:row>
    <x:row r="144" ht="72" customHeight="1">
      <x:c r="A144" s="144" t="str">
        <x:v>Com-Signal</x:v>
      </x:c>
      <x:c r="B144" s="144" t="str">
        <x:v>COM-SIG-Tx-0002 / RRL_RCTBSysFltSts_Tx</x:v>
      </x:c>
      <x:c r="C144" s="144" t="str">
        <x:v>PDU=RRL_20msPDU_Tx; startBit=42; length=3; byteOrder=Little; type=UINT8; factor=1; offset=0; min=0; max=7; unit=-; receivers=DASy</x:v>
      </x:c>
      <x:c r="D1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4" s="144" t="str">
        <x:v>M2</x:v>
      </x:c>
      <x:c r="F144" s="144" t="str">
        <x:v>Signal 级可编辑配置、数据类型/缩放/端序合同、RTE 接口、边界值与 round-trip 测试。</x:v>
      </x:c>
      <x:c r="G144" s="144" t="str">
        <x:v>raw=0、raw=max、物理 min/max、越界/保留值、端序字节向量、pack→unpack round-trip；1457/1457 通过。</x:v>
      </x:c>
      <x:c r="H144" s="144" t="str">
        <x:v>coem/BYD_UKE/gen_bsw/Com/Com_PBcfg.c:161; BYD_5R1V_RadarRearcorner_V2.5_AllNodes.dbc:73</x:v>
      </x:c>
    </x:row>
    <x:row r="145" ht="72" customHeight="1">
      <x:c r="A145" s="144" t="str">
        <x:v>Com-Signal</x:v>
      </x:c>
      <x:c r="B145" s="144" t="str">
        <x:v>COM-SIG-Tx-0003 / RRL_SDAState_Tx</x:v>
      </x:c>
      <x:c r="C145" s="144" t="str">
        <x:v>PDU=RRL_20msPDU_Tx; startBit=48; length=2; byteOrder=Little; type=UINT8; factor=1; offset=0; min=0; max=3; unit=-; receivers=DASy</x:v>
      </x:c>
      <x:c r="D1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5" s="144" t="str">
        <x:v>M2</x:v>
      </x:c>
      <x:c r="F145" s="144" t="str">
        <x:v>Signal 级可编辑配置、数据类型/缩放/端序合同、RTE 接口、边界值与 round-trip 测试。</x:v>
      </x:c>
      <x:c r="G145" s="144" t="str">
        <x:v>raw=0、raw=max、物理 min/max、越界/保留值、端序字节向量、pack→unpack round-trip；1457/1457 通过。</x:v>
      </x:c>
      <x:c r="H145" s="144" t="str">
        <x:v>coem/BYD_UKE/gen_bsw/Com/Com_PBcfg.c:214; BYD_5R1V_RadarRearcorner_V2.5_AllNodes.dbc:72</x:v>
      </x:c>
    </x:row>
    <x:row r="146" ht="72" customHeight="1">
      <x:c r="A146" s="144" t="str">
        <x:v>Com-Signal</x:v>
      </x:c>
      <x:c r="B146" s="144" t="str">
        <x:v>COM-SIG-Tx-0004 / LRCR_LeTarDstX_Tx</x:v>
      </x:c>
      <x:c r="C146" s="144" t="str">
        <x:v>PDU=ELKOT_LeftObj_Tx; startBit=21; length=11; byteOrder=Little; type=UINT16; factor=0.1; offset=-150; min=-150; max=10; unit=m; receivers=DASy</x:v>
      </x:c>
      <x:c r="D1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6" s="144" t="str">
        <x:v>M2</x:v>
      </x:c>
      <x:c r="F146" s="144" t="str">
        <x:v>Signal 级可编辑配置、数据类型/缩放/端序合同、RTE 接口、边界值与 round-trip 测试。</x:v>
      </x:c>
      <x:c r="G146" s="144" t="str">
        <x:v>raw=0、raw=max、物理 min/max、越界/保留值、端序字节向量、pack→unpack round-trip；1457/1457 通过。</x:v>
      </x:c>
      <x:c r="H146" s="144" t="str">
        <x:v>coem/BYD_UKE/gen_bsw/Com/Com_PBcfg.c:267; BYD_5R1V_RadarRearcorner_V2.5_AllNodes.dbc:82</x:v>
      </x:c>
    </x:row>
    <x:row r="147" ht="72" customHeight="1">
      <x:c r="A147" s="144" t="str">
        <x:v>Com-Signal</x:v>
      </x:c>
      <x:c r="B147" s="144" t="str">
        <x:v>COM-SIG-Tx-0005 / LRCR_LeTarDstY_Tx</x:v>
      </x:c>
      <x:c r="C147" s="144" t="str">
        <x:v>PDU=ELKOT_LeftObj_Tx; startBit=53; length=11; byteOrder=Little; type=UINT16; factor=0.06225; offset=-50; min=-50; max=50; unit=m; receivers=DASy</x:v>
      </x:c>
      <x:c r="D1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7" s="144" t="str">
        <x:v>M2</x:v>
      </x:c>
      <x:c r="F147" s="144" t="str">
        <x:v>Signal 级可编辑配置、数据类型/缩放/端序合同、RTE 接口、边界值与 round-trip 测试。</x:v>
      </x:c>
      <x:c r="G147" s="144" t="str">
        <x:v>raw=0、raw=max、物理 min/max、越界/保留值、端序字节向量、pack→unpack round-trip；1457/1457 通过。</x:v>
      </x:c>
      <x:c r="H147" s="144" t="str">
        <x:v>coem/BYD_UKE/gen_bsw/Com/Com_PBcfg.c:320; BYD_5R1V_RadarRearcorner_V2.5_AllNodes.dbc:81</x:v>
      </x:c>
    </x:row>
    <x:row r="148" ht="72" customHeight="1">
      <x:c r="A148" s="144" t="str">
        <x:v>Com-Signal</x:v>
      </x:c>
      <x:c r="B148" s="144" t="str">
        <x:v>COM-SIG-Tx-0006 / LRCR_LeTarRelVelX_Tx</x:v>
      </x:c>
      <x:c r="C148" s="144" t="str">
        <x:v>PDU=ELKOT_LeftObj_Tx; startBit=6; length=9; byteOrder=Little; type=UINT16; factor=0.1; offset=0; min=0; max=51.1; unit=m/s; receivers=DASy</x:v>
      </x:c>
      <x:c r="D1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8" s="144" t="str">
        <x:v>M2</x:v>
      </x:c>
      <x:c r="F148" s="144" t="str">
        <x:v>Signal 级可编辑配置、数据类型/缩放/端序合同、RTE 接口、边界值与 round-trip 测试。</x:v>
      </x:c>
      <x:c r="G148" s="144" t="str">
        <x:v>raw=0、raw=max、物理 min/max、越界/保留值、端序字节向量、pack→unpack round-trip；1457/1457 通过。</x:v>
      </x:c>
      <x:c r="H148" s="144" t="str">
        <x:v>coem/BYD_UKE/gen_bsw/Com/Com_PBcfg.c:373; BYD_5R1V_RadarRearcorner_V2.5_AllNodes.dbc:80</x:v>
      </x:c>
    </x:row>
    <x:row r="149" ht="72" customHeight="1">
      <x:c r="A149" s="144" t="str">
        <x:v>Com-Signal</x:v>
      </x:c>
      <x:c r="B149" s="144" t="str">
        <x:v>COM-SIG-Tx-0007 / LRCR_LeTarRelVelY_Tx</x:v>
      </x:c>
      <x:c r="C149" s="144" t="str">
        <x:v>PDU=ELKOT_LeftObj_Tx; startBit=38; length=10; byteOrder=Little; type=UINT16; factor=0.06225; offset=-30; min=-30; max=30; unit=m/s; receivers=DASy</x:v>
      </x:c>
      <x:c r="D1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49" s="144" t="str">
        <x:v>M2</x:v>
      </x:c>
      <x:c r="F149" s="144" t="str">
        <x:v>Signal 级可编辑配置、数据类型/缩放/端序合同、RTE 接口、边界值与 round-trip 测试。</x:v>
      </x:c>
      <x:c r="G149" s="144" t="str">
        <x:v>raw=0、raw=max、物理 min/max、越界/保留值、端序字节向量、pack→unpack round-trip；1457/1457 通过。</x:v>
      </x:c>
      <x:c r="H149" s="144" t="str">
        <x:v>coem/BYD_UKE/gen_bsw/Com/Com_PBcfg.c:426; BYD_5R1V_RadarRearcorner_V2.5_AllNodes.dbc:79</x:v>
      </x:c>
    </x:row>
    <x:row r="150" ht="72" customHeight="1">
      <x:c r="A150" s="144" t="str">
        <x:v>Com-Signal</x:v>
      </x:c>
      <x:c r="B150" s="144" t="str">
        <x:v>COM-SIG-Tx-0008 / LRCR_LeTarSts_Tx</x:v>
      </x:c>
      <x:c r="C150" s="144" t="str">
        <x:v>PDU=ELKOT_LeftObj_Tx; startBit=4; length=1; byteOrder=Little; type=UINT8; factor=1; offset=0; min=0; max=1; unit=-; receivers=DASy</x:v>
      </x:c>
      <x:c r="D1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0" s="144" t="str">
        <x:v>M2</x:v>
      </x:c>
      <x:c r="F150" s="144" t="str">
        <x:v>Signal 级可编辑配置、数据类型/缩放/端序合同、RTE 接口、边界值与 round-trip 测试。</x:v>
      </x:c>
      <x:c r="G150" s="144" t="str">
        <x:v>raw=0、raw=max、物理 min/max、越界/保留值、端序字节向量、pack→unpack round-trip；1457/1457 通过。</x:v>
      </x:c>
      <x:c r="H150" s="144" t="str">
        <x:v>coem/BYD_UKE/gen_bsw/Com/Com_PBcfg.c:479; BYD_5R1V_RadarRearcorner_V2.5_AllNodes.dbc:78</x:v>
      </x:c>
    </x:row>
    <x:row r="151" ht="72" customHeight="1">
      <x:c r="A151" s="144" t="str">
        <x:v>Com-Signal</x:v>
      </x:c>
      <x:c r="B151" s="144" t="str">
        <x:v>COM-SIG-Tx-0009 / CheckSum2CA_S</x:v>
      </x:c>
      <x:c r="C151" s="144" t="str">
        <x:v>PDU=FCR_R_0x2CA; startBit=56; length=8; byteOrder=Little; type=UINT8; factor=1; offset=0; min=0; max=255; unit=-; receivers=Left_BCM_L1,Media,INS</x:v>
      </x:c>
      <x:c r="D1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1" s="144" t="str">
        <x:v>M2</x:v>
      </x:c>
      <x:c r="F151" s="144" t="str">
        <x:v>Signal 级可编辑配置、数据类型/缩放/端序合同、RTE 接口、边界值与 round-trip 测试。</x:v>
      </x:c>
      <x:c r="G151" s="144" t="str">
        <x:v>raw=0、raw=max、物理 min/max、越界/保留值、端序字节向量、pack→unpack round-trip；1457/1457 通过。</x:v>
      </x:c>
      <x:c r="H151" s="144" t="str">
        <x:v>coem/BYD_UKE/gen_bsw/Com/Com_PBcfg.c:532; BoschOversea_StandardCANFD_commplatform_FCR_CAN_Matrix_V4.18.2_20251104.dbc:262</x:v>
      </x:c>
    </x:row>
    <x:row r="152" ht="72" customHeight="1">
      <x:c r="A152" s="144" t="str">
        <x:v>Com-Signal</x:v>
      </x:c>
      <x:c r="B152" s="144" t="str">
        <x:v>COM-SIG-Tx-0010 / FCR_L_calibration_ongoing</x:v>
      </x:c>
      <x:c r="C152" s="144" t="str">
        <x:v>PDU=FCR_R_0x2CA; startBit=31; length=1; byteOrder=Little; type=UINT8; factor=1; offset=0; min=0; max=1; unit=-; receivers=Media,INS</x:v>
      </x:c>
      <x:c r="D1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2" s="144" t="str">
        <x:v>M2</x:v>
      </x:c>
      <x:c r="F152" s="144" t="str">
        <x:v>Signal 级可编辑配置、数据类型/缩放/端序合同、RTE 接口、边界值与 round-trip 测试。</x:v>
      </x:c>
      <x:c r="G152" s="144" t="str">
        <x:v>raw=0、raw=max、物理 min/max、越界/保留值、端序字节向量、pack→unpack round-trip；1457/1457 通过。</x:v>
      </x:c>
      <x:c r="H152" s="144" t="str">
        <x:v>coem/BYD_UKE/gen_bsw/Com/Com_PBcfg.c:585; BoschOversea_StandardCANFD_commplatform_FCR_CAN_Matrix_V4.18.2_20251104.dbc:259</x:v>
      </x:c>
    </x:row>
    <x:row r="153" ht="72" customHeight="1">
      <x:c r="A153" s="144" t="str">
        <x:v>Com-Signal</x:v>
      </x:c>
      <x:c r="B153" s="144" t="str">
        <x:v>COM-SIG-Tx-0011 / FCR_R_calibration_ongoing</x:v>
      </x:c>
      <x:c r="C153" s="144" t="str">
        <x:v>PDU=FCR_R_0x2CA; startBit=39; length=1; byteOrder=Little; type=UINT8; factor=1; offset=0; min=0; max=1; unit=-; receivers=Media,INS</x:v>
      </x:c>
      <x:c r="D1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3" s="144" t="str">
        <x:v>M2</x:v>
      </x:c>
      <x:c r="F153" s="144" t="str">
        <x:v>Signal 级可编辑配置、数据类型/缩放/端序合同、RTE 接口、边界值与 round-trip 测试。</x:v>
      </x:c>
      <x:c r="G153" s="144" t="str">
        <x:v>raw=0、raw=max、物理 min/max、越界/保留值、端序字节向量、pack→unpack round-trip；1457/1457 通过。</x:v>
      </x:c>
      <x:c r="H153" s="144" t="str">
        <x:v>coem/BYD_UKE/gen_bsw/Com/Com_PBcfg.c:638; BoschOversea_StandardCANFD_commplatform_FCR_CAN_Matrix_V4.18.2_20251104.dbc:260</x:v>
      </x:c>
    </x:row>
    <x:row r="154" ht="72" customHeight="1">
      <x:c r="A154" s="144" t="str">
        <x:v>Com-Signal</x:v>
      </x:c>
      <x:c r="B154" s="144" t="str">
        <x:v>COM-SIG-Tx-0012 / FCR_Sys_Status_S</x:v>
      </x:c>
      <x:c r="C154" s="144" t="str">
        <x:v>PDU=FCR_R_0x2CA; startBit=0; length=2; byteOrder=Little; type=UINT8; factor=1; offset=0; min=0; max=3; unit=-; receivers=Left_BCM_L1,Left_BCM_L2_L3,Left_BCM_L4,Media,INS</x:v>
      </x:c>
      <x:c r="D1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4" s="144" t="str">
        <x:v>M2</x:v>
      </x:c>
      <x:c r="F154" s="144" t="str">
        <x:v>Signal 级可编辑配置、数据类型/缩放/端序合同、RTE 接口、边界值与 round-trip 测试。</x:v>
      </x:c>
      <x:c r="G154" s="144" t="str">
        <x:v>raw=0、raw=max、物理 min/max、越界/保留值、端序字节向量、pack→unpack round-trip；1457/1457 通过。</x:v>
      </x:c>
      <x:c r="H154" s="144" t="str">
        <x:v>coem/BYD_UKE/gen_bsw/Com/Com_PBcfg.c:691; BoschOversea_StandardCANFD_commplatform_FCR_CAN_Matrix_V4.18.2_20251104.dbc:249</x:v>
      </x:c>
    </x:row>
    <x:row r="155" ht="72" customHeight="1">
      <x:c r="A155" s="144" t="str">
        <x:v>Com-Signal</x:v>
      </x:c>
      <x:c r="B155" s="144" t="str">
        <x:v>COM-SIG-Tx-0013 / FCTA_FCTB_Status_S</x:v>
      </x:c>
      <x:c r="C155" s="144" t="str">
        <x:v>PDU=FCR_R_0x2CA; startBit=28; length=3; byteOrder=Little; type=UINT8; factor=1; offset=0; min=0; max=7; unit=-; receivers=Media,INS</x:v>
      </x:c>
      <x:c r="D1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5" s="144" t="str">
        <x:v>M2</x:v>
      </x:c>
      <x:c r="F155" s="144" t="str">
        <x:v>Signal 级可编辑配置、数据类型/缩放/端序合同、RTE 接口、边界值与 round-trip 测试。</x:v>
      </x:c>
      <x:c r="G155" s="144" t="str">
        <x:v>raw=0、raw=max、物理 min/max、越界/保留值、端序字节向量、pack→unpack round-trip；1457/1457 通过。</x:v>
      </x:c>
      <x:c r="H155" s="144" t="str">
        <x:v>coem/BYD_UKE/gen_bsw/Com/Com_PBcfg.c:744; BoschOversea_StandardCANFD_commplatform_FCR_CAN_Matrix_V4.18.2_20251104.dbc:258</x:v>
      </x:c>
    </x:row>
    <x:row r="156" ht="72" customHeight="1">
      <x:c r="A156" s="144" t="str">
        <x:v>Com-Signal</x:v>
      </x:c>
      <x:c r="B156" s="144" t="str">
        <x:v>COM-SIG-Tx-0014 / FCTA_Gray_Sts</x:v>
      </x:c>
      <x:c r="C156" s="144" t="str">
        <x:v>PDU=FCR_R_0x2CA; startBit=24; length=2; byteOrder=Little; type=UINT8; factor=1; offset=0; min=0; max=3; unit=-; receivers=Media,INS</x:v>
      </x:c>
      <x:c r="D1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6" s="144" t="str">
        <x:v>M2</x:v>
      </x:c>
      <x:c r="F156" s="144" t="str">
        <x:v>Signal 级可编辑配置、数据类型/缩放/端序合同、RTE 接口、边界值与 round-trip 测试。</x:v>
      </x:c>
      <x:c r="G156" s="144" t="str">
        <x:v>raw=0、raw=max、物理 min/max、越界/保留值、端序字节向量、pack→unpack round-trip；1457/1457 通过。</x:v>
      </x:c>
      <x:c r="H156" s="144" t="str">
        <x:v>coem/BYD_UKE/gen_bsw/Com/Com_PBcfg.c:797; BoschOversea_StandardCANFD_commplatform_FCR_CAN_Matrix_V4.18.2_20251104.dbc:256</x:v>
      </x:c>
    </x:row>
    <x:row r="157" ht="72" customHeight="1">
      <x:c r="A157" s="144" t="str">
        <x:v>Com-Signal</x:v>
      </x:c>
      <x:c r="B157" s="144" t="str">
        <x:v>COM-SIG-Tx-0015 / FCTBBrkReq_S</x:v>
      </x:c>
      <x:c r="C157" s="144" t="str">
        <x:v>PDU=FCR_R_0x2CA; startBit=12; length=2; byteOrder=Little; type=UINT8; factor=1; offset=0; min=0; max=3; unit=-; receivers=Left_BCM_L1,Media,INS</x:v>
      </x:c>
      <x:c r="D1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7" s="144" t="str">
        <x:v>M2</x:v>
      </x:c>
      <x:c r="F157" s="144" t="str">
        <x:v>Signal 级可编辑配置、数据类型/缩放/端序合同、RTE 接口、边界值与 round-trip 测试。</x:v>
      </x:c>
      <x:c r="G157" s="144" t="str">
        <x:v>raw=0、raw=max、物理 min/max、越界/保留值、端序字节向量、pack→unpack round-trip；1457/1457 通过。</x:v>
      </x:c>
      <x:c r="H157" s="144" t="str">
        <x:v>coem/BYD_UKE/gen_bsw/Com/Com_PBcfg.c:850; BoschOversea_StandardCANFD_commplatform_FCR_CAN_Matrix_V4.18.2_20251104.dbc:254</x:v>
      </x:c>
    </x:row>
    <x:row r="158" ht="72" customHeight="1">
      <x:c r="A158" s="144" t="str">
        <x:v>Com-Signal</x:v>
      </x:c>
      <x:c r="B158" s="144" t="str">
        <x:v>COM-SIG-Tx-0016 / FCTBTargetDecel_S</x:v>
      </x:c>
      <x:c r="C158" s="144" t="str">
        <x:v>PDU=FCR_R_0x2CA; startBit=16; length=8; byteOrder=Little; type=UINT8; factor=0.05; offset=-10; min=-10; max=2.74; unit=m/s; receivers=Left_BCM_L1,Media,INS</x:v>
      </x:c>
      <x:c r="D1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8" s="144" t="str">
        <x:v>M2</x:v>
      </x:c>
      <x:c r="F158" s="144" t="str">
        <x:v>Signal 级可编辑配置、数据类型/缩放/端序合同、RTE 接口、边界值与 round-trip 测试。</x:v>
      </x:c>
      <x:c r="G158" s="144" t="str">
        <x:v>raw=0、raw=max、物理 min/max、越界/保留值、端序字节向量、pack→unpack round-trip；1457/1457 通过。</x:v>
      </x:c>
      <x:c r="H158" s="144" t="str">
        <x:v>coem/BYD_UKE/gen_bsw/Com/Com_PBcfg.c:903; BoschOversea_StandardCANFD_commplatform_FCR_CAN_Matrix_V4.18.2_20251104.dbc:255</x:v>
      </x:c>
    </x:row>
    <x:row r="159" ht="72" customHeight="1">
      <x:c r="A159" s="144" t="str">
        <x:v>Com-Signal</x:v>
      </x:c>
      <x:c r="B159" s="144" t="str">
        <x:v>COM-SIG-Tx-0017 / FCTB_Gray_Sts</x:v>
      </x:c>
      <x:c r="C159" s="144" t="str">
        <x:v>PDU=FCR_R_0x2CA; startBit=26; length=2; byteOrder=Little; type=UINT8; factor=1; offset=0; min=0; max=3; unit=-; receivers=Media,INS</x:v>
      </x:c>
      <x:c r="D1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59" s="144" t="str">
        <x:v>M2</x:v>
      </x:c>
      <x:c r="F159" s="144" t="str">
        <x:v>Signal 级可编辑配置、数据类型/缩放/端序合同、RTE 接口、边界值与 round-trip 测试。</x:v>
      </x:c>
      <x:c r="G159" s="144" t="str">
        <x:v>raw=0、raw=max、物理 min/max、越界/保留值、端序字节向量、pack→unpack round-trip；1457/1457 通过。</x:v>
      </x:c>
      <x:c r="H159" s="144" t="str">
        <x:v>coem/BYD_UKE/gen_bsw/Com/Com_PBcfg.c:956; BoschOversea_StandardCANFD_commplatform_FCR_CAN_Matrix_V4.18.2_20251104.dbc:257</x:v>
      </x:c>
    </x:row>
    <x:row r="160" ht="72" customHeight="1">
      <x:c r="A160" s="144" t="str">
        <x:v>Com-Signal</x:v>
      </x:c>
      <x:c r="B160" s="144" t="str">
        <x:v>COM-SIG-Tx-0018 / Message_Counter_2CA_S</x:v>
      </x:c>
      <x:c r="C160" s="144" t="str">
        <x:v>PDU=FCR_R_0x2CA; startBit=52; length=4; byteOrder=Little; type=UINT8; factor=1; offset=0; min=0; max=15; unit=-; receivers=Left_BCM_L1,Media,INS</x:v>
      </x:c>
      <x:c r="D1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0" s="144" t="str">
        <x:v>M2</x:v>
      </x:c>
      <x:c r="F160" s="144" t="str">
        <x:v>Signal 级可编辑配置、数据类型/缩放/端序合同、RTE 接口、边界值与 round-trip 测试。</x:v>
      </x:c>
      <x:c r="G160" s="144" t="str">
        <x:v>raw=0、raw=max、物理 min/max、越界/保留值、端序字节向量、pack→unpack round-trip；1457/1457 通过。</x:v>
      </x:c>
      <x:c r="H160" s="144" t="str">
        <x:v>coem/BYD_UKE/gen_bsw/Com/Com_PBcfg.c:1009; BoschOversea_StandardCANFD_commplatform_FCR_CAN_Matrix_V4.18.2_20251104.dbc:261</x:v>
      </x:c>
    </x:row>
    <x:row r="161" ht="72" customHeight="1">
      <x:c r="A161" s="144" t="str">
        <x:v>Com-Signal</x:v>
      </x:c>
      <x:c r="B161" s="144" t="str">
        <x:v>COM-SIG-Tx-0019 / RRadar_FCTA_Warning_Left_S</x:v>
      </x:c>
      <x:c r="C161" s="144" t="str">
        <x:v>PDU=FCR_R_0x2CA; startBit=11; length=1; byteOrder=Little; type=UINT8; factor=1; offset=0; min=0; max=1; unit=-; receivers=Left_BCM_L1,Media,INS</x:v>
      </x:c>
      <x:c r="D1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1" s="144" t="str">
        <x:v>M2</x:v>
      </x:c>
      <x:c r="F161" s="144" t="str">
        <x:v>Signal 级可编辑配置、数据类型/缩放/端序合同、RTE 接口、边界值与 round-trip 测试。</x:v>
      </x:c>
      <x:c r="G161" s="144" t="str">
        <x:v>raw=0、raw=max、物理 min/max、越界/保留值、端序字节向量、pack→unpack round-trip；1457/1457 通过。</x:v>
      </x:c>
      <x:c r="H161" s="144" t="str">
        <x:v>coem/BYD_UKE/gen_bsw/Com/Com_PBcfg.c:1062; BoschOversea_StandardCANFD_commplatform_FCR_CAN_Matrix_V4.18.2_20251104.dbc:253</x:v>
      </x:c>
    </x:row>
    <x:row r="162" ht="72" customHeight="1">
      <x:c r="A162" s="144" t="str">
        <x:v>Com-Signal</x:v>
      </x:c>
      <x:c r="B162" s="144" t="str">
        <x:v>COM-SIG-Tx-0020 / RRadar_FCTA_Warning_Right_S</x:v>
      </x:c>
      <x:c r="C162" s="144" t="str">
        <x:v>PDU=FCR_R_0x2CA; startBit=10; length=1; byteOrder=Little; type=UINT8; factor=1; offset=0; min=0; max=1; unit=-; receivers=Left_BCM_L1,Media,INS</x:v>
      </x:c>
      <x:c r="D16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2" s="144" t="str">
        <x:v>M2</x:v>
      </x:c>
      <x:c r="F162" s="144" t="str">
        <x:v>Signal 级可编辑配置、数据类型/缩放/端序合同、RTE 接口、边界值与 round-trip 测试。</x:v>
      </x:c>
      <x:c r="G162" s="144" t="str">
        <x:v>raw=0、raw=max、物理 min/max、越界/保留值、端序字节向量、pack→unpack round-trip；1457/1457 通过。</x:v>
      </x:c>
      <x:c r="H162" s="144" t="str">
        <x:v>coem/BYD_UKE/gen_bsw/Com/Com_PBcfg.c:1115; BoschOversea_StandardCANFD_commplatform_FCR_CAN_Matrix_V4.18.2_20251104.dbc:252</x:v>
      </x:c>
    </x:row>
    <x:row r="163" ht="72" customHeight="1">
      <x:c r="A163" s="144" t="str">
        <x:v>Com-Signal</x:v>
      </x:c>
      <x:c r="B163" s="144" t="str">
        <x:v>COM-SIG-Tx-0021 / Sts_FCTA_S</x:v>
      </x:c>
      <x:c r="C163" s="144" t="str">
        <x:v>PDU=FCR_R_0x2CA; startBit=4; length=2; byteOrder=Little; type=UINT8; factor=1; offset=0; min=0; max=3; unit=-; receivers=Left_BCM_L1,Media,INS</x:v>
      </x:c>
      <x:c r="D1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3" s="144" t="str">
        <x:v>M2</x:v>
      </x:c>
      <x:c r="F163" s="144" t="str">
        <x:v>Signal 级可编辑配置、数据类型/缩放/端序合同、RTE 接口、边界值与 round-trip 测试。</x:v>
      </x:c>
      <x:c r="G163" s="144" t="str">
        <x:v>raw=0、raw=max、物理 min/max、越界/保留值、端序字节向量、pack→unpack round-trip；1457/1457 通过。</x:v>
      </x:c>
      <x:c r="H163" s="144" t="str">
        <x:v>coem/BYD_UKE/gen_bsw/Com/Com_PBcfg.c:1168; BoschOversea_StandardCANFD_commplatform_FCR_CAN_Matrix_V4.18.2_20251104.dbc:250</x:v>
      </x:c>
    </x:row>
    <x:row r="164" ht="72" customHeight="1">
      <x:c r="A164" s="144" t="str">
        <x:v>Com-Signal</x:v>
      </x:c>
      <x:c r="B164" s="144" t="str">
        <x:v>COM-SIG-Tx-0022 / Sts_FCTB_S</x:v>
      </x:c>
      <x:c r="C164" s="144" t="str">
        <x:v>PDU=FCR_R_0x2CA; startBit=6; length=2; byteOrder=Little; type=UINT8; factor=1; offset=0; min=0; max=3; unit=-; receivers=Left_BCM_L1,Media,INS</x:v>
      </x:c>
      <x:c r="D1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4" s="144" t="str">
        <x:v>M2</x:v>
      </x:c>
      <x:c r="F164" s="144" t="str">
        <x:v>Signal 级可编辑配置、数据类型/缩放/端序合同、RTE 接口、边界值与 round-trip 测试。</x:v>
      </x:c>
      <x:c r="G164" s="144" t="str">
        <x:v>raw=0、raw=max、物理 min/max、越界/保留值、端序字节向量、pack→unpack round-trip；1457/1457 通过。</x:v>
      </x:c>
      <x:c r="H164" s="144" t="str">
        <x:v>coem/BYD_UKE/gen_bsw/Com/Com_PBcfg.c:1221; BoschOversea_StandardCANFD_commplatform_FCR_CAN_Matrix_V4.18.2_20251104.dbc:251</x:v>
      </x:c>
    </x:row>
    <x:row r="165" ht="72" customHeight="1">
      <x:c r="A165" s="144" t="str">
        <x:v>Com-Signal</x:v>
      </x:c>
      <x:c r="B165" s="144" t="str">
        <x:v>COM-SIG-Tx-0023 / TrigFastPeriod_FCR_0x2CA_S</x:v>
      </x:c>
      <x:c r="C165" s="144" t="str">
        <x:v>PDU=FCR_R_0x2CA; startBit=48; length=1; byteOrder=Little; type=UINT8; factor=1（Com原始值）; offset=0（Com原始值）; min=按位宽/类型; max=按位宽/类型; unit=-; receivers=-</x:v>
      </x:c>
      <x:c r="D165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165" s="144" t="str">
        <x:v>M2</x:v>
      </x:c>
      <x:c r="F165" s="144" t="str">
        <x:v>Signal 级可编辑配置、数据类型/缩放/端序合同、RTE 接口、边界值与 round-trip 测试。</x:v>
      </x:c>
      <x:c r="G165" s="144" t="str">
        <x:v>raw=0、raw=max、物理 min/max、越界/保留值、端序字节向量、pack→unpack round-trip；1457/1457 通过。</x:v>
      </x:c>
      <x:c r="H165" s="144" t="str">
        <x:v>coem/BYD_UKE/gen_bsw/Com/Com_PBcfg.c:1274</x:v>
      </x:c>
    </x:row>
    <x:row r="166" ht="72" customHeight="1">
      <x:c r="A166" s="144" t="str">
        <x:v>Com-Signal</x:v>
      </x:c>
      <x:c r="B166" s="144" t="str">
        <x:v>COM-SIG-Tx-0024 / Checksum_291s1_S</x:v>
      </x:c>
      <x:c r="C166" s="144" t="str">
        <x:v>PDU=RCR_R_0x291; startBit=56; length=8; byteOrder=Little; type=UINT8; factor=1; offset=0; min=0; max=255; unit=-; receivers=Media,INS,MPC</x:v>
      </x:c>
      <x:c r="D1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6" s="144" t="str">
        <x:v>M2</x:v>
      </x:c>
      <x:c r="F166" s="144" t="str">
        <x:v>Signal 级可编辑配置、数据类型/缩放/端序合同、RTE 接口、边界值与 round-trip 测试。</x:v>
      </x:c>
      <x:c r="G166" s="144" t="str">
        <x:v>raw=0、raw=max、物理 min/max、越界/保留值、端序字节向量、pack→unpack round-trip；1457/1457 通过。</x:v>
      </x:c>
      <x:c r="H166" s="144" t="str">
        <x:v>coem/BYD_UKE/gen_bsw/Com/Com_PBcfg.c:1327; BoschOversea_StandardCANFD_commplatform_RCR_CAN_Matrix_V4.18.2_20251104.dbc:308</x:v>
      </x:c>
    </x:row>
    <x:row r="167" ht="72" customHeight="1">
      <x:c r="A167" s="144" t="str">
        <x:v>Com-Signal</x:v>
      </x:c>
      <x:c r="B167" s="144" t="str">
        <x:v>COM-SIG-Tx-0025 / Checksum_291s2_S</x:v>
      </x:c>
      <x:c r="C167" s="144" t="str">
        <x:v>PDU=RCR_R_0x291; startBit=56; length=8; byteOrder=Little; type=UINT8; factor=1; offset=0; min=0; max=255; unit=-; receivers=Media,INS,MPC</x:v>
      </x:c>
      <x:c r="D1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7" s="144" t="str">
        <x:v>M2</x:v>
      </x:c>
      <x:c r="F167" s="144" t="str">
        <x:v>Signal 级可编辑配置、数据类型/缩放/端序合同、RTE 接口、边界值与 round-trip 测试。</x:v>
      </x:c>
      <x:c r="G167" s="144" t="str">
        <x:v>raw=0、raw=max、物理 min/max、越界/保留值、端序字节向量、pack→unpack round-trip；1457/1457 通过。</x:v>
      </x:c>
      <x:c r="H167" s="144" t="str">
        <x:v>coem/BYD_UKE/gen_bsw/Com/Com_PBcfg.c:1380; BoschOversea_StandardCANFD_commplatform_RCR_CAN_Matrix_V4.18.2_20251104.dbc:317</x:v>
      </x:c>
    </x:row>
    <x:row r="168" ht="72" customHeight="1">
      <x:c r="A168" s="144" t="str">
        <x:v>Com-Signal</x:v>
      </x:c>
      <x:c r="B168" s="144" t="str">
        <x:v>COM-SIG-Tx-0026 / Checksum_291s3_S</x:v>
      </x:c>
      <x:c r="C168" s="144" t="str">
        <x:v>PDU=RCR_R_0x291; startBit=56; length=8; byteOrder=Little; type=UINT8; factor=1; offset=0; min=0; max=255; unit=-; receivers=Media,INS,MPC</x:v>
      </x:c>
      <x:c r="D1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8" s="144" t="str">
        <x:v>M2</x:v>
      </x:c>
      <x:c r="F168" s="144" t="str">
        <x:v>Signal 级可编辑配置、数据类型/缩放/端序合同、RTE 接口、边界值与 round-trip 测试。</x:v>
      </x:c>
      <x:c r="G168" s="144" t="str">
        <x:v>raw=0、raw=max、物理 min/max、越界/保留值、端序字节向量、pack→unpack round-trip；1457/1457 通过。</x:v>
      </x:c>
      <x:c r="H168" s="144" t="str">
        <x:v>coem/BYD_UKE/gen_bsw/Com/Com_PBcfg.c:1433; BoschOversea_StandardCANFD_commplatform_RCR_CAN_Matrix_V4.18.2_20251104.dbc:326</x:v>
      </x:c>
    </x:row>
    <x:row r="169" ht="72" customHeight="1">
      <x:c r="A169" s="144" t="str">
        <x:v>Com-Signal</x:v>
      </x:c>
      <x:c r="B169" s="144" t="str">
        <x:v>COM-SIG-Tx-0027 / Child_ID_291_S</x:v>
      </x:c>
      <x:c r="C169" s="144" t="str">
        <x:v>PDU=RCR_R_0x291; startBit=0; length=8; byteOrder=Little; type=UINT8; factor=1; offset=0; min=0; max=7; unit=-; receivers=Media,MPC</x:v>
      </x:c>
      <x:c r="D1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69" s="144" t="str">
        <x:v>M2</x:v>
      </x:c>
      <x:c r="F169" s="144" t="str">
        <x:v>Signal 级可编辑配置、数据类型/缩放/端序合同、RTE 接口、边界值与 round-trip 测试。</x:v>
      </x:c>
      <x:c r="G169" s="144" t="str">
        <x:v>raw=0、raw=max、物理 min/max、越界/保留值、端序字节向量、pack→unpack round-trip；1457/1457 通过。</x:v>
      </x:c>
      <x:c r="H169" s="144" t="str">
        <x:v>coem/BYD_UKE/gen_bsw/Com/Com_PBcfg.c:1486; BoschOversea_StandardCANFD_commplatform_RCR_CAN_Matrix_V4.18.2_20251104.dbc:299</x:v>
      </x:c>
    </x:row>
    <x:row r="170" ht="72" customHeight="1">
      <x:c r="A170" s="144" t="str">
        <x:v>Com-Signal</x:v>
      </x:c>
      <x:c r="B170" s="144" t="str">
        <x:v>COM-SIG-Tx-0028 / Goal_Late_Absolute_Spd_291s1_S</x:v>
      </x:c>
      <x:c r="C170" s="144" t="str">
        <x:v>PDU=RCR_R_0x291; startBit=36; length=6; byteOrder=Little; type=UINT8; factor=0.2; offset=-6.2; min=-6.2; max=6.2; unit=m/s; receivers=MPC,ADS</x:v>
      </x:c>
      <x:c r="D1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0" s="144" t="str">
        <x:v>M2</x:v>
      </x:c>
      <x:c r="F170" s="144" t="str">
        <x:v>Signal 级可编辑配置、数据类型/缩放/端序合同、RTE 接口、边界值与 round-trip 测试。</x:v>
      </x:c>
      <x:c r="G170" s="144" t="str">
        <x:v>raw=0、raw=max、物理 min/max、越界/保留值、端序字节向量、pack→unpack round-trip；1457/1457 通过。</x:v>
      </x:c>
      <x:c r="H170" s="144" t="str">
        <x:v>coem/BYD_UKE/gen_bsw/Com/Com_PBcfg.c:1539; BoschOversea_StandardCANFD_commplatform_RCR_CAN_Matrix_V4.18.2_20251104.dbc:303</x:v>
      </x:c>
    </x:row>
    <x:row r="171" ht="72" customHeight="1">
      <x:c r="A171" s="144" t="str">
        <x:v>Com-Signal</x:v>
      </x:c>
      <x:c r="B171" s="144" t="str">
        <x:v>COM-SIG-Tx-0029 / Goal_Late_Absolute_Spd_291s2_S</x:v>
      </x:c>
      <x:c r="C171" s="144" t="str">
        <x:v>PDU=RCR_R_0x291; startBit=36; length=6; byteOrder=Little; type=UINT8; factor=0.2; offset=-6.2; min=-6.2; max=6.2; unit=m/s; receivers=MPC</x:v>
      </x:c>
      <x:c r="D1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1" s="144" t="str">
        <x:v>M2</x:v>
      </x:c>
      <x:c r="F171" s="144" t="str">
        <x:v>Signal 级可编辑配置、数据类型/缩放/端序合同、RTE 接口、边界值与 round-trip 测试。</x:v>
      </x:c>
      <x:c r="G171" s="144" t="str">
        <x:v>raw=0、raw=max、物理 min/max、越界/保留值、端序字节向量、pack→unpack round-trip；1457/1457 通过。</x:v>
      </x:c>
      <x:c r="H171" s="144" t="str">
        <x:v>coem/BYD_UKE/gen_bsw/Com/Com_PBcfg.c:1592; BoschOversea_StandardCANFD_commplatform_RCR_CAN_Matrix_V4.18.2_20251104.dbc:312</x:v>
      </x:c>
    </x:row>
    <x:row r="172" ht="72" customHeight="1">
      <x:c r="A172" s="144" t="str">
        <x:v>Com-Signal</x:v>
      </x:c>
      <x:c r="B172" s="144" t="str">
        <x:v>COM-SIG-Tx-0030 / Goal_Late_Absolute_Spd_291s3_S</x:v>
      </x:c>
      <x:c r="C172" s="144" t="str">
        <x:v>PDU=RCR_R_0x291; startBit=36; length=6; byteOrder=Little; type=UINT8; factor=0.2; offset=-6.2; min=-6.2; max=6.2; unit=m/s; receivers=MPC</x:v>
      </x:c>
      <x:c r="D1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2" s="144" t="str">
        <x:v>M2</x:v>
      </x:c>
      <x:c r="F172" s="144" t="str">
        <x:v>Signal 级可编辑配置、数据类型/缩放/端序合同、RTE 接口、边界值与 round-trip 测试。</x:v>
      </x:c>
      <x:c r="G172" s="144" t="str">
        <x:v>raw=0、raw=max、物理 min/max、越界/保留值、端序字节向量、pack→unpack round-trip；1457/1457 通过。</x:v>
      </x:c>
      <x:c r="H172" s="144" t="str">
        <x:v>coem/BYD_UKE/gen_bsw/Com/Com_PBcfg.c:1645; BoschOversea_StandardCANFD_commplatform_RCR_CAN_Matrix_V4.18.2_20251104.dbc:321</x:v>
      </x:c>
    </x:row>
    <x:row r="173" ht="72" customHeight="1">
      <x:c r="A173" s="144" t="str">
        <x:v>Com-Signal</x:v>
      </x:c>
      <x:c r="B173" s="144" t="str">
        <x:v>COM-SIG-Tx-0031 / Goal_Length_Absolute_Spd_291s1_S</x:v>
      </x:c>
      <x:c r="C173" s="144" t="str">
        <x:v>PDU=RCR_R_0x291; startBit=27; length=9; byteOrder=Little; type=UINT16; factor=0.1; offset=0; min=0; max=51.1; unit=m/s; receivers=MPC,ADS</x:v>
      </x:c>
      <x:c r="D1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3" s="144" t="str">
        <x:v>M2</x:v>
      </x:c>
      <x:c r="F173" s="144" t="str">
        <x:v>Signal 级可编辑配置、数据类型/缩放/端序合同、RTE 接口、边界值与 round-trip 测试。</x:v>
      </x:c>
      <x:c r="G173" s="144" t="str">
        <x:v>raw=0、raw=max、物理 min/max、越界/保留值、端序字节向量、pack→unpack round-trip；1457/1457 通过。</x:v>
      </x:c>
      <x:c r="H173" s="144" t="str">
        <x:v>coem/BYD_UKE/gen_bsw/Com/Com_PBcfg.c:1698; BoschOversea_StandardCANFD_commplatform_RCR_CAN_Matrix_V4.18.2_20251104.dbc:302</x:v>
      </x:c>
    </x:row>
    <x:row r="174" ht="72" customHeight="1">
      <x:c r="A174" s="144" t="str">
        <x:v>Com-Signal</x:v>
      </x:c>
      <x:c r="B174" s="144" t="str">
        <x:v>COM-SIG-Tx-0032 / Goal_Length_Absolute_Spd_291s2_S</x:v>
      </x:c>
      <x:c r="C174" s="144" t="str">
        <x:v>PDU=RCR_R_0x291; startBit=27; length=9; byteOrder=Little; type=UINT16; factor=0.1; offset=0; min=0; max=51.1; unit=m/s; receivers=MPC</x:v>
      </x:c>
      <x:c r="D1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4" s="144" t="str">
        <x:v>M2</x:v>
      </x:c>
      <x:c r="F174" s="144" t="str">
        <x:v>Signal 级可编辑配置、数据类型/缩放/端序合同、RTE 接口、边界值与 round-trip 测试。</x:v>
      </x:c>
      <x:c r="G174" s="144" t="str">
        <x:v>raw=0、raw=max、物理 min/max、越界/保留值、端序字节向量、pack→unpack round-trip；1457/1457 通过。</x:v>
      </x:c>
      <x:c r="H174" s="144" t="str">
        <x:v>coem/BYD_UKE/gen_bsw/Com/Com_PBcfg.c:1751; BoschOversea_StandardCANFD_commplatform_RCR_CAN_Matrix_V4.18.2_20251104.dbc:311</x:v>
      </x:c>
    </x:row>
    <x:row r="175" ht="72" customHeight="1">
      <x:c r="A175" s="144" t="str">
        <x:v>Com-Signal</x:v>
      </x:c>
      <x:c r="B175" s="144" t="str">
        <x:v>COM-SIG-Tx-0033 / Goal_Length_Absolute_Spd_291s3_S</x:v>
      </x:c>
      <x:c r="C175" s="144" t="str">
        <x:v>PDU=RCR_R_0x291; startBit=27; length=9; byteOrder=Little; type=UINT16; factor=0.1; offset=0; min=0; max=51.1; unit=m/s; receivers=MPC</x:v>
      </x:c>
      <x:c r="D1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5" s="144" t="str">
        <x:v>M2</x:v>
      </x:c>
      <x:c r="F175" s="144" t="str">
        <x:v>Signal 级可编辑配置、数据类型/缩放/端序合同、RTE 接口、边界值与 round-trip 测试。</x:v>
      </x:c>
      <x:c r="G175" s="144" t="str">
        <x:v>raw=0、raw=max、物理 min/max、越界/保留值、端序字节向量、pack→unpack round-trip；1457/1457 通过。</x:v>
      </x:c>
      <x:c r="H175" s="144" t="str">
        <x:v>coem/BYD_UKE/gen_bsw/Com/Com_PBcfg.c:1804; BoschOversea_StandardCANFD_commplatform_RCR_CAN_Matrix_V4.18.2_20251104.dbc:320</x:v>
      </x:c>
    </x:row>
    <x:row r="176" ht="72" customHeight="1">
      <x:c r="A176" s="144" t="str">
        <x:v>Com-Signal</x:v>
      </x:c>
      <x:c r="B176" s="144" t="str">
        <x:v>COM-SIG-Tx-0034 / Lock_Target_Abscissa_291s1_S</x:v>
      </x:c>
      <x:c r="C176" s="144" t="str">
        <x:v>PDU=RCR_R_0x291; startBit=8; length=8; byteOrder=Little; type=UINT8; factor=0.1; offset=-12; min=-12; max=12; unit=m; receivers=Media,INS,MPC</x:v>
      </x:c>
      <x:c r="D1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6" s="144" t="str">
        <x:v>M2</x:v>
      </x:c>
      <x:c r="F176" s="144" t="str">
        <x:v>Signal 级可编辑配置、数据类型/缩放/端序合同、RTE 接口、边界值与 round-trip 测试。</x:v>
      </x:c>
      <x:c r="G176" s="144" t="str">
        <x:v>raw=0、raw=max、物理 min/max、越界/保留值、端序字节向量、pack→unpack round-trip；1457/1457 通过。</x:v>
      </x:c>
      <x:c r="H176" s="144" t="str">
        <x:v>coem/BYD_UKE/gen_bsw/Com/Com_PBcfg.c:1857; BoschOversea_StandardCANFD_commplatform_RCR_CAN_Matrix_V4.18.2_20251104.dbc:300</x:v>
      </x:c>
    </x:row>
    <x:row r="177" ht="72" customHeight="1">
      <x:c r="A177" s="144" t="str">
        <x:v>Com-Signal</x:v>
      </x:c>
      <x:c r="B177" s="144" t="str">
        <x:v>COM-SIG-Tx-0035 / Lock_Target_Abscissa_291s2_S</x:v>
      </x:c>
      <x:c r="C177" s="144" t="str">
        <x:v>PDU=RCR_R_0x291; startBit=8; length=8; byteOrder=Little; type=UINT8; factor=0.1; offset=-12; min=-12; max=12; unit=m; receivers=Media,INS,MPC</x:v>
      </x:c>
      <x:c r="D1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7" s="144" t="str">
        <x:v>M2</x:v>
      </x:c>
      <x:c r="F177" s="144" t="str">
        <x:v>Signal 级可编辑配置、数据类型/缩放/端序合同、RTE 接口、边界值与 round-trip 测试。</x:v>
      </x:c>
      <x:c r="G177" s="144" t="str">
        <x:v>raw=0、raw=max、物理 min/max、越界/保留值、端序字节向量、pack→unpack round-trip；1457/1457 通过。</x:v>
      </x:c>
      <x:c r="H177" s="144" t="str">
        <x:v>coem/BYD_UKE/gen_bsw/Com/Com_PBcfg.c:1910; BoschOversea_StandardCANFD_commplatform_RCR_CAN_Matrix_V4.18.2_20251104.dbc:309</x:v>
      </x:c>
    </x:row>
    <x:row r="178" ht="72" customHeight="1">
      <x:c r="A178" s="144" t="str">
        <x:v>Com-Signal</x:v>
      </x:c>
      <x:c r="B178" s="144" t="str">
        <x:v>COM-SIG-Tx-0036 / Lock_Target_Abscissa_291s3_S</x:v>
      </x:c>
      <x:c r="C178" s="144" t="str">
        <x:v>PDU=RCR_R_0x291; startBit=8; length=8; byteOrder=Little; type=UINT8; factor=0.1; offset=-12; min=-12; max=12; unit=m; receivers=Media,INS,MPC</x:v>
      </x:c>
      <x:c r="D1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8" s="144" t="str">
        <x:v>M2</x:v>
      </x:c>
      <x:c r="F178" s="144" t="str">
        <x:v>Signal 级可编辑配置、数据类型/缩放/端序合同、RTE 接口、边界值与 round-trip 测试。</x:v>
      </x:c>
      <x:c r="G178" s="144" t="str">
        <x:v>raw=0、raw=max、物理 min/max、越界/保留值、端序字节向量、pack→unpack round-trip；1457/1457 通过。</x:v>
      </x:c>
      <x:c r="H178" s="144" t="str">
        <x:v>coem/BYD_UKE/gen_bsw/Com/Com_PBcfg.c:1963; BoschOversea_StandardCANFD_commplatform_RCR_CAN_Matrix_V4.18.2_20251104.dbc:318</x:v>
      </x:c>
    </x:row>
    <x:row r="179" ht="72" customHeight="1">
      <x:c r="A179" s="144" t="str">
        <x:v>Com-Signal</x:v>
      </x:c>
      <x:c r="B179" s="144" t="str">
        <x:v>COM-SIG-Tx-0037 / Lock_Target_Ordinate_291s1_S</x:v>
      </x:c>
      <x:c r="C179" s="144" t="str">
        <x:v>PDU=RCR_R_0x291; startBit=16; length=11; byteOrder=Little; type=UINT16; factor=0.1; offset=-150; min=-150; max=10; unit=m; receivers=Media,INS,MPC</x:v>
      </x:c>
      <x:c r="D1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79" s="144" t="str">
        <x:v>M2</x:v>
      </x:c>
      <x:c r="F179" s="144" t="str">
        <x:v>Signal 级可编辑配置、数据类型/缩放/端序合同、RTE 接口、边界值与 round-trip 测试。</x:v>
      </x:c>
      <x:c r="G179" s="144" t="str">
        <x:v>raw=0、raw=max、物理 min/max、越界/保留值、端序字节向量、pack→unpack round-trip；1457/1457 通过。</x:v>
      </x:c>
      <x:c r="H179" s="144" t="str">
        <x:v>coem/BYD_UKE/gen_bsw/Com/Com_PBcfg.c:2016; BoschOversea_StandardCANFD_commplatform_RCR_CAN_Matrix_V4.18.2_20251104.dbc:301</x:v>
      </x:c>
    </x:row>
    <x:row r="180" ht="72" customHeight="1">
      <x:c r="A180" s="144" t="str">
        <x:v>Com-Signal</x:v>
      </x:c>
      <x:c r="B180" s="144" t="str">
        <x:v>COM-SIG-Tx-0038 / Lock_Target_Ordinate_291s2_S</x:v>
      </x:c>
      <x:c r="C180" s="144" t="str">
        <x:v>PDU=RCR_R_0x291; startBit=16; length=11; byteOrder=Little; type=UINT16; factor=0.1; offset=-150; min=-150; max=10; unit=m; receivers=Media,INS,MPC</x:v>
      </x:c>
      <x:c r="D1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0" s="144" t="str">
        <x:v>M2</x:v>
      </x:c>
      <x:c r="F180" s="144" t="str">
        <x:v>Signal 级可编辑配置、数据类型/缩放/端序合同、RTE 接口、边界值与 round-trip 测试。</x:v>
      </x:c>
      <x:c r="G180" s="144" t="str">
        <x:v>raw=0、raw=max、物理 min/max、越界/保留值、端序字节向量、pack→unpack round-trip；1457/1457 通过。</x:v>
      </x:c>
      <x:c r="H180" s="144" t="str">
        <x:v>coem/BYD_UKE/gen_bsw/Com/Com_PBcfg.c:2069; BoschOversea_StandardCANFD_commplatform_RCR_CAN_Matrix_V4.18.2_20251104.dbc:310</x:v>
      </x:c>
    </x:row>
    <x:row r="181" ht="72" customHeight="1">
      <x:c r="A181" s="144" t="str">
        <x:v>Com-Signal</x:v>
      </x:c>
      <x:c r="B181" s="144" t="str">
        <x:v>COM-SIG-Tx-0039 / Lock_Target_Ordinate_291s3_S</x:v>
      </x:c>
      <x:c r="C181" s="144" t="str">
        <x:v>PDU=RCR_R_0x291; startBit=16; length=11; byteOrder=Little; type=UINT16; factor=0.1; offset=-150; min=-150; max=10; unit=m; receivers=Media,INS,MPC</x:v>
      </x:c>
      <x:c r="D1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1" s="144" t="str">
        <x:v>M2</x:v>
      </x:c>
      <x:c r="F181" s="144" t="str">
        <x:v>Signal 级可编辑配置、数据类型/缩放/端序合同、RTE 接口、边界值与 round-trip 测试。</x:v>
      </x:c>
      <x:c r="G181" s="144" t="str">
        <x:v>raw=0、raw=max、物理 min/max、越界/保留值、端序字节向量、pack→unpack round-trip；1457/1457 通过。</x:v>
      </x:c>
      <x:c r="H181" s="144" t="str">
        <x:v>coem/BYD_UKE/gen_bsw/Com/Com_PBcfg.c:2122; BoschOversea_StandardCANFD_commplatform_RCR_CAN_Matrix_V4.18.2_20251104.dbc:319</x:v>
      </x:c>
    </x:row>
    <x:row r="182" ht="72" customHeight="1">
      <x:c r="A182" s="144" t="str">
        <x:v>Com-Signal</x:v>
      </x:c>
      <x:c r="B182" s="144" t="str">
        <x:v>COM-SIG-Tx-0040 / Message_Counter_291s1_S</x:v>
      </x:c>
      <x:c r="C182" s="144" t="str">
        <x:v>PDU=RCR_R_0x291; startBit=52; length=4; byteOrder=Little; type=UINT8; factor=1; offset=0; min=0; max=15; unit=-; receivers=Media,INS,MPC</x:v>
      </x:c>
      <x:c r="D1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2" s="144" t="str">
        <x:v>M2</x:v>
      </x:c>
      <x:c r="F182" s="144" t="str">
        <x:v>Signal 级可编辑配置、数据类型/缩放/端序合同、RTE 接口、边界值与 round-trip 测试。</x:v>
      </x:c>
      <x:c r="G182" s="144" t="str">
        <x:v>raw=0、raw=max、物理 min/max、越界/保留值、端序字节向量、pack→unpack round-trip；1457/1457 通过。</x:v>
      </x:c>
      <x:c r="H182" s="144" t="str">
        <x:v>coem/BYD_UKE/gen_bsw/Com/Com_PBcfg.c:2175; BoschOversea_StandardCANFD_commplatform_RCR_CAN_Matrix_V4.18.2_20251104.dbc:307</x:v>
      </x:c>
    </x:row>
    <x:row r="183" ht="72" customHeight="1">
      <x:c r="A183" s="144" t="str">
        <x:v>Com-Signal</x:v>
      </x:c>
      <x:c r="B183" s="144" t="str">
        <x:v>COM-SIG-Tx-0041 / Message_Counter_291s2_S</x:v>
      </x:c>
      <x:c r="C183" s="144" t="str">
        <x:v>PDU=RCR_R_0x291; startBit=52; length=4; byteOrder=Little; type=UINT8; factor=1; offset=0; min=0; max=15; unit=-; receivers=Media,INS,MPC</x:v>
      </x:c>
      <x:c r="D1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3" s="144" t="str">
        <x:v>M2</x:v>
      </x:c>
      <x:c r="F183" s="144" t="str">
        <x:v>Signal 级可编辑配置、数据类型/缩放/端序合同、RTE 接口、边界值与 round-trip 测试。</x:v>
      </x:c>
      <x:c r="G183" s="144" t="str">
        <x:v>raw=0、raw=max、物理 min/max、越界/保留值、端序字节向量、pack→unpack round-trip；1457/1457 通过。</x:v>
      </x:c>
      <x:c r="H183" s="144" t="str">
        <x:v>coem/BYD_UKE/gen_bsw/Com/Com_PBcfg.c:2228; BoschOversea_StandardCANFD_commplatform_RCR_CAN_Matrix_V4.18.2_20251104.dbc:316</x:v>
      </x:c>
    </x:row>
    <x:row r="184" ht="72" customHeight="1">
      <x:c r="A184" s="144" t="str">
        <x:v>Com-Signal</x:v>
      </x:c>
      <x:c r="B184" s="144" t="str">
        <x:v>COM-SIG-Tx-0042 / Message_Counter_291s3_S</x:v>
      </x:c>
      <x:c r="C184" s="144" t="str">
        <x:v>PDU=RCR_R_0x291; startBit=52; length=4; byteOrder=Little; type=UINT8; factor=1; offset=0; min=0; max=15; unit=-; receivers=Media,INS,MPC</x:v>
      </x:c>
      <x:c r="D1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4" s="144" t="str">
        <x:v>M2</x:v>
      </x:c>
      <x:c r="F184" s="144" t="str">
        <x:v>Signal 级可编辑配置、数据类型/缩放/端序合同、RTE 接口、边界值与 round-trip 测试。</x:v>
      </x:c>
      <x:c r="G184" s="144" t="str">
        <x:v>raw=0、raw=max、物理 min/max、越界/保留值、端序字节向量、pack→unpack round-trip；1457/1457 通过。</x:v>
      </x:c>
      <x:c r="H184" s="144" t="str">
        <x:v>coem/BYD_UKE/gen_bsw/Com/Com_PBcfg.c:2281; BoschOversea_StandardCANFD_commplatform_RCR_CAN_Matrix_V4.18.2_20251104.dbc:325</x:v>
      </x:c>
    </x:row>
    <x:row r="185" ht="72" customHeight="1">
      <x:c r="A185" s="144" t="str">
        <x:v>Com-Signal</x:v>
      </x:c>
      <x:c r="B185" s="144" t="str">
        <x:v>COM-SIG-Tx-0043 / Target_State_B1_291s1_S</x:v>
      </x:c>
      <x:c r="C185" s="144" t="str">
        <x:v>PDU=RCR_R_0x291; startBit=47; length=1; byteOrder=Little; type=UINT8; factor=1; offset=0; min=0; max=1; unit=-; receivers=Media,INS,MPC</x:v>
      </x:c>
      <x:c r="D1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5" s="144" t="str">
        <x:v>M2</x:v>
      </x:c>
      <x:c r="F185" s="144" t="str">
        <x:v>Signal 级可编辑配置、数据类型/缩放/端序合同、RTE 接口、边界值与 round-trip 测试。</x:v>
      </x:c>
      <x:c r="G185" s="144" t="str">
        <x:v>raw=0、raw=max、物理 min/max、越界/保留值、端序字节向量、pack→unpack round-trip；1457/1457 通过。</x:v>
      </x:c>
      <x:c r="H185" s="144" t="str">
        <x:v>coem/BYD_UKE/gen_bsw/Com/Com_PBcfg.c:2334; BoschOversea_StandardCANFD_commplatform_RCR_CAN_Matrix_V4.18.2_20251104.dbc:305</x:v>
      </x:c>
    </x:row>
    <x:row r="186" ht="72" customHeight="1">
      <x:c r="A186" s="144" t="str">
        <x:v>Com-Signal</x:v>
      </x:c>
      <x:c r="B186" s="144" t="str">
        <x:v>COM-SIG-Tx-0044 / Target_State_B1_291s2_S</x:v>
      </x:c>
      <x:c r="C186" s="144" t="str">
        <x:v>PDU=RCR_R_0x291; startBit=47; length=1; byteOrder=Little; type=UINT8; factor=1; offset=0; min=0; max=1; unit=-; receivers=Media,INS,MPC</x:v>
      </x:c>
      <x:c r="D1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6" s="144" t="str">
        <x:v>M2</x:v>
      </x:c>
      <x:c r="F186" s="144" t="str">
        <x:v>Signal 级可编辑配置、数据类型/缩放/端序合同、RTE 接口、边界值与 round-trip 测试。</x:v>
      </x:c>
      <x:c r="G186" s="144" t="str">
        <x:v>raw=0、raw=max、物理 min/max、越界/保留值、端序字节向量、pack→unpack round-trip；1457/1457 通过。</x:v>
      </x:c>
      <x:c r="H186" s="144" t="str">
        <x:v>coem/BYD_UKE/gen_bsw/Com/Com_PBcfg.c:2387; BoschOversea_StandardCANFD_commplatform_RCR_CAN_Matrix_V4.18.2_20251104.dbc:314</x:v>
      </x:c>
    </x:row>
    <x:row r="187" ht="72" customHeight="1">
      <x:c r="A187" s="144" t="str">
        <x:v>Com-Signal</x:v>
      </x:c>
      <x:c r="B187" s="144" t="str">
        <x:v>COM-SIG-Tx-0045 / Target_State_B1_291s3_S</x:v>
      </x:c>
      <x:c r="C187" s="144" t="str">
        <x:v>PDU=RCR_R_0x291; startBit=47; length=1; byteOrder=Little; type=UINT8; factor=1; offset=0; min=0; max=1; unit=-; receivers=Media,INS,MPC</x:v>
      </x:c>
      <x:c r="D1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7" s="144" t="str">
        <x:v>M2</x:v>
      </x:c>
      <x:c r="F187" s="144" t="str">
        <x:v>Signal 级可编辑配置、数据类型/缩放/端序合同、RTE 接口、边界值与 round-trip 测试。</x:v>
      </x:c>
      <x:c r="G187" s="144" t="str">
        <x:v>raw=0、raw=max、物理 min/max、越界/保留值、端序字节向量、pack→unpack round-trip；1457/1457 通过。</x:v>
      </x:c>
      <x:c r="H187" s="144" t="str">
        <x:v>coem/BYD_UKE/gen_bsw/Com/Com_PBcfg.c:2440; BoschOversea_StandardCANFD_commplatform_RCR_CAN_Matrix_V4.18.2_20251104.dbc:323</x:v>
      </x:c>
    </x:row>
    <x:row r="188" ht="72" customHeight="1">
      <x:c r="A188" s="144" t="str">
        <x:v>Com-Signal</x:v>
      </x:c>
      <x:c r="B188" s="144" t="str">
        <x:v>COM-SIG-Tx-0046 / Target_Type_291s1_S</x:v>
      </x:c>
      <x:c r="C188" s="144" t="str">
        <x:v>PDU=RCR_R_0x291; startBit=48; length=4; byteOrder=Little; type=UINT8; factor=1; offset=0; min=0; max=15; unit=-; receivers=Media,INS,MPC</x:v>
      </x:c>
      <x:c r="D1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8" s="144" t="str">
        <x:v>M2</x:v>
      </x:c>
      <x:c r="F188" s="144" t="str">
        <x:v>Signal 级可编辑配置、数据类型/缩放/端序合同、RTE 接口、边界值与 round-trip 测试。</x:v>
      </x:c>
      <x:c r="G188" s="144" t="str">
        <x:v>raw=0、raw=max、物理 min/max、越界/保留值、端序字节向量、pack→unpack round-trip；1457/1457 通过。</x:v>
      </x:c>
      <x:c r="H188" s="144" t="str">
        <x:v>coem/BYD_UKE/gen_bsw/Com/Com_PBcfg.c:2493; BoschOversea_StandardCANFD_commplatform_RCR_CAN_Matrix_V4.18.2_20251104.dbc:306</x:v>
      </x:c>
    </x:row>
    <x:row r="189" ht="72" customHeight="1">
      <x:c r="A189" s="144" t="str">
        <x:v>Com-Signal</x:v>
      </x:c>
      <x:c r="B189" s="144" t="str">
        <x:v>COM-SIG-Tx-0047 / Target_Type_291s2_S</x:v>
      </x:c>
      <x:c r="C189" s="144" t="str">
        <x:v>PDU=RCR_R_0x291; startBit=48; length=4; byteOrder=Little; type=UINT8; factor=1; offset=0; min=0; max=15; unit=-; receivers=Media,INS,MPC</x:v>
      </x:c>
      <x:c r="D1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89" s="144" t="str">
        <x:v>M2</x:v>
      </x:c>
      <x:c r="F189" s="144" t="str">
        <x:v>Signal 级可编辑配置、数据类型/缩放/端序合同、RTE 接口、边界值与 round-trip 测试。</x:v>
      </x:c>
      <x:c r="G189" s="144" t="str">
        <x:v>raw=0、raw=max、物理 min/max、越界/保留值、端序字节向量、pack→unpack round-trip；1457/1457 通过。</x:v>
      </x:c>
      <x:c r="H189" s="144" t="str">
        <x:v>coem/BYD_UKE/gen_bsw/Com/Com_PBcfg.c:2546; BoschOversea_StandardCANFD_commplatform_RCR_CAN_Matrix_V4.18.2_20251104.dbc:315</x:v>
      </x:c>
    </x:row>
    <x:row r="190" ht="72" customHeight="1">
      <x:c r="A190" s="144" t="str">
        <x:v>Com-Signal</x:v>
      </x:c>
      <x:c r="B190" s="144" t="str">
        <x:v>COM-SIG-Tx-0048 / Target_Type_291s3_S</x:v>
      </x:c>
      <x:c r="C190" s="144" t="str">
        <x:v>PDU=RCR_R_0x291; startBit=48; length=4; byteOrder=Little; type=UINT8; factor=1; offset=0; min=0; max=15; unit=-; receivers=Media,INS,MPC</x:v>
      </x:c>
      <x:c r="D1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0" s="144" t="str">
        <x:v>M2</x:v>
      </x:c>
      <x:c r="F190" s="144" t="str">
        <x:v>Signal 级可编辑配置、数据类型/缩放/端序合同、RTE 接口、边界值与 round-trip 测试。</x:v>
      </x:c>
      <x:c r="G190" s="144" t="str">
        <x:v>raw=0、raw=max、物理 min/max、越界/保留值、端序字节向量、pack→unpack round-trip；1457/1457 通过。</x:v>
      </x:c>
      <x:c r="H190" s="144" t="str">
        <x:v>coem/BYD_UKE/gen_bsw/Com/Com_PBcfg.c:2599; BoschOversea_StandardCANFD_commplatform_RCR_CAN_Matrix_V4.18.2_20251104.dbc:324</x:v>
      </x:c>
    </x:row>
    <x:row r="191" ht="72" customHeight="1">
      <x:c r="A191" s="144" t="str">
        <x:v>Com-Signal</x:v>
      </x:c>
      <x:c r="B191" s="144" t="str">
        <x:v>COM-SIG-Tx-0049 / Target_Warning_291s1_S</x:v>
      </x:c>
      <x:c r="C191" s="144" t="str">
        <x:v>PDU=RCR_R_0x291; startBit=43; length=3; byteOrder=Little; type=UINT8; factor=1; offset=0; min=0; max=7; unit=-; receivers=Media,INS,MPC</x:v>
      </x:c>
      <x:c r="D1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1" s="144" t="str">
        <x:v>M2</x:v>
      </x:c>
      <x:c r="F191" s="144" t="str">
        <x:v>Signal 级可编辑配置、数据类型/缩放/端序合同、RTE 接口、边界值与 round-trip 测试。</x:v>
      </x:c>
      <x:c r="G191" s="144" t="str">
        <x:v>raw=0、raw=max、物理 min/max、越界/保留值、端序字节向量、pack→unpack round-trip；1457/1457 通过。</x:v>
      </x:c>
      <x:c r="H191" s="144" t="str">
        <x:v>coem/BYD_UKE/gen_bsw/Com/Com_PBcfg.c:2652; BoschOversea_StandardCANFD_commplatform_RCR_CAN_Matrix_V4.18.2_20251104.dbc:304</x:v>
      </x:c>
    </x:row>
    <x:row r="192" ht="72" customHeight="1">
      <x:c r="A192" s="144" t="str">
        <x:v>Com-Signal</x:v>
      </x:c>
      <x:c r="B192" s="144" t="str">
        <x:v>COM-SIG-Tx-0050 / Target_Warning_291s2_S</x:v>
      </x:c>
      <x:c r="C192" s="144" t="str">
        <x:v>PDU=RCR_R_0x291; startBit=43; length=3; byteOrder=Little; type=UINT8; factor=1; offset=0; min=0; max=7; unit=-; receivers=Media,INS,MPC</x:v>
      </x:c>
      <x:c r="D1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2" s="144" t="str">
        <x:v>M2</x:v>
      </x:c>
      <x:c r="F192" s="144" t="str">
        <x:v>Signal 级可编辑配置、数据类型/缩放/端序合同、RTE 接口、边界值与 round-trip 测试。</x:v>
      </x:c>
      <x:c r="G192" s="144" t="str">
        <x:v>raw=0、raw=max、物理 min/max、越界/保留值、端序字节向量、pack→unpack round-trip；1457/1457 通过。</x:v>
      </x:c>
      <x:c r="H192" s="144" t="str">
        <x:v>coem/BYD_UKE/gen_bsw/Com/Com_PBcfg.c:2705; BoschOversea_StandardCANFD_commplatform_RCR_CAN_Matrix_V4.18.2_20251104.dbc:313</x:v>
      </x:c>
    </x:row>
    <x:row r="193" ht="72" customHeight="1">
      <x:c r="A193" s="144" t="str">
        <x:v>Com-Signal</x:v>
      </x:c>
      <x:c r="B193" s="144" t="str">
        <x:v>COM-SIG-Tx-0051 / Target_Warning_291s3_S</x:v>
      </x:c>
      <x:c r="C193" s="144" t="str">
        <x:v>PDU=RCR_R_0x291; startBit=43; length=3; byteOrder=Little; type=UINT8; factor=1; offset=0; min=0; max=7; unit=-; receivers=Media,INS,MPC</x:v>
      </x:c>
      <x:c r="D1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3" s="144" t="str">
        <x:v>M2</x:v>
      </x:c>
      <x:c r="F193" s="144" t="str">
        <x:v>Signal 级可编辑配置、数据类型/缩放/端序合同、RTE 接口、边界值与 round-trip 测试。</x:v>
      </x:c>
      <x:c r="G193" s="144" t="str">
        <x:v>raw=0、raw=max、物理 min/max、越界/保留值、端序字节向量、pack→unpack round-trip；1457/1457 通过。</x:v>
      </x:c>
      <x:c r="H193" s="144" t="str">
        <x:v>coem/BYD_UKE/gen_bsw/Com/Com_PBcfg.c:2758; BoschOversea_StandardCANFD_commplatform_RCR_CAN_Matrix_V4.18.2_20251104.dbc:322</x:v>
      </x:c>
    </x:row>
    <x:row r="194" ht="72" customHeight="1">
      <x:c r="A194" s="144" t="str">
        <x:v>Com-Signal</x:v>
      </x:c>
      <x:c r="B194" s="144" t="str">
        <x:v>COM-SIG-Tx-0052 / TrigFastPeriod_RCR_0x291_S</x:v>
      </x:c>
      <x:c r="C194" s="144" t="str">
        <x:v>PDU=RCR_R_0x291; startBit=48; length=1; byteOrder=Little; type=UINT8; factor=1（Com原始值）; offset=0（Com原始值）; min=按位宽/类型; max=按位宽/类型; unit=-; receivers=-</x:v>
      </x:c>
      <x:c r="D19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194" s="144" t="str">
        <x:v>M2</x:v>
      </x:c>
      <x:c r="F194" s="144" t="str">
        <x:v>Signal 级可编辑配置、数据类型/缩放/端序合同、RTE 接口、边界值与 round-trip 测试。</x:v>
      </x:c>
      <x:c r="G194" s="144" t="str">
        <x:v>raw=0、raw=max、物理 min/max、越界/保留值、端序字节向量、pack→unpack round-trip；1457/1457 通过。</x:v>
      </x:c>
      <x:c r="H194" s="144" t="str">
        <x:v>coem/BYD_UKE/gen_bsw/Com/Com_PBcfg.c:2811</x:v>
      </x:c>
    </x:row>
    <x:row r="195" ht="72" customHeight="1">
      <x:c r="A195" s="144" t="str">
        <x:v>Com-Signal</x:v>
      </x:c>
      <x:c r="B195" s="144" t="str">
        <x:v>COM-SIG-Tx-0053 / BSD_TextInfoForDriver</x:v>
      </x:c>
      <x:c r="C195" s="144" t="str">
        <x:v>PDU=RCR_R_0x418; startBit=50; length=2; byteOrder=Little; type=UINT8; factor=1; offset=0; min=0; max=3; unit=-; receivers=Media</x:v>
      </x:c>
      <x:c r="D1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5" s="144" t="str">
        <x:v>M2</x:v>
      </x:c>
      <x:c r="F195" s="144" t="str">
        <x:v>Signal 级可编辑配置、数据类型/缩放/端序合同、RTE 接口、边界值与 round-trip 测试。</x:v>
      </x:c>
      <x:c r="G195" s="144" t="str">
        <x:v>raw=0、raw=max、物理 min/max、越界/保留值、端序字节向量、pack→unpack round-trip；1457/1457 通过。</x:v>
      </x:c>
      <x:c r="H195" s="144" t="str">
        <x:v>coem/BYD_UKE/gen_bsw/Com/Com_PBcfg.c:2864; BoschOversea_StandardCANFD_commplatform_RCR_CAN_Matrix_V4.18.2_20251104.dbc:260</x:v>
      </x:c>
    </x:row>
    <x:row r="196" ht="72" customHeight="1">
      <x:c r="A196" s="144" t="str">
        <x:v>Com-Signal</x:v>
      </x:c>
      <x:c r="B196" s="144" t="str">
        <x:v>COM-SIG-Tx-0054 / Checksum418_S</x:v>
      </x:c>
      <x:c r="C196" s="144" t="str">
        <x:v>PDU=RCR_R_0x418; startBit=56; length=8; byteOrder=Little; type=UINT8; factor=1; offset=0; min=0; max=255; unit=-; receivers=Left_BCM_L1,Left_BCM_L2_L3,Left_BCM_L4,Media,MPC,ADS,MRR</x:v>
      </x:c>
      <x:c r="D1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6" s="144" t="str">
        <x:v>M2</x:v>
      </x:c>
      <x:c r="F196" s="144" t="str">
        <x:v>Signal 级可编辑配置、数据类型/缩放/端序合同、RTE 接口、边界值与 round-trip 测试。</x:v>
      </x:c>
      <x:c r="G196" s="144" t="str">
        <x:v>raw=0、raw=max、物理 min/max、越界/保留值、端序字节向量、pack→unpack round-trip；1457/1457 通过。</x:v>
      </x:c>
      <x:c r="H196" s="144" t="str">
        <x:v>coem/BYD_UKE/gen_bsw/Com/Com_PBcfg.c:2917; BoschOversea_StandardCANFD_commplatform_RCR_CAN_Matrix_V4.18.2_20251104.dbc:262</x:v>
      </x:c>
    </x:row>
    <x:row r="197" ht="72" customHeight="1">
      <x:c r="A197" s="144" t="str">
        <x:v>Com-Signal</x:v>
      </x:c>
      <x:c r="B197" s="144" t="str">
        <x:v>COM-SIG-Tx-0055 / ELKA_Warn_Right_S</x:v>
      </x:c>
      <x:c r="C197" s="144" t="str">
        <x:v>PDU=RCR_R_0x418; startBit=6; length=1; byteOrder=Little; type=UINT8; factor=1; offset=0; min=0; max=1; unit=-; receivers=Left_BCM_L1,Media,MPC,ADS,MRR</x:v>
      </x:c>
      <x:c r="D1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7" s="144" t="str">
        <x:v>M2</x:v>
      </x:c>
      <x:c r="F197" s="144" t="str">
        <x:v>Signal 级可编辑配置、数据类型/缩放/端序合同、RTE 接口、边界值与 round-trip 测试。</x:v>
      </x:c>
      <x:c r="G197" s="144" t="str">
        <x:v>raw=0、raw=max、物理 min/max、越界/保留值、端序字节向量、pack→unpack round-trip；1457/1457 通过。</x:v>
      </x:c>
      <x:c r="H197" s="144" t="str">
        <x:v>coem/BYD_UKE/gen_bsw/Com/Com_PBcfg.c:2970; BoschOversea_StandardCANFD_commplatform_RCR_CAN_Matrix_V4.18.2_20251104.dbc:243</x:v>
      </x:c>
    </x:row>
    <x:row r="198" ht="72" customHeight="1">
      <x:c r="A198" s="144" t="str">
        <x:v>Com-Signal</x:v>
      </x:c>
      <x:c r="B198" s="144" t="str">
        <x:v>COM-SIG-Tx-0056 / ELKA_Warning_Left_S</x:v>
      </x:c>
      <x:c r="C198" s="144" t="str">
        <x:v>PDU=RCR_R_0x418; startBit=5; length=1; byteOrder=Little; type=UINT8; factor=1; offset=0; min=0; max=1; unit=-; receivers=Left_BCM_L1,Media,MPC,ADS,MRR</x:v>
      </x:c>
      <x:c r="D1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8" s="144" t="str">
        <x:v>M2</x:v>
      </x:c>
      <x:c r="F198" s="144" t="str">
        <x:v>Signal 级可编辑配置、数据类型/缩放/端序合同、RTE 接口、边界值与 round-trip 测试。</x:v>
      </x:c>
      <x:c r="G198" s="144" t="str">
        <x:v>raw=0、raw=max、物理 min/max、越界/保留值、端序字节向量、pack→unpack round-trip；1457/1457 通过。</x:v>
      </x:c>
      <x:c r="H198" s="144" t="str">
        <x:v>coem/BYD_UKE/gen_bsw/Com/Com_PBcfg.c:3023; BoschOversea_StandardCANFD_commplatform_RCR_CAN_Matrix_V4.18.2_20251104.dbc:242</x:v>
      </x:c>
    </x:row>
    <x:row r="199" ht="72" customHeight="1">
      <x:c r="A199" s="144" t="str">
        <x:v>Com-Signal</x:v>
      </x:c>
      <x:c r="B199" s="144" t="str">
        <x:v>COM-SIG-Tx-0057 / Message_counter418_S</x:v>
      </x:c>
      <x:c r="C199" s="144" t="str">
        <x:v>PDU=RCR_R_0x418; startBit=52; length=4; byteOrder=Little; type=UINT8; factor=1; offset=0; min=0; max=15; unit=-; receivers=Left_BCM_L1,Left_BCM_L2_L3,Left_BCM_L4,Media,MPC,ADS,MRR</x:v>
      </x:c>
      <x:c r="D1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199" s="144" t="str">
        <x:v>M2</x:v>
      </x:c>
      <x:c r="F199" s="144" t="str">
        <x:v>Signal 级可编辑配置、数据类型/缩放/端序合同、RTE 接口、边界值与 round-trip 测试。</x:v>
      </x:c>
      <x:c r="G199" s="144" t="str">
        <x:v>raw=0、raw=max、物理 min/max、越界/保留值、端序字节向量、pack→unpack round-trip；1457/1457 通过。</x:v>
      </x:c>
      <x:c r="H199" s="144" t="str">
        <x:v>coem/BYD_UKE/gen_bsw/Com/Com_PBcfg.c:3076; BoschOversea_StandardCANFD_commplatform_RCR_CAN_Matrix_V4.18.2_20251104.dbc:261</x:v>
      </x:c>
    </x:row>
    <x:row r="200" ht="72" customHeight="1">
      <x:c r="A200" s="144" t="str">
        <x:v>Com-Signal</x:v>
      </x:c>
      <x:c r="B200" s="144" t="str">
        <x:v>COM-SIG-Tx-0058 / RCR_L_calibration_ongoing</x:v>
      </x:c>
      <x:c r="C200" s="144" t="str">
        <x:v>PDU=RCR_R_0x418; startBit=7; length=1; byteOrder=Little; type=UINT8; factor=1; offset=0; min=0; max=1; unit=-; receivers=Left_BCM_L1,Media,MPC,ADS,MRR</x:v>
      </x:c>
      <x:c r="D20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0" s="144" t="str">
        <x:v>M2</x:v>
      </x:c>
      <x:c r="F200" s="144" t="str">
        <x:v>Signal 级可编辑配置、数据类型/缩放/端序合同、RTE 接口、边界值与 round-trip 测试。</x:v>
      </x:c>
      <x:c r="G200" s="144" t="str">
        <x:v>raw=0、raw=max、物理 min/max、越界/保留值、端序字节向量、pack→unpack round-trip；1457/1457 通过。</x:v>
      </x:c>
      <x:c r="H200" s="144" t="str">
        <x:v>coem/BYD_UKE/gen_bsw/Com/Com_PBcfg.c:3129; BoschOversea_StandardCANFD_commplatform_RCR_CAN_Matrix_V4.18.2_20251104.dbc:244</x:v>
      </x:c>
    </x:row>
    <x:row r="201" ht="72" customHeight="1">
      <x:c r="A201" s="144" t="str">
        <x:v>Com-Signal</x:v>
      </x:c>
      <x:c r="B201" s="144" t="str">
        <x:v>COM-SIG-Tx-0059 / RCR_R_Sys_Status_S</x:v>
      </x:c>
      <x:c r="C201" s="144" t="str">
        <x:v>PDU=RCR_R_0x418; startBit=0; length=2; byteOrder=Little; type=UINT8; factor=1; offset=0; min=0; max=3; unit=-; receivers=Left_BCM_L1,Left_BCM_L2_L3,Left_BCM_L4,Media,SCPA,MPC,ADS,MRR</x:v>
      </x:c>
      <x:c r="D2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1" s="144" t="str">
        <x:v>M2</x:v>
      </x:c>
      <x:c r="F201" s="144" t="str">
        <x:v>Signal 级可编辑配置、数据类型/缩放/端序合同、RTE 接口、边界值与 round-trip 测试。</x:v>
      </x:c>
      <x:c r="G201" s="144" t="str">
        <x:v>raw=0、raw=max、物理 min/max、越界/保留值、端序字节向量、pack→unpack round-trip；1457/1457 通过。</x:v>
      </x:c>
      <x:c r="H201" s="144" t="str">
        <x:v>coem/BYD_UKE/gen_bsw/Com/Com_PBcfg.c:3182; BoschOversea_StandardCANFD_commplatform_RCR_CAN_Matrix_V4.18.2_20251104.dbc:241</x:v>
      </x:c>
    </x:row>
    <x:row r="202" ht="72" customHeight="1">
      <x:c r="A202" s="144" t="str">
        <x:v>Com-Signal</x:v>
      </x:c>
      <x:c r="B202" s="144" t="str">
        <x:v>COM-SIG-Tx-0060 / RCR_R_calibration_ongoing</x:v>
      </x:c>
      <x:c r="C202" s="144" t="str">
        <x:v>PDU=RCR_R_0x418; startBit=15; length=1; byteOrder=Little; type=UINT8; factor=1; offset=0; min=0; max=1; unit=-; receivers=Left_BCM_L1,Left_BCM_L2_L3,Left_BCM_L4,Media,MPC,ADS,MRR</x:v>
      </x:c>
      <x:c r="D2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2" s="144" t="str">
        <x:v>M2</x:v>
      </x:c>
      <x:c r="F202" s="144" t="str">
        <x:v>Signal 级可编辑配置、数据类型/缩放/端序合同、RTE 接口、边界值与 round-trip 测试。</x:v>
      </x:c>
      <x:c r="G202" s="144" t="str">
        <x:v>raw=0、raw=max、物理 min/max、越界/保留值、端序字节向量、pack→unpack round-trip；1457/1457 通过。</x:v>
      </x:c>
      <x:c r="H202" s="144" t="str">
        <x:v>coem/BYD_UKE/gen_bsw/Com/Com_PBcfg.c:3235; BoschOversea_StandardCANFD_commplatform_RCR_CAN_Matrix_V4.18.2_20251104.dbc:250</x:v>
      </x:c>
    </x:row>
    <x:row r="203" ht="72" customHeight="1">
      <x:c r="A203" s="144" t="str">
        <x:v>Com-Signal</x:v>
      </x:c>
      <x:c r="B203" s="144" t="str">
        <x:v>COM-SIG-Tx-0061 / RCTBTargetDecel_S</x:v>
      </x:c>
      <x:c r="C203" s="144" t="str">
        <x:v>PDU=RCR_R_0x418; startBit=40; length=8; byteOrder=Little; type=UINT8; factor=0.05; offset=-10; min=-10; max=2.74; unit=m/s; receivers=Left_BCM_L1,Media,MPC,ADS,MRR</x:v>
      </x:c>
      <x:c r="D2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3" s="144" t="str">
        <x:v>M2</x:v>
      </x:c>
      <x:c r="F203" s="144" t="str">
        <x:v>Signal 级可编辑配置、数据类型/缩放/端序合同、RTE 接口、边界值与 round-trip 测试。</x:v>
      </x:c>
      <x:c r="G203" s="144" t="str">
        <x:v>raw=0、raw=max、物理 min/max、越界/保留值、端序字节向量、pack→unpack round-trip；1457/1457 通过。</x:v>
      </x:c>
      <x:c r="H203" s="144" t="str">
        <x:v>coem/BYD_UKE/gen_bsw/Com/Com_PBcfg.c:3288; BoschOversea_StandardCANFD_commplatform_RCR_CAN_Matrix_V4.18.2_20251104.dbc:259</x:v>
      </x:c>
    </x:row>
    <x:row r="204" ht="72" customHeight="1">
      <x:c r="A204" s="144" t="str">
        <x:v>Com-Signal</x:v>
      </x:c>
      <x:c r="B204" s="144" t="str">
        <x:v>COM-SIG-Tx-0062 / RCW_Warning_S</x:v>
      </x:c>
      <x:c r="C204" s="144" t="str">
        <x:v>PDU=RCR_R_0x418; startBit=14; length=1; byteOrder=Little; type=UINT8; factor=1; offset=0; min=0; max=1; unit=-; receivers=Left_BCM_L1,Left_BCM_L2_L3,Left_BCM_L4,Media,MPC,ADS,MRR</x:v>
      </x:c>
      <x:c r="D2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4" s="144" t="str">
        <x:v>M2</x:v>
      </x:c>
      <x:c r="F204" s="144" t="str">
        <x:v>Signal 级可编辑配置、数据类型/缩放/端序合同、RTE 接口、边界值与 round-trip 测试。</x:v>
      </x:c>
      <x:c r="G204" s="144" t="str">
        <x:v>raw=0、raw=max、物理 min/max、越界/保留值、端序字节向量、pack→unpack round-trip；1457/1457 通过。</x:v>
      </x:c>
      <x:c r="H204" s="144" t="str">
        <x:v>coem/BYD_UKE/gen_bsw/Com/Com_PBcfg.c:3341; BoschOversea_StandardCANFD_commplatform_RCR_CAN_Matrix_V4.18.2_20251104.dbc:249</x:v>
      </x:c>
    </x:row>
    <x:row r="205" ht="72" customHeight="1">
      <x:c r="A205" s="144" t="str">
        <x:v>Com-Signal</x:v>
      </x:c>
      <x:c r="B205" s="144" t="str">
        <x:v>COM-SIG-Tx-0063 / RRadar_DOW_WarningRight_S</x:v>
      </x:c>
      <x:c r="C205" s="144" t="str">
        <x:v>PDU=RCR_R_0x418; startBit=26; length=2; byteOrder=Little; type=UINT8; factor=1; offset=0; min=0; max=3; unit=-; receivers=Left_BCM_L1,Left_BCM_L2_L3,Left_BCM_L4,Media,PAL,MPC,ADS,MRR</x:v>
      </x:c>
      <x:c r="D2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5" s="144" t="str">
        <x:v>M2</x:v>
      </x:c>
      <x:c r="F205" s="144" t="str">
        <x:v>Signal 级可编辑配置、数据类型/缩放/端序合同、RTE 接口、边界值与 round-trip 测试。</x:v>
      </x:c>
      <x:c r="G205" s="144" t="str">
        <x:v>raw=0、raw=max、物理 min/max、越界/保留值、端序字节向量、pack→unpack round-trip；1457/1457 通过。</x:v>
      </x:c>
      <x:c r="H205" s="144" t="str">
        <x:v>coem/BYD_UKE/gen_bsw/Com/Com_PBcfg.c:3394; BoschOversea_StandardCANFD_commplatform_RCR_CAN_Matrix_V4.18.2_20251104.dbc:256</x:v>
      </x:c>
    </x:row>
    <x:row r="206" ht="72" customHeight="1">
      <x:c r="A206" s="144" t="str">
        <x:v>Com-Signal</x:v>
      </x:c>
      <x:c r="B206" s="144" t="str">
        <x:v>COM-SIG-Tx-0064 / RRadar_DOW_Warning_Left_S</x:v>
      </x:c>
      <x:c r="C206" s="144" t="str">
        <x:v>PDU=RCR_R_0x418; startBit=24; length=2; byteOrder=Little; type=UINT8; factor=1; offset=0; min=0; max=3; unit=-; receivers=Left_BCM_L1,Left_BCM_L2_L3,Left_BCM_L4,Media,MPC,ADS,MRR</x:v>
      </x:c>
      <x:c r="D2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6" s="144" t="str">
        <x:v>M2</x:v>
      </x:c>
      <x:c r="F206" s="144" t="str">
        <x:v>Signal 级可编辑配置、数据类型/缩放/端序合同、RTE 接口、边界值与 round-trip 测试。</x:v>
      </x:c>
      <x:c r="G206" s="144" t="str">
        <x:v>raw=0、raw=max、物理 min/max、越界/保留值、端序字节向量、pack→unpack round-trip；1457/1457 通过。</x:v>
      </x:c>
      <x:c r="H206" s="144" t="str">
        <x:v>coem/BYD_UKE/gen_bsw/Com/Com_PBcfg.c:3447; BoschOversea_StandardCANFD_commplatform_RCR_CAN_Matrix_V4.18.2_20251104.dbc:255</x:v>
      </x:c>
    </x:row>
    <x:row r="207" ht="72" customHeight="1">
      <x:c r="A207" s="144" t="str">
        <x:v>Com-Signal</x:v>
      </x:c>
      <x:c r="B207" s="144" t="str">
        <x:v>COM-SIG-Tx-0065 / RRadar_RCTA_Warning_Left_S</x:v>
      </x:c>
      <x:c r="C207" s="144" t="str">
        <x:v>PDU=RCR_R_0x418; startBit=12; length=1; byteOrder=Little; type=UINT8; factor=1; offset=0; min=0; max=1; unit=-; receivers=Left_BCM_L1,Left_BCM_L2_L3,Left_BCM_L4,Media,MPC,ADS,MRR</x:v>
      </x:c>
      <x:c r="D2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7" s="144" t="str">
        <x:v>M2</x:v>
      </x:c>
      <x:c r="F207" s="144" t="str">
        <x:v>Signal 级可编辑配置、数据类型/缩放/端序合同、RTE 接口、边界值与 round-trip 测试。</x:v>
      </x:c>
      <x:c r="G207" s="144" t="str">
        <x:v>raw=0、raw=max、物理 min/max、越界/保留值、端序字节向量、pack→unpack round-trip；1457/1457 通过。</x:v>
      </x:c>
      <x:c r="H207" s="144" t="str">
        <x:v>coem/BYD_UKE/gen_bsw/Com/Com_PBcfg.c:3500; BoschOversea_StandardCANFD_commplatform_RCR_CAN_Matrix_V4.18.2_20251104.dbc:247</x:v>
      </x:c>
    </x:row>
    <x:row r="208" ht="72" customHeight="1">
      <x:c r="A208" s="144" t="str">
        <x:v>Com-Signal</x:v>
      </x:c>
      <x:c r="B208" s="144" t="str">
        <x:v>COM-SIG-Tx-0066 / R_BSD_Status_S</x:v>
      </x:c>
      <x:c r="C208" s="144" t="str">
        <x:v>PDU=RCR_R_0x418; startBit=16; length=2; byteOrder=Little; type=UINT8; factor=1; offset=0; min=0; max=3; unit=-; receivers=Left_BCM_L1,Left_BCM_L2_L3,Left_BCM_L4,Media,MPC,ADS,MRR</x:v>
      </x:c>
      <x:c r="D2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8" s="144" t="str">
        <x:v>M2</x:v>
      </x:c>
      <x:c r="F208" s="144" t="str">
        <x:v>Signal 级可编辑配置、数据类型/缩放/端序合同、RTE 接口、边界值与 round-trip 测试。</x:v>
      </x:c>
      <x:c r="G208" s="144" t="str">
        <x:v>raw=0、raw=max、物理 min/max、越界/保留值、端序字节向量、pack→unpack round-trip；1457/1457 通过。</x:v>
      </x:c>
      <x:c r="H208" s="144" t="str">
        <x:v>coem/BYD_UKE/gen_bsw/Com/Com_PBcfg.c:3553; BoschOversea_StandardCANFD_commplatform_RCR_CAN_Matrix_V4.18.2_20251104.dbc:251</x:v>
      </x:c>
    </x:row>
    <x:row r="209" ht="72" customHeight="1">
      <x:c r="A209" s="144" t="str">
        <x:v>Com-Signal</x:v>
      </x:c>
      <x:c r="B209" s="144" t="str">
        <x:v>COM-SIG-Tx-0067 / R_BSD_Warning_Left_S</x:v>
      </x:c>
      <x:c r="C209" s="144" t="str">
        <x:v>PDU=RCR_R_0x418; startBit=8; length=2; byteOrder=Little; type=UINT8; factor=1; offset=0; min=0; max=3; unit=-; receivers=Left_BCM_L1,Left_BCM_L2_L3,Left_BCM_L4,Media,MPC,ADS,MRR</x:v>
      </x:c>
      <x:c r="D2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09" s="144" t="str">
        <x:v>M2</x:v>
      </x:c>
      <x:c r="F209" s="144" t="str">
        <x:v>Signal 级可编辑配置、数据类型/缩放/端序合同、RTE 接口、边界值与 round-trip 测试。</x:v>
      </x:c>
      <x:c r="G209" s="144" t="str">
        <x:v>raw=0、raw=max、物理 min/max、越界/保留值、端序字节向量、pack→unpack round-trip；1457/1457 通过。</x:v>
      </x:c>
      <x:c r="H209" s="144" t="str">
        <x:v>coem/BYD_UKE/gen_bsw/Com/Com_PBcfg.c:3606; BoschOversea_StandardCANFD_commplatform_RCR_CAN_Matrix_V4.18.2_20251104.dbc:245</x:v>
      </x:c>
    </x:row>
    <x:row r="210" ht="72" customHeight="1">
      <x:c r="A210" s="144" t="str">
        <x:v>Com-Signal</x:v>
      </x:c>
      <x:c r="B210" s="144" t="str">
        <x:v>COM-SIG-Tx-0068 / R_BSD_Warning_Right_S</x:v>
      </x:c>
      <x:c r="C210" s="144" t="str">
        <x:v>PDU=RCR_R_0x418; startBit=10; length=2; byteOrder=Little; type=UINT8; factor=1; offset=0; min=0; max=3; unit=-; receivers=Left_BCM_L1,Left_BCM_L2_L3,Left_BCM_L4,Media,MPC,ADS,MRR</x:v>
      </x:c>
      <x:c r="D21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0" s="144" t="str">
        <x:v>M2</x:v>
      </x:c>
      <x:c r="F210" s="144" t="str">
        <x:v>Signal 级可编辑配置、数据类型/缩放/端序合同、RTE 接口、边界值与 round-trip 测试。</x:v>
      </x:c>
      <x:c r="G210" s="144" t="str">
        <x:v>raw=0、raw=max、物理 min/max、越界/保留值、端序字节向量、pack→unpack round-trip；1457/1457 通过。</x:v>
      </x:c>
      <x:c r="H210" s="144" t="str">
        <x:v>coem/BYD_UKE/gen_bsw/Com/Com_PBcfg.c:3659; BoschOversea_StandardCANFD_commplatform_RCR_CAN_Matrix_V4.18.2_20251104.dbc:246</x:v>
      </x:c>
    </x:row>
    <x:row r="211" ht="72" customHeight="1">
      <x:c r="A211" s="144" t="str">
        <x:v>Com-Signal</x:v>
      </x:c>
      <x:c r="B211" s="144" t="str">
        <x:v>COM-SIG-Tx-0069 / Radar_RCTA_Warn_Right_S</x:v>
      </x:c>
      <x:c r="C211" s="144" t="str">
        <x:v>PDU=RCR_R_0x418; startBit=13; length=1; byteOrder=Little; type=UINT8; factor=1; offset=0; min=0; max=1; unit=-; receivers=Left_BCM_L1,Left_BCM_L2_L3,Left_BCM_L4,Media,MPC,ADS,MRR</x:v>
      </x:c>
      <x:c r="D2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1" s="144" t="str">
        <x:v>M2</x:v>
      </x:c>
      <x:c r="F211" s="144" t="str">
        <x:v>Signal 级可编辑配置、数据类型/缩放/端序合同、RTE 接口、边界值与 round-trip 测试。</x:v>
      </x:c>
      <x:c r="G211" s="144" t="str">
        <x:v>raw=0、raw=max、物理 min/max、越界/保留值、端序字节向量、pack→unpack round-trip；1457/1457 通过。</x:v>
      </x:c>
      <x:c r="H211" s="144" t="str">
        <x:v>coem/BYD_UKE/gen_bsw/Com/Com_PBcfg.c:3712; BoschOversea_StandardCANFD_commplatform_RCR_CAN_Matrix_V4.18.2_20251104.dbc:248</x:v>
      </x:c>
    </x:row>
    <x:row r="212" ht="72" customHeight="1">
      <x:c r="A212" s="144" t="str">
        <x:v>Com-Signal</x:v>
      </x:c>
      <x:c r="B212" s="144" t="str">
        <x:v>COM-SIG-Tx-0070 / Right_Radar_DOW_Status_S</x:v>
      </x:c>
      <x:c r="C212" s="144" t="str">
        <x:v>PDU=RCR_R_0x418; startBit=22; length=2; byteOrder=Little; type=UINT8; factor=1; offset=0; min=0; max=3; unit=-; receivers=Left_BCM_L1,Left_BCM_L2_L3,Left_BCM_L4,Media,MPC,ADS,MRR</x:v>
      </x:c>
      <x:c r="D2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2" s="144" t="str">
        <x:v>M2</x:v>
      </x:c>
      <x:c r="F212" s="144" t="str">
        <x:v>Signal 级可编辑配置、数据类型/缩放/端序合同、RTE 接口、边界值与 round-trip 测试。</x:v>
      </x:c>
      <x:c r="G212" s="144" t="str">
        <x:v>raw=0、raw=max、物理 min/max、越界/保留值、端序字节向量、pack→unpack round-trip；1457/1457 通过。</x:v>
      </x:c>
      <x:c r="H212" s="144" t="str">
        <x:v>coem/BYD_UKE/gen_bsw/Com/Com_PBcfg.c:3765; BoschOversea_StandardCANFD_commplatform_RCR_CAN_Matrix_V4.18.2_20251104.dbc:254</x:v>
      </x:c>
    </x:row>
    <x:row r="213" ht="72" customHeight="1">
      <x:c r="A213" s="144" t="str">
        <x:v>Com-Signal</x:v>
      </x:c>
      <x:c r="B213" s="144" t="str">
        <x:v>COM-SIG-Tx-0071 / Right_Radar_RCTA_Status_S</x:v>
      </x:c>
      <x:c r="C213" s="144" t="str">
        <x:v>PDU=RCR_R_0x418; startBit=18; length=2; byteOrder=Little; type=UINT8; factor=1; offset=0; min=0; max=3; unit=-; receivers=Left_BCM_L1,Left_BCM_L2_L3,Left_BCM_L4,Media,MPC,ADS,MRR</x:v>
      </x:c>
      <x:c r="D2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3" s="144" t="str">
        <x:v>M2</x:v>
      </x:c>
      <x:c r="F213" s="144" t="str">
        <x:v>Signal 级可编辑配置、数据类型/缩放/端序合同、RTE 接口、边界值与 round-trip 测试。</x:v>
      </x:c>
      <x:c r="G213" s="144" t="str">
        <x:v>raw=0、raw=max、物理 min/max、越界/保留值、端序字节向量、pack→unpack round-trip；1457/1457 通过。</x:v>
      </x:c>
      <x:c r="H213" s="144" t="str">
        <x:v>coem/BYD_UKE/gen_bsw/Com/Com_PBcfg.c:3818; BoschOversea_StandardCANFD_commplatform_RCR_CAN_Matrix_V4.18.2_20251104.dbc:252</x:v>
      </x:c>
    </x:row>
    <x:row r="214" ht="72" customHeight="1">
      <x:c r="A214" s="144" t="str">
        <x:v>Com-Signal</x:v>
      </x:c>
      <x:c r="B214" s="144" t="str">
        <x:v>COM-SIG-Tx-0072 / Right_Radar_RCTB_Braking_Req_S</x:v>
      </x:c>
      <x:c r="C214" s="144" t="str">
        <x:v>PDU=RCR_R_0x418; startBit=34; length=2; byteOrder=Little; type=UINT8; factor=1; offset=0; min=0; max=3; unit=-; receivers=Left_BCM_L1,Left_BCM_L2_L3,Left_BCM_L4,Media,MPC,ADS,MRR</x:v>
      </x:c>
      <x:c r="D21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4" s="144" t="str">
        <x:v>M2</x:v>
      </x:c>
      <x:c r="F214" s="144" t="str">
        <x:v>Signal 级可编辑配置、数据类型/缩放/端序合同、RTE 接口、边界值与 round-trip 测试。</x:v>
      </x:c>
      <x:c r="G214" s="144" t="str">
        <x:v>raw=0、raw=max、物理 min/max、越界/保留值、端序字节向量、pack→unpack round-trip；1457/1457 通过。</x:v>
      </x:c>
      <x:c r="H214" s="144" t="str">
        <x:v>coem/BYD_UKE/gen_bsw/Com/Com_PBcfg.c:3871; BoschOversea_StandardCANFD_commplatform_RCR_CAN_Matrix_V4.18.2_20251104.dbc:258</x:v>
      </x:c>
    </x:row>
    <x:row r="215" ht="72" customHeight="1">
      <x:c r="A215" s="144" t="str">
        <x:v>Com-Signal</x:v>
      </x:c>
      <x:c r="B215" s="144" t="str">
        <x:v>COM-SIG-Tx-0073 / Right_Radar_RCTB_Status_S</x:v>
      </x:c>
      <x:c r="C215" s="144" t="str">
        <x:v>PDU=RCR_R_0x418; startBit=32; length=2; byteOrder=Little; type=UINT8; factor=1; offset=0; min=0; max=3; unit=-; receivers=Left_BCM_L1,Left_BCM_L2_L3,Left_BCM_L4,Media,MPC,ADS,MRR</x:v>
      </x:c>
      <x:c r="D2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5" s="144" t="str">
        <x:v>M2</x:v>
      </x:c>
      <x:c r="F215" s="144" t="str">
        <x:v>Signal 级可编辑配置、数据类型/缩放/端序合同、RTE 接口、边界值与 round-trip 测试。</x:v>
      </x:c>
      <x:c r="G215" s="144" t="str">
        <x:v>raw=0、raw=max、物理 min/max、越界/保留值、端序字节向量、pack→unpack round-trip；1457/1457 通过。</x:v>
      </x:c>
      <x:c r="H215" s="144" t="str">
        <x:v>coem/BYD_UKE/gen_bsw/Com/Com_PBcfg.c:3924; BoschOversea_StandardCANFD_commplatform_RCR_CAN_Matrix_V4.18.2_20251104.dbc:257</x:v>
      </x:c>
    </x:row>
    <x:row r="216" ht="72" customHeight="1">
      <x:c r="A216" s="144" t="str">
        <x:v>Com-Signal</x:v>
      </x:c>
      <x:c r="B216" s="144" t="str">
        <x:v>COM-SIG-Tx-0074 / Right_Radar_RCW_Status_S</x:v>
      </x:c>
      <x:c r="C216" s="144" t="str">
        <x:v>PDU=RCR_R_0x418; startBit=20; length=2; byteOrder=Little; type=UINT8; factor=1; offset=0; min=0; max=3; unit=-; receivers=Left_BCM_L1,Left_BCM_L2_L3,Left_BCM_L4,Media,MPC,ADS,MRR</x:v>
      </x:c>
      <x:c r="D2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6" s="144" t="str">
        <x:v>M2</x:v>
      </x:c>
      <x:c r="F216" s="144" t="str">
        <x:v>Signal 级可编辑配置、数据类型/缩放/端序合同、RTE 接口、边界值与 round-trip 测试。</x:v>
      </x:c>
      <x:c r="G216" s="144" t="str">
        <x:v>raw=0、raw=max、物理 min/max、越界/保留值、端序字节向量、pack→unpack round-trip；1457/1457 通过。</x:v>
      </x:c>
      <x:c r="H216" s="144" t="str">
        <x:v>coem/BYD_UKE/gen_bsw/Com/Com_PBcfg.c:3977; BoschOversea_StandardCANFD_commplatform_RCR_CAN_Matrix_V4.18.2_20251104.dbc:253</x:v>
      </x:c>
    </x:row>
    <x:row r="217" ht="72" customHeight="1">
      <x:c r="A217" s="144" t="str">
        <x:v>Com-Signal</x:v>
      </x:c>
      <x:c r="B217" s="144" t="str">
        <x:v>COM-SIG-Tx-0075 / TrigFastPeriod_RCR_0x418_S</x:v>
      </x:c>
      <x:c r="C217" s="144" t="str">
        <x:v>PDU=RCR_R_0x418; startBit=48; length=1; byteOrder=Little; type=UINT8; factor=1（Com原始值）; offset=0（Com原始值）; min=按位宽/类型; max=按位宽/类型; unit=-; receivers=-</x:v>
      </x:c>
      <x:c r="D217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17" s="144" t="str">
        <x:v>M2</x:v>
      </x:c>
      <x:c r="F217" s="144" t="str">
        <x:v>Signal 级可编辑配置、数据类型/缩放/端序合同、RTE 接口、边界值与 round-trip 测试。</x:v>
      </x:c>
      <x:c r="G217" s="144" t="str">
        <x:v>raw=0、raw=max、物理 min/max、越界/保留值、端序字节向量、pack→unpack round-trip；1457/1457 通过。</x:v>
      </x:c>
      <x:c r="H217" s="144" t="str">
        <x:v>coem/BYD_UKE/gen_bsw/Com/Com_PBcfg.c:4030</x:v>
      </x:c>
    </x:row>
    <x:row r="218" ht="72" customHeight="1">
      <x:c r="A218" s="144" t="str">
        <x:v>Com-Signal</x:v>
      </x:c>
      <x:c r="B218" s="144" t="str">
        <x:v>COM-SIG-Tx-0076 / RFL_50msPDU_AliveCtr_Tx</x:v>
      </x:c>
      <x:c r="C218" s="144" t="str">
        <x:v>PDU=RFL_50msPDU_Tx; startBit=16; length=8; byteOrder=Little; type=UINT8; factor=1; offset=0; min=0; max=255; unit=-; receivers=DASy</x:v>
      </x:c>
      <x:c r="D2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8" s="144" t="str">
        <x:v>M2</x:v>
      </x:c>
      <x:c r="F218" s="144" t="str">
        <x:v>Signal 级可编辑配置、数据类型/缩放/端序合同、RTE 接口、边界值与 round-trip 测试。</x:v>
      </x:c>
      <x:c r="G218" s="144" t="str">
        <x:v>raw=0、raw=max、物理 min/max、越界/保留值、端序字节向量、pack→unpack round-trip；1457/1457 通过。</x:v>
      </x:c>
      <x:c r="H218" s="144" t="str">
        <x:v>coem/BYD_UKE/gen_bsw/Com/Com_PBcfg.c:4083; BYD_5R1V_RadarRearcorner_V2.5_AllNodes.dbc:53</x:v>
      </x:c>
    </x:row>
    <x:row r="219" ht="72" customHeight="1">
      <x:c r="A219" s="144" t="str">
        <x:v>Com-Signal</x:v>
      </x:c>
      <x:c r="B219" s="144" t="str">
        <x:v>COM-SIG-Tx-0077 / RFL_50msPDU_CRC_Tx</x:v>
      </x:c>
      <x:c r="C219" s="144" t="str">
        <x:v>PDU=RFL_50msPDU_Tx; startBit=0; length=16; byteOrder=Little; type=UINT16; factor=1; offset=0; min=0; max=65535; unit=-; receivers=DASy</x:v>
      </x:c>
      <x:c r="D2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19" s="144" t="str">
        <x:v>M2</x:v>
      </x:c>
      <x:c r="F219" s="144" t="str">
        <x:v>Signal 级可编辑配置、数据类型/缩放/端序合同、RTE 接口、边界值与 round-trip 测试。</x:v>
      </x:c>
      <x:c r="G219" s="144" t="str">
        <x:v>raw=0、raw=max、物理 min/max、越界/保留值、端序字节向量、pack→unpack round-trip；1457/1457 通过。</x:v>
      </x:c>
      <x:c r="H219" s="144" t="str">
        <x:v>coem/BYD_UKE/gen_bsw/Com/Com_PBcfg.c:4136; BYD_5R1V_RadarRearcorner_V2.5_AllNodes.dbc:52</x:v>
      </x:c>
    </x:row>
    <x:row r="220" ht="72" customHeight="1">
      <x:c r="A220" s="144" t="str">
        <x:v>Com-Signal</x:v>
      </x:c>
      <x:c r="B220" s="144" t="str">
        <x:v>COM-SIG-Tx-0078 / RFL_FCRSysSts_Tx</x:v>
      </x:c>
      <x:c r="C220" s="144" t="str">
        <x:v>PDU=RFL_50msPDU_Tx; startBit=35; length=5; byteOrder=Little; type=UINT8; factor=1; offset=0; min=0; max=31; unit=-; receivers=DASy</x:v>
      </x:c>
      <x:c r="D2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0" s="144" t="str">
        <x:v>M2</x:v>
      </x:c>
      <x:c r="F220" s="144" t="str">
        <x:v>Signal 级可编辑配置、数据类型/缩放/端序合同、RTE 接口、边界值与 round-trip 测试。</x:v>
      </x:c>
      <x:c r="G220" s="144" t="str">
        <x:v>raw=0、raw=max、物理 min/max、越界/保留值、端序字节向量、pack→unpack round-trip；1457/1457 通过。</x:v>
      </x:c>
      <x:c r="H220" s="144" t="str">
        <x:v>coem/BYD_UKE/gen_bsw/Com/Com_PBcfg.c:4189; BYD_5R1V_RadarRearcorner_V2.5_AllNodes.dbc:51</x:v>
      </x:c>
    </x:row>
    <x:row r="221" ht="72" customHeight="1">
      <x:c r="A221" s="144" t="str">
        <x:v>Com-Signal</x:v>
      </x:c>
      <x:c r="B221" s="144" t="str">
        <x:v>COM-SIG-Tx-0079 / RFL_FCTASysSts_Tx</x:v>
      </x:c>
      <x:c r="C221" s="144" t="str">
        <x:v>PDU=RFL_50msPDU_Tx; startBit=45; length=3; byteOrder=Little; type=UINT8; factor=1; offset=0; min=0; max=3; unit=-; receivers=DASy</x:v>
      </x:c>
      <x:c r="D2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1" s="144" t="str">
        <x:v>M2</x:v>
      </x:c>
      <x:c r="F221" s="144" t="str">
        <x:v>Signal 级可编辑配置、数据类型/缩放/端序合同、RTE 接口、边界值与 round-trip 测试。</x:v>
      </x:c>
      <x:c r="G221" s="144" t="str">
        <x:v>raw=0、raw=max、物理 min/max、越界/保留值、端序字节向量、pack→unpack round-trip；1457/1457 通过。</x:v>
      </x:c>
      <x:c r="H221" s="144" t="str">
        <x:v>coem/BYD_UKE/gen_bsw/Com/Com_PBcfg.c:4242; BYD_5R1V_RadarRearcorner_V2.5_AllNodes.dbc:50</x:v>
      </x:c>
    </x:row>
    <x:row r="222" ht="72" customHeight="1">
      <x:c r="A222" s="144" t="str">
        <x:v>Com-Signal</x:v>
      </x:c>
      <x:c r="B222" s="144" t="str">
        <x:v>COM-SIG-Tx-0080 / RFL_FCTBReqDclSts_Tx</x:v>
      </x:c>
      <x:c r="C222" s="144" t="str">
        <x:v>PDU=RFL_50msPDU_Tx; startBit=40; length=2; byteOrder=Little; type=UINT8; factor=1; offset=0; min=0; max=3; unit=-; receivers=DASy</x:v>
      </x:c>
      <x:c r="D2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2" s="144" t="str">
        <x:v>M2</x:v>
      </x:c>
      <x:c r="F222" s="144" t="str">
        <x:v>Signal 级可编辑配置、数据类型/缩放/端序合同、RTE 接口、边界值与 round-trip 测试。</x:v>
      </x:c>
      <x:c r="G222" s="144" t="str">
        <x:v>raw=0、raw=max、物理 min/max、越界/保留值、端序字节向量、pack→unpack round-trip；1457/1457 通过。</x:v>
      </x:c>
      <x:c r="H222" s="144" t="str">
        <x:v>coem/BYD_UKE/gen_bsw/Com/Com_PBcfg.c:4295; BYD_5R1V_RadarRearcorner_V2.5_AllNodes.dbc:48</x:v>
      </x:c>
    </x:row>
    <x:row r="223" ht="72" customHeight="1">
      <x:c r="A223" s="144" t="str">
        <x:v>Com-Signal</x:v>
      </x:c>
      <x:c r="B223" s="144" t="str">
        <x:v>COM-SIG-Tx-0081 / RFL_FCTBReqDcl_Tx</x:v>
      </x:c>
      <x:c r="C223" s="144" t="str">
        <x:v>PDU=RFL_50msPDU_Tx; startBit=24; length=8; byteOrder=Little; type=UINT8; factor=0.1; offset=-12.7; min=-12.7; max=12.8; unit=m/s^2; receivers=DASy</x:v>
      </x:c>
      <x:c r="D2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3" s="144" t="str">
        <x:v>M2</x:v>
      </x:c>
      <x:c r="F223" s="144" t="str">
        <x:v>Signal 级可编辑配置、数据类型/缩放/端序合同、RTE 接口、边界值与 round-trip 测试。</x:v>
      </x:c>
      <x:c r="G223" s="144" t="str">
        <x:v>raw=0、raw=max、物理 min/max、越界/保留值、端序字节向量、pack→unpack round-trip；1457/1457 通过。</x:v>
      </x:c>
      <x:c r="H223" s="144" t="str">
        <x:v>coem/BYD_UKE/gen_bsw/Com/Com_PBcfg.c:4348; BYD_5R1V_RadarRearcorner_V2.5_AllNodes.dbc:49</x:v>
      </x:c>
    </x:row>
    <x:row r="224" ht="72" customHeight="1">
      <x:c r="A224" s="144" t="str">
        <x:v>Com-Signal</x:v>
      </x:c>
      <x:c r="B224" s="144" t="str">
        <x:v>COM-SIG-Tx-0082 / RFL_FCTBReq_Tx</x:v>
      </x:c>
      <x:c r="C224" s="144" t="str">
        <x:v>PDU=RFL_50msPDU_Tx; startBit=48; length=2; byteOrder=Little; type=UINT8; factor=1（Com原始值）; offset=0（Com原始值）; min=按位宽/类型; max=按位宽/类型; unit=-; receivers=-</x:v>
      </x:c>
      <x:c r="D22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24" s="144" t="str">
        <x:v>M2</x:v>
      </x:c>
      <x:c r="F224" s="144" t="str">
        <x:v>Signal 级可编辑配置、数据类型/缩放/端序合同、RTE 接口、边界值与 round-trip 测试。</x:v>
      </x:c>
      <x:c r="G224" s="144" t="str">
        <x:v>raw=0、raw=max、物理 min/max、越界/保留值、端序字节向量、pack→unpack round-trip；1457/1457 通过。</x:v>
      </x:c>
      <x:c r="H224" s="144" t="str">
        <x:v>coem/BYD_UKE/gen_bsw/Com/Com_PBcfg.c:4401</x:v>
      </x:c>
    </x:row>
    <x:row r="225" ht="72" customHeight="1">
      <x:c r="A225" s="144" t="str">
        <x:v>Com-Signal</x:v>
      </x:c>
      <x:c r="B225" s="144" t="str">
        <x:v>COM-SIG-Tx-0083 / RFL_FCTBSysSts_Tx</x:v>
      </x:c>
      <x:c r="C225" s="144" t="str">
        <x:v>PDU=RFL_50msPDU_Tx; startBit=32; length=3; byteOrder=Little; type=UINT8; factor=1; offset=0; min=0; max=7; unit=-; receivers=DASy</x:v>
      </x:c>
      <x:c r="D2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5" s="144" t="str">
        <x:v>M2</x:v>
      </x:c>
      <x:c r="F225" s="144" t="str">
        <x:v>Signal 级可编辑配置、数据类型/缩放/端序合同、RTE 接口、边界值与 round-trip 测试。</x:v>
      </x:c>
      <x:c r="G225" s="144" t="str">
        <x:v>raw=0、raw=max、物理 min/max、越界/保留值、端序字节向量、pack→unpack round-trip；1457/1457 通过。</x:v>
      </x:c>
      <x:c r="H225" s="144" t="str">
        <x:v>coem/BYD_UKE/gen_bsw/Com/Com_PBcfg.c:4454; BYD_5R1V_RadarRearcorner_V2.5_AllNodes.dbc:47</x:v>
      </x:c>
    </x:row>
    <x:row r="226" ht="72" customHeight="1">
      <x:c r="A226" s="144" t="str">
        <x:v>Com-Signal</x:v>
      </x:c>
      <x:c r="B226" s="144" t="str">
        <x:v>COM-SIG-Tx-0084 / RFL_LFCTAWrnng_Tx</x:v>
      </x:c>
      <x:c r="C226" s="144" t="str">
        <x:v>PDU=RFL_50msPDU_Tx; startBit=42; length=2; byteOrder=Little; type=UINT8; factor=1; offset=0; min=0; max=3; unit=-; receivers=DASy</x:v>
      </x:c>
      <x:c r="D2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6" s="144" t="str">
        <x:v>M2</x:v>
      </x:c>
      <x:c r="F226" s="144" t="str">
        <x:v>Signal 级可编辑配置、数据类型/缩放/端序合同、RTE 接口、边界值与 round-trip 测试。</x:v>
      </x:c>
      <x:c r="G226" s="144" t="str">
        <x:v>raw=0、raw=max、物理 min/max、越界/保留值、端序字节向量、pack→unpack round-trip；1457/1457 通过。</x:v>
      </x:c>
      <x:c r="H226" s="144" t="str">
        <x:v>coem/BYD_UKE/gen_bsw/Com/Com_PBcfg.c:4507; BYD_5R1V_RadarRearcorner_V2.5_AllNodes.dbc:46</x:v>
      </x:c>
    </x:row>
    <x:row r="227" ht="72" customHeight="1">
      <x:c r="A227" s="144" t="str">
        <x:v>Com-Signal</x:v>
      </x:c>
      <x:c r="B227" s="144" t="str">
        <x:v>COM-SIG-Tx-0085 / RRL_50msPDU_AliveCtr_Tx</x:v>
      </x:c>
      <x:c r="C227" s="144" t="str">
        <x:v>PDU=RRL_50msPDU_Tx; startBit=16; length=8; byteOrder=Little; type=UINT8; factor=1; offset=0; min=0; max=255; unit=-; receivers=DASy</x:v>
      </x:c>
      <x:c r="D2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7" s="144" t="str">
        <x:v>M2</x:v>
      </x:c>
      <x:c r="F227" s="144" t="str">
        <x:v>Signal 级可编辑配置、数据类型/缩放/端序合同、RTE 接口、边界值与 round-trip 测试。</x:v>
      </x:c>
      <x:c r="G227" s="144" t="str">
        <x:v>raw=0、raw=max、物理 min/max、越界/保留值、端序字节向量、pack→unpack round-trip；1457/1457 通过。</x:v>
      </x:c>
      <x:c r="H227" s="144" t="str">
        <x:v>coem/BYD_UKE/gen_bsw/Com/Com_PBcfg.c:4560; BYD_5R1V_RadarRearcorner_V2.5_AllNodes.dbc:69</x:v>
      </x:c>
    </x:row>
    <x:row r="228" ht="72" customHeight="1">
      <x:c r="A228" s="144" t="str">
        <x:v>Com-Signal</x:v>
      </x:c>
      <x:c r="B228" s="144" t="str">
        <x:v>COM-SIG-Tx-0086 / RRL_50msPDU_CRC_Tx</x:v>
      </x:c>
      <x:c r="C228" s="144" t="str">
        <x:v>PDU=RRL_50msPDU_Tx; startBit=0; length=16; byteOrder=Little; type=UINT16; factor=1; offset=0; min=0; max=65535; unit=-; receivers=DASy</x:v>
      </x:c>
      <x:c r="D22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8" s="144" t="str">
        <x:v>M2</x:v>
      </x:c>
      <x:c r="F228" s="144" t="str">
        <x:v>Signal 级可编辑配置、数据类型/缩放/端序合同、RTE 接口、边界值与 round-trip 测试。</x:v>
      </x:c>
      <x:c r="G228" s="144" t="str">
        <x:v>raw=0、raw=max、物理 min/max、越界/保留值、端序字节向量、pack→unpack round-trip；1457/1457 通过。</x:v>
      </x:c>
      <x:c r="H228" s="144" t="str">
        <x:v>coem/BYD_UKE/gen_bsw/Com/Com_PBcfg.c:4613; BYD_5R1V_RadarRearcorner_V2.5_AllNodes.dbc:68</x:v>
      </x:c>
    </x:row>
    <x:row r="229" ht="72" customHeight="1">
      <x:c r="A229" s="144" t="str">
        <x:v>Com-Signal</x:v>
      </x:c>
      <x:c r="B229" s="144" t="str">
        <x:v>COM-SIG-Tx-0087 / RRL_BSDSelSts_Tx</x:v>
      </x:c>
      <x:c r="C229" s="144" t="str">
        <x:v>PDU=RRL_50msPDU_Tx; startBit=42; length=2; byteOrder=Little; type=UINT8; factor=1; offset=0; min=0; max=3; unit=-; receivers=DASy</x:v>
      </x:c>
      <x:c r="D2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29" s="144" t="str">
        <x:v>M2</x:v>
      </x:c>
      <x:c r="F229" s="144" t="str">
        <x:v>Signal 级可编辑配置、数据类型/缩放/端序合同、RTE 接口、边界值与 round-trip 测试。</x:v>
      </x:c>
      <x:c r="G229" s="144" t="str">
        <x:v>raw=0、raw=max、物理 min/max、越界/保留值、端序字节向量、pack→unpack round-trip；1457/1457 通过。</x:v>
      </x:c>
      <x:c r="H229" s="144" t="str">
        <x:v>coem/BYD_UKE/gen_bsw/Com/Com_PBcfg.c:4666; BYD_5R1V_RadarRearcorner_V2.5_AllNodes.dbc:67</x:v>
      </x:c>
    </x:row>
    <x:row r="230" ht="72" customHeight="1">
      <x:c r="A230" s="144" t="str">
        <x:v>Com-Signal</x:v>
      </x:c>
      <x:c r="B230" s="144" t="str">
        <x:v>COM-SIG-Tx-0088 / RRL_DOWSelSts_Tx</x:v>
      </x:c>
      <x:c r="C230" s="144" t="str">
        <x:v>PDU=RRL_50msPDU_Tx; startBit=28; length=2; byteOrder=Little; type=UINT8; factor=1; offset=0; min=0; max=3; unit=-; receivers=DASy</x:v>
      </x:c>
      <x:c r="D2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0" s="144" t="str">
        <x:v>M2</x:v>
      </x:c>
      <x:c r="F230" s="144" t="str">
        <x:v>Signal 级可编辑配置、数据类型/缩放/端序合同、RTE 接口、边界值与 round-trip 测试。</x:v>
      </x:c>
      <x:c r="G230" s="144" t="str">
        <x:v>raw=0、raw=max、物理 min/max、越界/保留值、端序字节向量、pack→unpack round-trip；1457/1457 通过。</x:v>
      </x:c>
      <x:c r="H230" s="144" t="str">
        <x:v>coem/BYD_UKE/gen_bsw/Com/Com_PBcfg.c:4719; BYD_5R1V_RadarRearcorner_V2.5_AllNodes.dbc:66</x:v>
      </x:c>
    </x:row>
    <x:row r="231" ht="72" customHeight="1">
      <x:c r="A231" s="144" t="str">
        <x:v>Com-Signal</x:v>
      </x:c>
      <x:c r="B231" s="144" t="str">
        <x:v>COM-SIG-Tx-0089 / RRL_LBSDAndLCAWrnng_Tx</x:v>
      </x:c>
      <x:c r="C231" s="144" t="str">
        <x:v>PDU=RRL_50msPDU_Tx; startBit=26; length=2; byteOrder=Little; type=UINT8; factor=1; offset=0; min=0; max=3; unit=-; receivers=DASy</x:v>
      </x:c>
      <x:c r="D2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1" s="144" t="str">
        <x:v>M2</x:v>
      </x:c>
      <x:c r="F231" s="144" t="str">
        <x:v>Signal 级可编辑配置、数据类型/缩放/端序合同、RTE 接口、边界值与 round-trip 测试。</x:v>
      </x:c>
      <x:c r="G231" s="144" t="str">
        <x:v>raw=0、raw=max、物理 min/max、越界/保留值、端序字节向量、pack→unpack round-trip；1457/1457 通过。</x:v>
      </x:c>
      <x:c r="H231" s="144" t="str">
        <x:v>coem/BYD_UKE/gen_bsw/Com/Com_PBcfg.c:4772; BYD_5R1V_RadarRearcorner_V2.5_AllNodes.dbc:65</x:v>
      </x:c>
    </x:row>
    <x:row r="232" ht="72" customHeight="1">
      <x:c r="A232" s="144" t="str">
        <x:v>Com-Signal</x:v>
      </x:c>
      <x:c r="B232" s="144" t="str">
        <x:v>COM-SIG-Tx-0090 / RRL_LDOWWrnng_Tx</x:v>
      </x:c>
      <x:c r="C232" s="144" t="str">
        <x:v>PDU=RRL_50msPDU_Tx; startBit=30; length=2; byteOrder=Little; type=UINT8; factor=1; offset=0; min=0; max=3; unit=-; receivers=DASy</x:v>
      </x:c>
      <x:c r="D2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2" s="144" t="str">
        <x:v>M2</x:v>
      </x:c>
      <x:c r="F232" s="144" t="str">
        <x:v>Signal 级可编辑配置、数据类型/缩放/端序合同、RTE 接口、边界值与 round-trip 测试。</x:v>
      </x:c>
      <x:c r="G232" s="144" t="str">
        <x:v>raw=0、raw=max、物理 min/max、越界/保留值、端序字节向量、pack→unpack round-trip；1457/1457 通过。</x:v>
      </x:c>
      <x:c r="H232" s="144" t="str">
        <x:v>coem/BYD_UKE/gen_bsw/Com/Com_PBcfg.c:4825; BYD_5R1V_RadarRearcorner_V2.5_AllNodes.dbc:64</x:v>
      </x:c>
    </x:row>
    <x:row r="233" ht="72" customHeight="1">
      <x:c r="A233" s="144" t="str">
        <x:v>Com-Signal</x:v>
      </x:c>
      <x:c r="B233" s="144" t="str">
        <x:v>COM-SIG-Tx-0091 / RRL_LRCTAWrnng_Tx</x:v>
      </x:c>
      <x:c r="C233" s="144" t="str">
        <x:v>PDU=RRL_50msPDU_Tx; startBit=24; length=2; byteOrder=Little; type=UINT8; factor=1; offset=0; min=0; max=3; unit=-; receivers=DASy</x:v>
      </x:c>
      <x:c r="D2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3" s="144" t="str">
        <x:v>M2</x:v>
      </x:c>
      <x:c r="F233" s="144" t="str">
        <x:v>Signal 级可编辑配置、数据类型/缩放/端序合同、RTE 接口、边界值与 round-trip 测试。</x:v>
      </x:c>
      <x:c r="G233" s="144" t="str">
        <x:v>raw=0、raw=max、物理 min/max、越界/保留值、端序字节向量、pack→unpack round-trip；1457/1457 通过。</x:v>
      </x:c>
      <x:c r="H233" s="144" t="str">
        <x:v>coem/BYD_UKE/gen_bsw/Com/Com_PBcfg.c:4878; BYD_5R1V_RadarRearcorner_V2.5_AllNodes.dbc:63</x:v>
      </x:c>
    </x:row>
    <x:row r="234" ht="72" customHeight="1">
      <x:c r="A234" s="144" t="str">
        <x:v>Com-Signal</x:v>
      </x:c>
      <x:c r="B234" s="144" t="str">
        <x:v>COM-SIG-Tx-0092 / RRL_RCTBReq_Tx</x:v>
      </x:c>
      <x:c r="C234" s="144" t="str">
        <x:v>PDU=RRL_50msPDU_Tx; startBit=51; length=2; byteOrder=Little; type=UINT8; factor=1; offset=0; min=0; max=3; unit=-; receivers=DASy</x:v>
      </x:c>
      <x:c r="D2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4" s="144" t="str">
        <x:v>M2</x:v>
      </x:c>
      <x:c r="F234" s="144" t="str">
        <x:v>Signal 级可编辑配置、数据类型/缩放/端序合同、RTE 接口、边界值与 round-trip 测试。</x:v>
      </x:c>
      <x:c r="G234" s="144" t="str">
        <x:v>raw=0、raw=max、物理 min/max、越界/保留值、端序字节向量、pack→unpack round-trip；1457/1457 通过。</x:v>
      </x:c>
      <x:c r="H234" s="144" t="str">
        <x:v>coem/BYD_UKE/gen_bsw/Com/Com_PBcfg.c:4931; BYD_5R1V_RadarRearcorner_V2.5_AllNodes.dbc:62</x:v>
      </x:c>
    </x:row>
    <x:row r="235" ht="72" customHeight="1">
      <x:c r="A235" s="144" t="str">
        <x:v>Com-Signal</x:v>
      </x:c>
      <x:c r="B235" s="144" t="str">
        <x:v>COM-SIG-Tx-0093 / RRL_RCTBSysSta_Tx</x:v>
      </x:c>
      <x:c r="C235" s="144" t="str">
        <x:v>PDU=RRL_50msPDU_Tx; startBit=48; length=3; byteOrder=Little; type=UINT8; factor=1; offset=0; min=0; max=7; unit=-; receivers=DASy</x:v>
      </x:c>
      <x:c r="D2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5" s="144" t="str">
        <x:v>M2</x:v>
      </x:c>
      <x:c r="F235" s="144" t="str">
        <x:v>Signal 级可编辑配置、数据类型/缩放/端序合同、RTE 接口、边界值与 round-trip 测试。</x:v>
      </x:c>
      <x:c r="G235" s="144" t="str">
        <x:v>raw=0、raw=max、物理 min/max、越界/保留值、端序字节向量、pack→unpack round-trip；1457/1457 通过。</x:v>
      </x:c>
      <x:c r="H235" s="144" t="str">
        <x:v>coem/BYD_UKE/gen_bsw/Com/Com_PBcfg.c:4984; BYD_5R1V_RadarRearcorner_V2.5_AllNodes.dbc:61</x:v>
      </x:c>
    </x:row>
    <x:row r="236" ht="72" customHeight="1">
      <x:c r="A236" s="144" t="str">
        <x:v>Com-Signal</x:v>
      </x:c>
      <x:c r="B236" s="144" t="str">
        <x:v>COM-SIG-Tx-0094 / RRL_RCTBTrgtDcl_Tx</x:v>
      </x:c>
      <x:c r="C236" s="144" t="str">
        <x:v>PDU=RRL_50msPDU_Tx; startBit=56; length=8; byteOrder=Little; type=UINT8; factor=0.1; offset=-12.7; min=-12.7; max=12.8; unit=m/s^2; receivers=DASy</x:v>
      </x:c>
      <x:c r="D2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6" s="144" t="str">
        <x:v>M2</x:v>
      </x:c>
      <x:c r="F236" s="144" t="str">
        <x:v>Signal 级可编辑配置、数据类型/缩放/端序合同、RTE 接口、边界值与 round-trip 测试。</x:v>
      </x:c>
      <x:c r="G236" s="144" t="str">
        <x:v>raw=0、raw=max、物理 min/max、越界/保留值、端序字节向量、pack→unpack round-trip；1457/1457 通过。</x:v>
      </x:c>
      <x:c r="H236" s="144" t="str">
        <x:v>coem/BYD_UKE/gen_bsw/Com/Com_PBcfg.c:5037; BYD_5R1V_RadarRearcorner_V2.5_AllNodes.dbc:60</x:v>
      </x:c>
    </x:row>
    <x:row r="237" ht="72" customHeight="1">
      <x:c r="A237" s="144" t="str">
        <x:v>Com-Signal</x:v>
      </x:c>
      <x:c r="B237" s="144" t="str">
        <x:v>COM-SIG-Tx-0095 / RRL_RCTSysSelSts_Tx</x:v>
      </x:c>
      <x:c r="C237" s="144" t="str">
        <x:v>PDU=RRL_50msPDU_Tx; startBit=34; length=2; byteOrder=Little; type=UINT8; factor=1; offset=0; min=0; max=3; unit=-; receivers=DASy</x:v>
      </x:c>
      <x:c r="D2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7" s="144" t="str">
        <x:v>M2</x:v>
      </x:c>
      <x:c r="F237" s="144" t="str">
        <x:v>Signal 级可编辑配置、数据类型/缩放/端序合同、RTE 接口、边界值与 round-trip 测试。</x:v>
      </x:c>
      <x:c r="G237" s="144" t="str">
        <x:v>raw=0、raw=max、物理 min/max、越界/保留值、端序字节向量、pack→unpack round-trip；1457/1457 通过。</x:v>
      </x:c>
      <x:c r="H237" s="144" t="str">
        <x:v>coem/BYD_UKE/gen_bsw/Com/Com_PBcfg.c:5090; BYD_5R1V_RadarRearcorner_V2.5_AllNodes.dbc:59</x:v>
      </x:c>
    </x:row>
    <x:row r="238" ht="72" customHeight="1">
      <x:c r="A238" s="144" t="str">
        <x:v>Com-Signal</x:v>
      </x:c>
      <x:c r="B238" s="144" t="str">
        <x:v>COM-SIG-Tx-0096 / RRL_RCWSelSts_Tx</x:v>
      </x:c>
      <x:c r="C238" s="144" t="str">
        <x:v>PDU=RRL_50msPDU_Tx; startBit=40; length=2; byteOrder=Little; type=UINT8; factor=1; offset=0; min=0; max=3; unit=-; receivers=DASy</x:v>
      </x:c>
      <x:c r="D23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8" s="144" t="str">
        <x:v>M2</x:v>
      </x:c>
      <x:c r="F238" s="144" t="str">
        <x:v>Signal 级可编辑配置、数据类型/缩放/端序合同、RTE 接口、边界值与 round-trip 测试。</x:v>
      </x:c>
      <x:c r="G238" s="144" t="str">
        <x:v>raw=0、raw=max、物理 min/max、越界/保留值、端序字节向量、pack→unpack round-trip；1457/1457 通过。</x:v>
      </x:c>
      <x:c r="H238" s="144" t="str">
        <x:v>coem/BYD_UKE/gen_bsw/Com/Com_PBcfg.c:5143; BYD_5R1V_RadarRearcorner_V2.5_AllNodes.dbc:58</x:v>
      </x:c>
    </x:row>
    <x:row r="239" ht="72" customHeight="1">
      <x:c r="A239" s="144" t="str">
        <x:v>Com-Signal</x:v>
      </x:c>
      <x:c r="B239" s="144" t="str">
        <x:v>COM-SIG-Tx-0097 / RRL_RCWWrnng_Tx</x:v>
      </x:c>
      <x:c r="C239" s="144" t="str">
        <x:v>PDU=RRL_50msPDU_Tx; startBit=32; length=2; byteOrder=Little; type=UINT8; factor=1; offset=0; min=0; max=3; unit=-; receivers=DASy</x:v>
      </x:c>
      <x:c r="D2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39" s="144" t="str">
        <x:v>M2</x:v>
      </x:c>
      <x:c r="F239" s="144" t="str">
        <x:v>Signal 级可编辑配置、数据类型/缩放/端序合同、RTE 接口、边界值与 round-trip 测试。</x:v>
      </x:c>
      <x:c r="G239" s="144" t="str">
        <x:v>raw=0、raw=max、物理 min/max、越界/保留值、端序字节向量、pack→unpack round-trip；1457/1457 通过。</x:v>
      </x:c>
      <x:c r="H239" s="144" t="str">
        <x:v>coem/BYD_UKE/gen_bsw/Com/Com_PBcfg.c:5196; BYD_5R1V_RadarRearcorner_V2.5_AllNodes.dbc:57</x:v>
      </x:c>
    </x:row>
    <x:row r="240" ht="72" customHeight="1">
      <x:c r="A240" s="144" t="str">
        <x:v>Com-Signal</x:v>
      </x:c>
      <x:c r="B240" s="144" t="str">
        <x:v>COM-SIG-Tx-0098 / RRL_System_status_Tx</x:v>
      </x:c>
      <x:c r="C240" s="144" t="str">
        <x:v>PDU=RRL_50msPDU_Tx; startBit=46; length=2; byteOrder=Little; type=UINT8; factor=1; offset=0; min=0; max=3; unit=-; receivers=DASy</x:v>
      </x:c>
      <x:c r="D2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0" s="144" t="str">
        <x:v>M2</x:v>
      </x:c>
      <x:c r="F240" s="144" t="str">
        <x:v>Signal 级可编辑配置、数据类型/缩放/端序合同、RTE 接口、边界值与 round-trip 测试。</x:v>
      </x:c>
      <x:c r="G240" s="144" t="str">
        <x:v>raw=0、raw=max、物理 min/max、越界/保留值、端序字节向量、pack→unpack round-trip；1457/1457 通过。</x:v>
      </x:c>
      <x:c r="H240" s="144" t="str">
        <x:v>coem/BYD_UKE/gen_bsw/Com/Com_PBcfg.c:5249; BYD_5R1V_RadarRearcorner_V2.5_AllNodes.dbc:56</x:v>
      </x:c>
    </x:row>
    <x:row r="241" ht="72" customHeight="1">
      <x:c r="A241" s="144" t="str">
        <x:v>Com-Signal</x:v>
      </x:c>
      <x:c r="B241" s="144" t="str">
        <x:v>COM-SIG-Tx-0099 / RRR_Modulation_Status</x:v>
      </x:c>
      <x:c r="C241" s="144" t="str">
        <x:v>PDU=RRR_Status; startBit=16; length=2; byteOrder=Little; type=UINT8; factor=1; offset=0; min=0; max=3; unit=-; receivers=DASy,RadarRearLeft</x:v>
      </x:c>
      <x:c r="D2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1" s="144" t="str">
        <x:v>M2</x:v>
      </x:c>
      <x:c r="F241" s="144" t="str">
        <x:v>Signal 级可编辑配置、数据类型/缩放/端序合同、RTE 接口、边界值与 round-trip 测试。</x:v>
      </x:c>
      <x:c r="G241" s="144" t="str">
        <x:v>raw=0、raw=max、物理 min/max、越界/保留值、端序字节向量、pack→unpack round-trip；1457/1457 通过。</x:v>
      </x:c>
      <x:c r="H241" s="144" t="str">
        <x:v>coem/BYD_UKE/gen_bsw/Com/Com_PBcfg.c:5302; BYD_5R1V_RadarRearcorner_V2.5_AllNodes.dbc:122</x:v>
      </x:c>
    </x:row>
    <x:row r="242" ht="72" customHeight="1">
      <x:c r="A242" s="144" t="str">
        <x:v>Com-Signal</x:v>
      </x:c>
      <x:c r="B242" s="144" t="str">
        <x:v>COM-SIG-Tx-0100 / RRR_Status_AliveCtr</x:v>
      </x:c>
      <x:c r="C242" s="144" t="str">
        <x:v>PDU=RRR_Status; startBit=8; length=4; byteOrder=Little; type=UINT8; factor=1; offset=0; min=0; max=14; unit=-; receivers=DASy,RadarRearLeft</x:v>
      </x:c>
      <x:c r="D2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2" s="144" t="str">
        <x:v>M2</x:v>
      </x:c>
      <x:c r="F242" s="144" t="str">
        <x:v>Signal 级可编辑配置、数据类型/缩放/端序合同、RTE 接口、边界值与 round-trip 测试。</x:v>
      </x:c>
      <x:c r="G242" s="144" t="str">
        <x:v>raw=0、raw=max、物理 min/max、越界/保留值、端序字节向量、pack→unpack round-trip；1457/1457 通过。</x:v>
      </x:c>
      <x:c r="H242" s="144" t="str">
        <x:v>coem/BYD_UKE/gen_bsw/Com/Com_PBcfg.c:5355; BYD_5R1V_RadarRearcorner_V2.5_AllNodes.dbc:120</x:v>
      </x:c>
    </x:row>
    <x:row r="243" ht="72" customHeight="1">
      <x:c r="A243" s="144" t="str">
        <x:v>Com-Signal</x:v>
      </x:c>
      <x:c r="B243" s="144" t="str">
        <x:v>COM-SIG-Tx-0101 / RRR_Status_CRC</x:v>
      </x:c>
      <x:c r="C243" s="144" t="str">
        <x:v>PDU=RRR_Status; startBit=0; length=8; byteOrder=Little; type=UINT8; factor=1; offset=0; min=0; max=255; unit=-; receivers=DASy,RadarRearLeft</x:v>
      </x:c>
      <x:c r="D2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3" s="144" t="str">
        <x:v>M2</x:v>
      </x:c>
      <x:c r="F243" s="144" t="str">
        <x:v>Signal 级可编辑配置、数据类型/缩放/端序合同、RTE 接口、边界值与 round-trip 测试。</x:v>
      </x:c>
      <x:c r="G243" s="144" t="str">
        <x:v>raw=0、raw=max、物理 min/max、越界/保留值、端序字节向量、pack→unpack round-trip；1457/1457 通过。</x:v>
      </x:c>
      <x:c r="H243" s="144" t="str">
        <x:v>coem/BYD_UKE/gen_bsw/Com/Com_PBcfg.c:5408; BYD_5R1V_RadarRearcorner_V2.5_AllNodes.dbc:119</x:v>
      </x:c>
    </x:row>
    <x:row r="244" ht="72" customHeight="1">
      <x:c r="A244" s="144" t="str">
        <x:v>Com-Signal</x:v>
      </x:c>
      <x:c r="B244" s="144" t="str">
        <x:v>COM-SIG-Tx-0102 / RRR_Status_SensorState</x:v>
      </x:c>
      <x:c r="C244" s="144" t="str">
        <x:v>PDU=RRR_Status; startBit=12; length=4; byteOrder=Little; type=UINT8; factor=1; offset=0; min=0; max=15; unit=-; receivers=DASy,RadarRearLeft</x:v>
      </x:c>
      <x:c r="D2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4" s="144" t="str">
        <x:v>M2</x:v>
      </x:c>
      <x:c r="F244" s="144" t="str">
        <x:v>Signal 级可编辑配置、数据类型/缩放/端序合同、RTE 接口、边界值与 round-trip 测试。</x:v>
      </x:c>
      <x:c r="G244" s="144" t="str">
        <x:v>raw=0、raw=max、物理 min/max、越界/保留值、端序字节向量、pack→unpack round-trip；1457/1457 通过。</x:v>
      </x:c>
      <x:c r="H244" s="144" t="str">
        <x:v>coem/BYD_UKE/gen_bsw/Com/Com_PBcfg.c:5461; BYD_5R1V_RadarRearcorner_V2.5_AllNodes.dbc:121</x:v>
      </x:c>
    </x:row>
    <x:row r="245" ht="72" customHeight="1">
      <x:c r="A245" s="144" t="str">
        <x:v>Com-Signal</x:v>
      </x:c>
      <x:c r="B245" s="144" t="str">
        <x:v>COM-SIG-Tx-0103 / TrigFastPeriod_RXX_Status_S</x:v>
      </x:c>
      <x:c r="C245" s="144" t="str">
        <x:v>PDU=RRR_Status; startBit=48; length=1; byteOrder=Little; type=UINT8; factor=1（Com原始值）; offset=0（Com原始值）; min=按位宽/类型; max=按位宽/类型; unit=-; receivers=-</x:v>
      </x:c>
      <x:c r="D245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45" s="144" t="str">
        <x:v>M2</x:v>
      </x:c>
      <x:c r="F245" s="144" t="str">
        <x:v>Signal 级可编辑配置、数据类型/缩放/端序合同、RTE 接口、边界值与 round-trip 测试。</x:v>
      </x:c>
      <x:c r="G245" s="144" t="str">
        <x:v>raw=0、raw=max、物理 min/max、越界/保留值、端序字节向量、pack→unpack round-trip；1457/1457 通过。</x:v>
      </x:c>
      <x:c r="H245" s="144" t="str">
        <x:v>coem/BYD_UKE/gen_bsw/Com/Com_PBcfg.c:5514</x:v>
      </x:c>
    </x:row>
    <x:row r="246" ht="72" customHeight="1">
      <x:c r="A246" s="144" t="str">
        <x:v>Com-Signal</x:v>
      </x:c>
      <x:c r="B246" s="144" t="str">
        <x:v>COM-SIG-Tx-0104 / RRR_BSDSelReq</x:v>
      </x:c>
      <x:c r="C246" s="144" t="str">
        <x:v>PDU=RRR_HU_SelReq; startBit=12; length=2; byteOrder=Little; type=UINT8; factor=1; offset=0; min=0; max=3; unit=-; receivers=RadarRearLeft</x:v>
      </x:c>
      <x:c r="D2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6" s="144" t="str">
        <x:v>M2</x:v>
      </x:c>
      <x:c r="F246" s="144" t="str">
        <x:v>Signal 级可编辑配置、数据类型/缩放/端序合同、RTE 接口、边界值与 round-trip 测试。</x:v>
      </x:c>
      <x:c r="G246" s="144" t="str">
        <x:v>raw=0、raw=max、物理 min/max、越界/保留值、端序字节向量、pack→unpack round-trip；1457/1457 通过。</x:v>
      </x:c>
      <x:c r="H246" s="144" t="str">
        <x:v>coem/BYD_UKE/gen_bsw/Com/Com_PBcfg.c:5567; BYD_5R1V_RadarRearcorner_V2.5_AllNodes.dbc:106</x:v>
      </x:c>
    </x:row>
    <x:row r="247" ht="72" customHeight="1">
      <x:c r="A247" s="144" t="str">
        <x:v>Com-Signal</x:v>
      </x:c>
      <x:c r="B247" s="144" t="str">
        <x:v>COM-SIG-Tx-0105 / RRR_DOWSelReq</x:v>
      </x:c>
      <x:c r="C247" s="144" t="str">
        <x:v>PDU=RRR_HU_SelReq; startBit=14; length=2; byteOrder=Little; type=UINT8; factor=1; offset=0; min=0; max=3; unit=-; receivers=RadarRearLeft</x:v>
      </x:c>
      <x:c r="D2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7" s="144" t="str">
        <x:v>M2</x:v>
      </x:c>
      <x:c r="F247" s="144" t="str">
        <x:v>Signal 级可编辑配置、数据类型/缩放/端序合同、RTE 接口、边界值与 round-trip 测试。</x:v>
      </x:c>
      <x:c r="G247" s="144" t="str">
        <x:v>raw=0、raw=max、物理 min/max、越界/保留值、端序字节向量、pack→unpack round-trip；1457/1457 通过。</x:v>
      </x:c>
      <x:c r="H247" s="144" t="str">
        <x:v>coem/BYD_UKE/gen_bsw/Com/Com_PBcfg.c:5620; BYD_5R1V_RadarRearcorner_V2.5_AllNodes.dbc:107</x:v>
      </x:c>
    </x:row>
    <x:row r="248" ht="72" customHeight="1">
      <x:c r="A248" s="144" t="str">
        <x:v>Com-Signal</x:v>
      </x:c>
      <x:c r="B248" s="144" t="str">
        <x:v>COM-SIG-Tx-0106 / RRR_HU_SelReq_AliveCtr</x:v>
      </x:c>
      <x:c r="C248" s="144" t="str">
        <x:v>PDU=RRR_HU_SelReq; startBit=8; length=4; byteOrder=Little; type=UINT8; factor=1; offset=0; min=0; max=14; unit=-; receivers=RadarRearLeft</x:v>
      </x:c>
      <x:c r="D2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8" s="144" t="str">
        <x:v>M2</x:v>
      </x:c>
      <x:c r="F248" s="144" t="str">
        <x:v>Signal 级可编辑配置、数据类型/缩放/端序合同、RTE 接口、边界值与 round-trip 测试。</x:v>
      </x:c>
      <x:c r="G248" s="144" t="str">
        <x:v>raw=0、raw=max、物理 min/max、越界/保留值、端序字节向量、pack→unpack round-trip；1457/1457 通过。</x:v>
      </x:c>
      <x:c r="H248" s="144" t="str">
        <x:v>coem/BYD_UKE/gen_bsw/Com/Com_PBcfg.c:5673; BYD_5R1V_RadarRearcorner_V2.5_AllNodes.dbc:105</x:v>
      </x:c>
    </x:row>
    <x:row r="249" ht="72" customHeight="1">
      <x:c r="A249" s="144" t="str">
        <x:v>Com-Signal</x:v>
      </x:c>
      <x:c r="B249" s="144" t="str">
        <x:v>COM-SIG-Tx-0107 / RRR_HU_SelReq_CRC</x:v>
      </x:c>
      <x:c r="C249" s="144" t="str">
        <x:v>PDU=RRR_HU_SelReq; startBit=0; length=8; byteOrder=Little; type=UINT8; factor=1; offset=0; min=0; max=255; unit=-; receivers=RadarRearLeft</x:v>
      </x:c>
      <x:c r="D2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49" s="144" t="str">
        <x:v>M2</x:v>
      </x:c>
      <x:c r="F249" s="144" t="str">
        <x:v>Signal 级可编辑配置、数据类型/缩放/端序合同、RTE 接口、边界值与 round-trip 测试。</x:v>
      </x:c>
      <x:c r="G249" s="144" t="str">
        <x:v>raw=0、raw=max、物理 min/max、越界/保留值、端序字节向量、pack→unpack round-trip；1457/1457 通过。</x:v>
      </x:c>
      <x:c r="H249" s="144" t="str">
        <x:v>coem/BYD_UKE/gen_bsw/Com/Com_PBcfg.c:5726; BYD_5R1V_RadarRearcorner_V2.5_AllNodes.dbc:104</x:v>
      </x:c>
    </x:row>
    <x:row r="250" ht="72" customHeight="1">
      <x:c r="A250" s="144" t="str">
        <x:v>Com-Signal</x:v>
      </x:c>
      <x:c r="B250" s="144" t="str">
        <x:v>COM-SIG-Tx-0108 / RRR_LCASelReq</x:v>
      </x:c>
      <x:c r="C250" s="144" t="str">
        <x:v>PDU=RRR_HU_SelReq; startBit=16; length=2; byteOrder=Little; type=UINT8; factor=1; offset=0; min=0; max=3; unit=-; receivers=RadarRearLeft</x:v>
      </x:c>
      <x:c r="D2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0" s="144" t="str">
        <x:v>M2</x:v>
      </x:c>
      <x:c r="F250" s="144" t="str">
        <x:v>Signal 级可编辑配置、数据类型/缩放/端序合同、RTE 接口、边界值与 round-trip 测试。</x:v>
      </x:c>
      <x:c r="G250" s="144" t="str">
        <x:v>raw=0、raw=max、物理 min/max、越界/保留值、端序字节向量、pack→unpack round-trip；1457/1457 通过。</x:v>
      </x:c>
      <x:c r="H250" s="144" t="str">
        <x:v>coem/BYD_UKE/gen_bsw/Com/Com_PBcfg.c:5779; BYD_5R1V_RadarRearcorner_V2.5_AllNodes.dbc:108</x:v>
      </x:c>
    </x:row>
    <x:row r="251" ht="72" customHeight="1">
      <x:c r="A251" s="144" t="str">
        <x:v>Com-Signal</x:v>
      </x:c>
      <x:c r="B251" s="144" t="str">
        <x:v>COM-SIG-Tx-0109 / RRR_RCTSysSelReq</x:v>
      </x:c>
      <x:c r="C251" s="144" t="str">
        <x:v>PDU=RRR_HU_SelReq; startBit=20; length=2; byteOrder=Little; type=UINT8; factor=1; offset=0; min=0; max=3; unit=-; receivers=RadarRearLeft</x:v>
      </x:c>
      <x:c r="D2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1" s="144" t="str">
        <x:v>M2</x:v>
      </x:c>
      <x:c r="F251" s="144" t="str">
        <x:v>Signal 级可编辑配置、数据类型/缩放/端序合同、RTE 接口、边界值与 round-trip 测试。</x:v>
      </x:c>
      <x:c r="G251" s="144" t="str">
        <x:v>raw=0、raw=max、物理 min/max、越界/保留值、端序字节向量、pack→unpack round-trip；1457/1457 通过。</x:v>
      </x:c>
      <x:c r="H251" s="144" t="str">
        <x:v>coem/BYD_UKE/gen_bsw/Com/Com_PBcfg.c:5832; BYD_5R1V_RadarRearcorner_V2.5_AllNodes.dbc:110</x:v>
      </x:c>
    </x:row>
    <x:row r="252" ht="72" customHeight="1">
      <x:c r="A252" s="144" t="str">
        <x:v>Com-Signal</x:v>
      </x:c>
      <x:c r="B252" s="144" t="str">
        <x:v>COM-SIG-Tx-0110 / RRR_RCWSelReq</x:v>
      </x:c>
      <x:c r="C252" s="144" t="str">
        <x:v>PDU=RRR_HU_SelReq; startBit=18; length=2; byteOrder=Little; type=UINT8; factor=1; offset=0; min=0; max=3; unit=-; receivers=RadarRearLeft</x:v>
      </x:c>
      <x:c r="D2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2" s="144" t="str">
        <x:v>M2</x:v>
      </x:c>
      <x:c r="F252" s="144" t="str">
        <x:v>Signal 级可编辑配置、数据类型/缩放/端序合同、RTE 接口、边界值与 round-trip 测试。</x:v>
      </x:c>
      <x:c r="G252" s="144" t="str">
        <x:v>raw=0、raw=max、物理 min/max、越界/保留值、端序字节向量、pack→unpack round-trip；1457/1457 通过。</x:v>
      </x:c>
      <x:c r="H252" s="144" t="str">
        <x:v>coem/BYD_UKE/gen_bsw/Com/Com_PBcfg.c:5885; BYD_5R1V_RadarRearcorner_V2.5_AllNodes.dbc:109</x:v>
      </x:c>
    </x:row>
    <x:row r="253" ht="72" customHeight="1">
      <x:c r="A253" s="144" t="str">
        <x:v>Com-Signal</x:v>
      </x:c>
      <x:c r="B253" s="144" t="str">
        <x:v>COM-SIG-Tx-0111 / BSD_Assemble_Status_S</x:v>
      </x:c>
      <x:c r="C253" s="144" t="str">
        <x:v>PDU=RCR_R_0x453; startBit=4; length=1; byteOrder=Little; type=UINT8; factor=1; offset=0; min=0; max=1; unit=-; receivers=Vector__XXX</x:v>
      </x:c>
      <x:c r="D2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3" s="144" t="str">
        <x:v>M2</x:v>
      </x:c>
      <x:c r="F253" s="144" t="str">
        <x:v>Signal 级可编辑配置、数据类型/缩放/端序合同、RTE 接口、边界值与 round-trip 测试。</x:v>
      </x:c>
      <x:c r="G253" s="144" t="str">
        <x:v>raw=0、raw=max、物理 min/max、越界/保留值、端序字节向量、pack→unpack round-trip；1457/1457 通过。</x:v>
      </x:c>
      <x:c r="H253" s="144" t="str">
        <x:v>coem/BYD_UKE/gen_bsw/Com/Com_PBcfg.c:5938; BoschOversea_StandardCANFD_commplatform_RCR_CAN_Matrix_V4.18.2_20251104.dbc:269</x:v>
      </x:c>
    </x:row>
    <x:row r="254" ht="72" customHeight="1">
      <x:c r="A254" s="144" t="str">
        <x:v>Com-Signal</x:v>
      </x:c>
      <x:c r="B254" s="144" t="str">
        <x:v>COM-SIG-Tx-0112 / BSD_LCW_Audio_Status_S</x:v>
      </x:c>
      <x:c r="C254" s="144" t="str">
        <x:v>PDU=RCR_R_0x453; startBit=19; length=3; byteOrder=Little; type=UINT8; factor=1; offset=0; min=0; max=7; unit=-; receivers=Media</x:v>
      </x:c>
      <x:c r="D2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4" s="144" t="str">
        <x:v>M2</x:v>
      </x:c>
      <x:c r="F254" s="144" t="str">
        <x:v>Signal 级可编辑配置、数据类型/缩放/端序合同、RTE 接口、边界值与 round-trip 测试。</x:v>
      </x:c>
      <x:c r="G254" s="144" t="str">
        <x:v>raw=0、raw=max、物理 min/max、越界/保留值、端序字节向量、pack→unpack round-trip；1457/1457 通过。</x:v>
      </x:c>
      <x:c r="H254" s="144" t="str">
        <x:v>coem/BYD_UKE/gen_bsw/Com/Com_PBcfg.c:5991; BoschOversea_StandardCANFD_commplatform_RCR_CAN_Matrix_V4.18.2_20251104.dbc:276</x:v>
      </x:c>
    </x:row>
    <x:row r="255" ht="72" customHeight="1">
      <x:c r="A255" s="144" t="str">
        <x:v>Com-Signal</x:v>
      </x:c>
      <x:c r="B255" s="144" t="str">
        <x:v>COM-SIG-Tx-0113 / BSD_LCW_Gray_Sts</x:v>
      </x:c>
      <x:c r="C255" s="144" t="str">
        <x:v>PDU=RCR_R_0x453; startBit=5; length=2; byteOrder=Little; type=UINT8; factor=1; offset=0; min=0; max=3; unit=-; receivers=Media</x:v>
      </x:c>
      <x:c r="D2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5" s="144" t="str">
        <x:v>M2</x:v>
      </x:c>
      <x:c r="F255" s="144" t="str">
        <x:v>Signal 级可编辑配置、数据类型/缩放/端序合同、RTE 接口、边界值与 round-trip 测试。</x:v>
      </x:c>
      <x:c r="G255" s="144" t="str">
        <x:v>raw=0、raw=max、物理 min/max、越界/保留值、端序字节向量、pack→unpack round-trip；1457/1457 通过。</x:v>
      </x:c>
      <x:c r="H255" s="144" t="str">
        <x:v>coem/BYD_UKE/gen_bsw/Com/Com_PBcfg.c:6044; BoschOversea_StandardCANFD_commplatform_RCR_CAN_Matrix_V4.18.2_20251104.dbc:270</x:v>
      </x:c>
    </x:row>
    <x:row r="256" ht="72" customHeight="1">
      <x:c r="A256" s="144" t="str">
        <x:v>Com-Signal</x:v>
      </x:c>
      <x:c r="B256" s="144" t="str">
        <x:v>COM-SIG-Tx-0114 / DOW_Assemble_Status_S</x:v>
      </x:c>
      <x:c r="C256" s="144" t="str">
        <x:v>PDU=RCR_R_0x453; startBit=3; length=1; byteOrder=Little; type=UINT8; factor=1; offset=0; min=0; max=1; unit=-; receivers=Vector__XXX</x:v>
      </x:c>
      <x:c r="D2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6" s="144" t="str">
        <x:v>M2</x:v>
      </x:c>
      <x:c r="F256" s="144" t="str">
        <x:v>Signal 级可编辑配置、数据类型/缩放/端序合同、RTE 接口、边界值与 round-trip 测试。</x:v>
      </x:c>
      <x:c r="G256" s="144" t="str">
        <x:v>raw=0、raw=max、物理 min/max、越界/保留值、端序字节向量、pack→unpack round-trip；1457/1457 通过。</x:v>
      </x:c>
      <x:c r="H256" s="144" t="str">
        <x:v>coem/BYD_UKE/gen_bsw/Com/Com_PBcfg.c:6097; BoschOversea_StandardCANFD_commplatform_RCR_CAN_Matrix_V4.18.2_20251104.dbc:268</x:v>
      </x:c>
    </x:row>
    <x:row r="257" ht="72" customHeight="1">
      <x:c r="A257" s="144" t="str">
        <x:v>Com-Signal</x:v>
      </x:c>
      <x:c r="B257" s="144" t="str">
        <x:v>COM-SIG-Tx-0115 / DOW_Gray_Sts</x:v>
      </x:c>
      <x:c r="C257" s="144" t="str">
        <x:v>PDU=RCR_R_0x453; startBit=8; length=2; byteOrder=Little; type=UINT8; factor=1; offset=0; min=0; max=3; unit=-; receivers=Media</x:v>
      </x:c>
      <x:c r="D2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7" s="144" t="str">
        <x:v>M2</x:v>
      </x:c>
      <x:c r="F257" s="144" t="str">
        <x:v>Signal 级可编辑配置、数据类型/缩放/端序合同、RTE 接口、边界值与 round-trip 测试。</x:v>
      </x:c>
      <x:c r="G257" s="144" t="str">
        <x:v>raw=0、raw=max、物理 min/max、越界/保留值、端序字节向量、pack→unpack round-trip；1457/1457 通过。</x:v>
      </x:c>
      <x:c r="H257" s="144" t="str">
        <x:v>coem/BYD_UKE/gen_bsw/Com/Com_PBcfg.c:6150; BoschOversea_StandardCANFD_commplatform_RCR_CAN_Matrix_V4.18.2_20251104.dbc:271</x:v>
      </x:c>
    </x:row>
    <x:row r="258" ht="72" customHeight="1">
      <x:c r="A258" s="144" t="str">
        <x:v>Com-Signal</x:v>
      </x:c>
      <x:c r="B258" s="144" t="str">
        <x:v>COM-SIG-Tx-0116 / RCTA_Assemble_Status_S</x:v>
      </x:c>
      <x:c r="C258" s="144" t="str">
        <x:v>PDU=RCR_R_0x453; startBit=0; length=1; byteOrder=Little; type=UINT8; factor=1; offset=0; min=0; max=1; unit=-; receivers=Vector__XXX</x:v>
      </x:c>
      <x:c r="D2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8" s="144" t="str">
        <x:v>M2</x:v>
      </x:c>
      <x:c r="F258" s="144" t="str">
        <x:v>Signal 级可编辑配置、数据类型/缩放/端序合同、RTE 接口、边界值与 round-trip 测试。</x:v>
      </x:c>
      <x:c r="G258" s="144" t="str">
        <x:v>raw=0、raw=max、物理 min/max、越界/保留值、端序字节向量、pack→unpack round-trip；1457/1457 通过。</x:v>
      </x:c>
      <x:c r="H258" s="144" t="str">
        <x:v>coem/BYD_UKE/gen_bsw/Com/Com_PBcfg.c:6203; BoschOversea_StandardCANFD_commplatform_RCR_CAN_Matrix_V4.18.2_20251104.dbc:265</x:v>
      </x:c>
    </x:row>
    <x:row r="259" ht="72" customHeight="1">
      <x:c r="A259" s="144" t="str">
        <x:v>Com-Signal</x:v>
      </x:c>
      <x:c r="B259" s="144" t="str">
        <x:v>COM-SIG-Tx-0117 / RCTA_Gray_Sts</x:v>
      </x:c>
      <x:c r="C259" s="144" t="str">
        <x:v>PDU=RCR_R_0x453; startBit=10; length=2; byteOrder=Little; type=UINT8; factor=1; offset=0; min=0; max=3; unit=-; receivers=Media</x:v>
      </x:c>
      <x:c r="D2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59" s="144" t="str">
        <x:v>M2</x:v>
      </x:c>
      <x:c r="F259" s="144" t="str">
        <x:v>Signal 级可编辑配置、数据类型/缩放/端序合同、RTE 接口、边界值与 round-trip 测试。</x:v>
      </x:c>
      <x:c r="G259" s="144" t="str">
        <x:v>raw=0、raw=max、物理 min/max、越界/保留值、端序字节向量、pack→unpack round-trip；1457/1457 通过。</x:v>
      </x:c>
      <x:c r="H259" s="144" t="str">
        <x:v>coem/BYD_UKE/gen_bsw/Com/Com_PBcfg.c:6256; BoschOversea_StandardCANFD_commplatform_RCR_CAN_Matrix_V4.18.2_20251104.dbc:272</x:v>
      </x:c>
    </x:row>
    <x:row r="260" ht="72" customHeight="1">
      <x:c r="A260" s="144" t="str">
        <x:v>Com-Signal</x:v>
      </x:c>
      <x:c r="B260" s="144" t="str">
        <x:v>COM-SIG-Tx-0118 / RCTA_RCTB_Status_S</x:v>
      </x:c>
      <x:c r="C260" s="144" t="str">
        <x:v>PDU=RCR_R_0x453; startBit=16; length=3; byteOrder=Little; type=UINT8; factor=1; offset=0; min=0; max=7; unit=-; receivers=Media</x:v>
      </x:c>
      <x:c r="D2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0" s="144" t="str">
        <x:v>M2</x:v>
      </x:c>
      <x:c r="F260" s="144" t="str">
        <x:v>Signal 级可编辑配置、数据类型/缩放/端序合同、RTE 接口、边界值与 round-trip 测试。</x:v>
      </x:c>
      <x:c r="G260" s="144" t="str">
        <x:v>raw=0、raw=max、物理 min/max、越界/保留值、端序字节向量、pack→unpack round-trip；1457/1457 通过。</x:v>
      </x:c>
      <x:c r="H260" s="144" t="str">
        <x:v>coem/BYD_UKE/gen_bsw/Com/Com_PBcfg.c:6309; BoschOversea_StandardCANFD_commplatform_RCR_CAN_Matrix_V4.18.2_20251104.dbc:275</x:v>
      </x:c>
    </x:row>
    <x:row r="261" ht="72" customHeight="1">
      <x:c r="A261" s="144" t="str">
        <x:v>Com-Signal</x:v>
      </x:c>
      <x:c r="B261" s="144" t="str">
        <x:v>COM-SIG-Tx-0119 / RCTB_Assemble_Status_S</x:v>
      </x:c>
      <x:c r="C261" s="144" t="str">
        <x:v>PDU=RCR_R_0x453; startBit=1; length=1; byteOrder=Little; type=UINT8; factor=1; offset=0; min=0; max=1; unit=-; receivers=Vector__XXX</x:v>
      </x:c>
      <x:c r="D2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1" s="144" t="str">
        <x:v>M2</x:v>
      </x:c>
      <x:c r="F261" s="144" t="str">
        <x:v>Signal 级可编辑配置、数据类型/缩放/端序合同、RTE 接口、边界值与 round-trip 测试。</x:v>
      </x:c>
      <x:c r="G261" s="144" t="str">
        <x:v>raw=0、raw=max、物理 min/max、越界/保留值、端序字节向量、pack→unpack round-trip；1457/1457 通过。</x:v>
      </x:c>
      <x:c r="H261" s="144" t="str">
        <x:v>coem/BYD_UKE/gen_bsw/Com/Com_PBcfg.c:6362; BoschOversea_StandardCANFD_commplatform_RCR_CAN_Matrix_V4.18.2_20251104.dbc:266</x:v>
      </x:c>
    </x:row>
    <x:row r="262" ht="72" customHeight="1">
      <x:c r="A262" s="144" t="str">
        <x:v>Com-Signal</x:v>
      </x:c>
      <x:c r="B262" s="144" t="str">
        <x:v>COM-SIG-Tx-0120 / RCTB_Gray_Sts</x:v>
      </x:c>
      <x:c r="C262" s="144" t="str">
        <x:v>PDU=RCR_R_0x453; startBit=12; length=2; byteOrder=Little; type=UINT8; factor=1; offset=0; min=0; max=3; unit=-; receivers=Media</x:v>
      </x:c>
      <x:c r="D26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2" s="144" t="str">
        <x:v>M2</x:v>
      </x:c>
      <x:c r="F262" s="144" t="str">
        <x:v>Signal 级可编辑配置、数据类型/缩放/端序合同、RTE 接口、边界值与 round-trip 测试。</x:v>
      </x:c>
      <x:c r="G262" s="144" t="str">
        <x:v>raw=0、raw=max、物理 min/max、越界/保留值、端序字节向量、pack→unpack round-trip；1457/1457 通过。</x:v>
      </x:c>
      <x:c r="H262" s="144" t="str">
        <x:v>coem/BYD_UKE/gen_bsw/Com/Com_PBcfg.c:6415; BoschOversea_StandardCANFD_commplatform_RCR_CAN_Matrix_V4.18.2_20251104.dbc:273</x:v>
      </x:c>
    </x:row>
    <x:row r="263" ht="72" customHeight="1">
      <x:c r="A263" s="144" t="str">
        <x:v>Com-Signal</x:v>
      </x:c>
      <x:c r="B263" s="144" t="str">
        <x:v>COM-SIG-Tx-0121 / RCW_Assemble_Status_S</x:v>
      </x:c>
      <x:c r="C263" s="144" t="str">
        <x:v>PDU=RCR_R_0x453; startBit=2; length=1; byteOrder=Little; type=UINT8; factor=1; offset=0; min=0; max=1; unit=-; receivers=Vector__XXX</x:v>
      </x:c>
      <x:c r="D2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3" s="144" t="str">
        <x:v>M2</x:v>
      </x:c>
      <x:c r="F263" s="144" t="str">
        <x:v>Signal 级可编辑配置、数据类型/缩放/端序合同、RTE 接口、边界值与 round-trip 测试。</x:v>
      </x:c>
      <x:c r="G263" s="144" t="str">
        <x:v>raw=0、raw=max、物理 min/max、越界/保留值、端序字节向量、pack→unpack round-trip；1457/1457 通过。</x:v>
      </x:c>
      <x:c r="H263" s="144" t="str">
        <x:v>coem/BYD_UKE/gen_bsw/Com/Com_PBcfg.c:6468; BoschOversea_StandardCANFD_commplatform_RCR_CAN_Matrix_V4.18.2_20251104.dbc:267</x:v>
      </x:c>
    </x:row>
    <x:row r="264" ht="72" customHeight="1">
      <x:c r="A264" s="144" t="str">
        <x:v>Com-Signal</x:v>
      </x:c>
      <x:c r="B264" s="144" t="str">
        <x:v>COM-SIG-Tx-0122 / RCW_Gray_Sts</x:v>
      </x:c>
      <x:c r="C264" s="144" t="str">
        <x:v>PDU=RCR_R_0x453; startBit=14; length=2; byteOrder=Little; type=UINT8; factor=1; offset=0; min=0; max=3; unit=-; receivers=Media</x:v>
      </x:c>
      <x:c r="D2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4" s="144" t="str">
        <x:v>M2</x:v>
      </x:c>
      <x:c r="F264" s="144" t="str">
        <x:v>Signal 级可编辑配置、数据类型/缩放/端序合同、RTE 接口、边界值与 round-trip 测试。</x:v>
      </x:c>
      <x:c r="G264" s="144" t="str">
        <x:v>raw=0、raw=max、物理 min/max、越界/保留值、端序字节向量、pack→unpack round-trip；1457/1457 通过。</x:v>
      </x:c>
      <x:c r="H264" s="144" t="str">
        <x:v>coem/BYD_UKE/gen_bsw/Com/Com_PBcfg.c:6521; BoschOversea_StandardCANFD_commplatform_RCR_CAN_Matrix_V4.18.2_20251104.dbc:274</x:v>
      </x:c>
    </x:row>
    <x:row r="265" ht="72" customHeight="1">
      <x:c r="A265" s="144" t="str">
        <x:v>Com-Signal</x:v>
      </x:c>
      <x:c r="B265" s="144" t="str">
        <x:v>COM-SIG-Tx-0123 / TrigFastPeriod_RCR_0x453_S</x:v>
      </x:c>
      <x:c r="C265" s="144" t="str">
        <x:v>PDU=RCR_R_0x453; startBit=48; length=1; byteOrder=Little; type=UINT8; factor=1（Com原始值）; offset=0（Com原始值）; min=按位宽/类型; max=按位宽/类型; unit=-; receivers=-</x:v>
      </x:c>
      <x:c r="D265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65" s="144" t="str">
        <x:v>M2</x:v>
      </x:c>
      <x:c r="F265" s="144" t="str">
        <x:v>Signal 级可编辑配置、数据类型/缩放/端序合同、RTE 接口、边界值与 round-trip 测试。</x:v>
      </x:c>
      <x:c r="G265" s="144" t="str">
        <x:v>raw=0、raw=max、物理 min/max、越界/保留值、端序字节向量、pack→unpack round-trip；1457/1457 通过。</x:v>
      </x:c>
      <x:c r="H265" s="144" t="str">
        <x:v>coem/BYD_UKE/gen_bsw/Com/Com_PBcfg.c:6574</x:v>
      </x:c>
    </x:row>
    <x:row r="266" ht="72" customHeight="1">
      <x:c r="A266" s="144" t="str">
        <x:v>Com-Signal</x:v>
      </x:c>
      <x:c r="B266" s="144" t="str">
        <x:v>COM-SIG-Tx-0124 / RRR_Obj00A_Age</x:v>
      </x:c>
      <x:c r="C266" s="144" t="str">
        <x:v>PDU=RRR_Obj00A; startBit=228; length=12; byteOrder=Little; type=UINT16; factor=1（Com原始值）; offset=0（Com原始值）; min=按位宽/类型; max=按位宽/类型; unit=-; receivers=-</x:v>
      </x:c>
      <x:c r="D26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66" s="144" t="str">
        <x:v>M2</x:v>
      </x:c>
      <x:c r="F266" s="144" t="str">
        <x:v>Signal 级可编辑配置、数据类型/缩放/端序合同、RTE 接口、边界值与 round-trip 测试。</x:v>
      </x:c>
      <x:c r="G266" s="144" t="str">
        <x:v>raw=0、raw=max、物理 min/max、越界/保留值、端序字节向量、pack→unpack round-trip；1457/1457 通过。</x:v>
      </x:c>
      <x:c r="H266" s="144" t="str">
        <x:v>coem/BYD_UKE/gen_bsw/Com/Com_PBcfg.c:6627</x:v>
      </x:c>
    </x:row>
    <x:row r="267" ht="72" customHeight="1">
      <x:c r="A267" s="144" t="str">
        <x:v>Com-Signal</x:v>
      </x:c>
      <x:c r="B267" s="144" t="str">
        <x:v>COM-SIG-Tx-0125 / RRR_Obj00A_AliveCtr</x:v>
      </x:c>
      <x:c r="C267" s="144" t="str">
        <x:v>PDU=RRR_Obj00A; startBit=16; length=8; byteOrder=Little; type=UINT8; factor=1; offset=0; min=0; max=255; unit=-; receivers=DASy</x:v>
      </x:c>
      <x:c r="D2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7" s="144" t="str">
        <x:v>M2</x:v>
      </x:c>
      <x:c r="F267" s="144" t="str">
        <x:v>Signal 级可编辑配置、数据类型/缩放/端序合同、RTE 接口、边界值与 round-trip 测试。</x:v>
      </x:c>
      <x:c r="G267" s="144" t="str">
        <x:v>raw=0、raw=max、物理 min/max、越界/保留值、端序字节向量、pack→unpack round-trip；1457/1457 通过。</x:v>
      </x:c>
      <x:c r="H267" s="144" t="str">
        <x:v>coem/BYD_UKE/gen_bsw/Com/Com_PBcfg.c:6680; BYD_5R1V_RadarRearcorner_V2.5_AllNodes.dbc:844</x:v>
      </x:c>
    </x:row>
    <x:row r="268" ht="72" customHeight="1">
      <x:c r="A268" s="144" t="str">
        <x:v>Com-Signal</x:v>
      </x:c>
      <x:c r="B268" s="144" t="str">
        <x:v>COM-SIG-Tx-0126 / RRR_Obj00A_AxAyCoVnce</x:v>
      </x:c>
      <x:c r="C268" s="144" t="str">
        <x:v>PDU=RRR_Obj00A; startBit=396; length=12; byteOrder=Little; type=UINT16; factor=0.01; offset=0; min=0; max=30; unit=m^2/s^4; receivers=DASy</x:v>
      </x:c>
      <x:c r="D2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8" s="144" t="str">
        <x:v>M2</x:v>
      </x:c>
      <x:c r="F268" s="144" t="str">
        <x:v>Signal 级可编辑配置、数据类型/缩放/端序合同、RTE 接口、边界值与 round-trip 测试。</x:v>
      </x:c>
      <x:c r="G268" s="144" t="str">
        <x:v>raw=0、raw=max、物理 min/max、越界/保留值、端序字节向量、pack→unpack round-trip；1457/1457 通过。</x:v>
      </x:c>
      <x:c r="H268" s="144" t="str">
        <x:v>coem/BYD_UKE/gen_bsw/Com/Com_PBcfg.c:6733; BYD_5R1V_RadarRearcorner_V2.5_AllNodes.dbc:882</x:v>
      </x:c>
    </x:row>
    <x:row r="269" ht="72" customHeight="1">
      <x:c r="A269" s="144" t="str">
        <x:v>Com-Signal</x:v>
      </x:c>
      <x:c r="B269" s="144" t="str">
        <x:v>COM-SIG-Tx-0127 / RRR_Obj00A_AxVnce</x:v>
      </x:c>
      <x:c r="C269" s="144" t="str">
        <x:v>PDU=RRR_Obj00A; startBit=200; length=12; byteOrder=Little; type=UINT16; factor=0.01; offset=0; min=0; max=30; unit=m^2/s^4; receivers=DASy</x:v>
      </x:c>
      <x:c r="D2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69" s="144" t="str">
        <x:v>M2</x:v>
      </x:c>
      <x:c r="F269" s="144" t="str">
        <x:v>Signal 级可编辑配置、数据类型/缩放/端序合同、RTE 接口、边界值与 round-trip 测试。</x:v>
      </x:c>
      <x:c r="G269" s="144" t="str">
        <x:v>raw=0、raw=max、物理 min/max、越界/保留值、端序字节向量、pack→unpack round-trip；1457/1457 通过。</x:v>
      </x:c>
      <x:c r="H269" s="144" t="str">
        <x:v>coem/BYD_UKE/gen_bsw/Com/Com_PBcfg.c:6786; BYD_5R1V_RadarRearcorner_V2.5_AllNodes.dbc:866</x:v>
      </x:c>
    </x:row>
    <x:row r="270" ht="72" customHeight="1">
      <x:c r="A270" s="144" t="str">
        <x:v>Com-Signal</x:v>
      </x:c>
      <x:c r="B270" s="144" t="str">
        <x:v>COM-SIG-Tx-0128 / RRR_Obj00A_Ax</x:v>
      </x:c>
      <x:c r="C270" s="144" t="str">
        <x:v>PDU=RRR_Obj00A; startBit=93; length=10; byteOrder=Little; type=UINT16; factor=0.03125; offset=-16; min=-16; max=15.96875; unit=m/s^2; receivers=DASy</x:v>
      </x:c>
      <x:c r="D2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0" s="144" t="str">
        <x:v>M2</x:v>
      </x:c>
      <x:c r="F270" s="144" t="str">
        <x:v>Signal 级可编辑配置、数据类型/缩放/端序合同、RTE 接口、边界值与 round-trip 测试。</x:v>
      </x:c>
      <x:c r="G270" s="144" t="str">
        <x:v>raw=0、raw=max、物理 min/max、越界/保留值、端序字节向量、pack→unpack round-trip；1457/1457 通过。</x:v>
      </x:c>
      <x:c r="H270" s="144" t="str">
        <x:v>coem/BYD_UKE/gen_bsw/Com/Com_PBcfg.c:6839; BYD_5R1V_RadarRearcorner_V2.5_AllNodes.dbc:855</x:v>
      </x:c>
    </x:row>
    <x:row r="271" ht="72" customHeight="1">
      <x:c r="A271" s="144" t="str">
        <x:v>Com-Signal</x:v>
      </x:c>
      <x:c r="B271" s="144" t="str">
        <x:v>COM-SIG-Tx-0129 / RRR_Obj00A_AyVnce</x:v>
      </x:c>
      <x:c r="C271" s="144" t="str">
        <x:v>PDU=RRR_Obj00A; startBit=212; length=12; byteOrder=Little; type=UINT16; factor=0.01; offset=0; min=0; max=30; unit=m^2/s^4; receivers=DASy</x:v>
      </x:c>
      <x:c r="D2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1" s="144" t="str">
        <x:v>M2</x:v>
      </x:c>
      <x:c r="F271" s="144" t="str">
        <x:v>Signal 级可编辑配置、数据类型/缩放/端序合同、RTE 接口、边界值与 round-trip 测试。</x:v>
      </x:c>
      <x:c r="G271" s="144" t="str">
        <x:v>raw=0、raw=max、物理 min/max、越界/保留值、端序字节向量、pack→unpack round-trip；1457/1457 通过。</x:v>
      </x:c>
      <x:c r="H271" s="144" t="str">
        <x:v>coem/BYD_UKE/gen_bsw/Com/Com_PBcfg.c:6892; BYD_5R1V_RadarRearcorner_V2.5_AllNodes.dbc:867</x:v>
      </x:c>
    </x:row>
    <x:row r="272" ht="72" customHeight="1">
      <x:c r="A272" s="144" t="str">
        <x:v>Com-Signal</x:v>
      </x:c>
      <x:c r="B272" s="144" t="str">
        <x:v>COM-SIG-Tx-0130 / RRR_Obj00A_Ay</x:v>
      </x:c>
      <x:c r="C272" s="144" t="str">
        <x:v>PDU=RRR_Obj00A; startBit=103; length=9; byteOrder=Little; type=UINT16; factor=0.0625; offset=-16; min=-16; max=15.9375; unit=m/s^2; receivers=DASy</x:v>
      </x:c>
      <x:c r="D2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2" s="144" t="str">
        <x:v>M2</x:v>
      </x:c>
      <x:c r="F272" s="144" t="str">
        <x:v>Signal 级可编辑配置、数据类型/缩放/端序合同、RTE 接口、边界值与 round-trip 测试。</x:v>
      </x:c>
      <x:c r="G272" s="144" t="str">
        <x:v>raw=0、raw=max、物理 min/max、越界/保留值、端序字节向量、pack→unpack round-trip；1457/1457 通过。</x:v>
      </x:c>
      <x:c r="H272" s="144" t="str">
        <x:v>coem/BYD_UKE/gen_bsw/Com/Com_PBcfg.c:6945; BYD_5R1V_RadarRearcorner_V2.5_AllNodes.dbc:856</x:v>
      </x:c>
    </x:row>
    <x:row r="273" ht="72" customHeight="1">
      <x:c r="A273" s="144" t="str">
        <x:v>Com-Signal</x:v>
      </x:c>
      <x:c r="B273" s="144" t="str">
        <x:v>COM-SIG-Tx-0131 / RRR_Obj00A_CRC</x:v>
      </x:c>
      <x:c r="C273" s="144" t="str">
        <x:v>PDU=RRR_Obj00A; startBit=0; length=16; byteOrder=Little; type=UINT16; factor=1; offset=0; min=0; max=65535; unit=-; receivers=DASy</x:v>
      </x:c>
      <x:c r="D2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3" s="144" t="str">
        <x:v>M2</x:v>
      </x:c>
      <x:c r="F273" s="144" t="str">
        <x:v>Signal 级可编辑配置、数据类型/缩放/端序合同、RTE 接口、边界值与 round-trip 测试。</x:v>
      </x:c>
      <x:c r="G273" s="144" t="str">
        <x:v>raw=0、raw=max、物理 min/max、越界/保留值、端序字节向量、pack→unpack round-trip；1457/1457 通过。</x:v>
      </x:c>
      <x:c r="H273" s="144" t="str">
        <x:v>coem/BYD_UKE/gen_bsw/Com/Com_PBcfg.c:6998; BYD_5R1V_RadarRearcorner_V2.5_AllNodes.dbc:843</x:v>
      </x:c>
    </x:row>
    <x:row r="274" ht="72" customHeight="1">
      <x:c r="A274" s="144" t="str">
        <x:v>Com-Signal</x:v>
      </x:c>
      <x:c r="B274" s="144" t="str">
        <x:v>COM-SIG-Tx-0132 / RRR_Obj00A_DxAxCoVnce</x:v>
      </x:c>
      <x:c r="C274" s="144" t="str">
        <x:v>PDU=RRR_Obj00A; startBit=300; length=12; byteOrder=Little; type=UINT16; factor=0.01; offset=0; min=0; max=30; unit=m^2/s^2; receivers=DASy</x:v>
      </x:c>
      <x:c r="D2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4" s="144" t="str">
        <x:v>M2</x:v>
      </x:c>
      <x:c r="F274" s="144" t="str">
        <x:v>Signal 级可编辑配置、数据类型/缩放/端序合同、RTE 接口、边界值与 round-trip 测试。</x:v>
      </x:c>
      <x:c r="G274" s="144" t="str">
        <x:v>raw=0、raw=max、物理 min/max、越界/保留值、端序字节向量、pack→unpack round-trip；1457/1457 通过。</x:v>
      </x:c>
      <x:c r="H274" s="144" t="str">
        <x:v>coem/BYD_UKE/gen_bsw/Com/Com_PBcfg.c:7051; BYD_5R1V_RadarRearcorner_V2.5_AllNodes.dbc:874</x:v>
      </x:c>
    </x:row>
    <x:row r="275" ht="72" customHeight="1">
      <x:c r="A275" s="144" t="str">
        <x:v>Com-Signal</x:v>
      </x:c>
      <x:c r="B275" s="144" t="str">
        <x:v>COM-SIG-Tx-0133 / RRR_Obj00A_DxAyCoVnce</x:v>
      </x:c>
      <x:c r="C275" s="144" t="str">
        <x:v>PDU=RRR_Obj00A; startBit=348; length=12; byteOrder=Little; type=UINT16; factor=0.01; offset=0; min=0; max=30; unit=m^2/s^2; receivers=DASy</x:v>
      </x:c>
      <x:c r="D2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5" s="144" t="str">
        <x:v>M2</x:v>
      </x:c>
      <x:c r="F275" s="144" t="str">
        <x:v>Signal 级可编辑配置、数据类型/缩放/端序合同、RTE 接口、边界值与 round-trip 测试。</x:v>
      </x:c>
      <x:c r="G275" s="144" t="str">
        <x:v>raw=0、raw=max、物理 min/max、越界/保留值、端序字节向量、pack→unpack round-trip；1457/1457 通过。</x:v>
      </x:c>
      <x:c r="H275" s="144" t="str">
        <x:v>coem/BYD_UKE/gen_bsw/Com/Com_PBcfg.c:7104; BYD_5R1V_RadarRearcorner_V2.5_AllNodes.dbc:878</x:v>
      </x:c>
    </x:row>
    <x:row r="276" ht="72" customHeight="1">
      <x:c r="A276" s="144" t="str">
        <x:v>Com-Signal</x:v>
      </x:c>
      <x:c r="B276" s="144" t="str">
        <x:v>COM-SIG-Tx-0134 / RRR_Obj00A_DxVnce</x:v>
      </x:c>
      <x:c r="C276" s="144" t="str">
        <x:v>PDU=RRR_Obj00A; startBit=142; length=12; byteOrder=Little; type=UINT16; factor=0.01; offset=0; min=0; max=30; unit=m^2; receivers=DASy</x:v>
      </x:c>
      <x:c r="D2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6" s="144" t="str">
        <x:v>M2</x:v>
      </x:c>
      <x:c r="F276" s="144" t="str">
        <x:v>Signal 级可编辑配置、数据类型/缩放/端序合同、RTE 接口、边界值与 round-trip 测试。</x:v>
      </x:c>
      <x:c r="G276" s="144" t="str">
        <x:v>raw=0、raw=max、物理 min/max、越界/保留值、端序字节向量、pack→unpack round-trip；1457/1457 通过。</x:v>
      </x:c>
      <x:c r="H276" s="144" t="str">
        <x:v>coem/BYD_UKE/gen_bsw/Com/Com_PBcfg.c:7157; BYD_5R1V_RadarRearcorner_V2.5_AllNodes.dbc:861</x:v>
      </x:c>
    </x:row>
    <x:row r="277" ht="72" customHeight="1">
      <x:c r="A277" s="144" t="str">
        <x:v>Com-Signal</x:v>
      </x:c>
      <x:c r="B277" s="144" t="str">
        <x:v>COM-SIG-Tx-0135 / RRR_Obj00A_Dx</x:v>
      </x:c>
      <x:c r="C277" s="144" t="str">
        <x:v>PDU=RRR_Obj00A; startBit=40; length=13; byteOrder=Little; type=UINT16; factor=0.0625; offset=-256; min=-256; max=255.9375; unit=m; receivers=DASy</x:v>
      </x:c>
      <x:c r="D2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7" s="144" t="str">
        <x:v>M2</x:v>
      </x:c>
      <x:c r="F277" s="144" t="str">
        <x:v>Signal 级可编辑配置、数据类型/缩放/端序合同、RTE 接口、边界值与 round-trip 测试。</x:v>
      </x:c>
      <x:c r="G277" s="144" t="str">
        <x:v>raw=0、raw=max、物理 min/max、越界/保留值、端序字节向量、pack→unpack round-trip；1457/1457 通过。</x:v>
      </x:c>
      <x:c r="H277" s="144" t="str">
        <x:v>coem/BYD_UKE/gen_bsw/Com/Com_PBcfg.c:7210; BYD_5R1V_RadarRearcorner_V2.5_AllNodes.dbc:850</x:v>
      </x:c>
    </x:row>
    <x:row r="278" ht="72" customHeight="1">
      <x:c r="A278" s="144" t="str">
        <x:v>Com-Signal</x:v>
      </x:c>
      <x:c r="B278" s="144" t="str">
        <x:v>COM-SIG-Tx-0136 / RRR_Obj00A_DyAxCoVnce</x:v>
      </x:c>
      <x:c r="C278" s="144" t="str">
        <x:v>PDU=RRR_Obj00A; startBit=312; length=12; byteOrder=Little; type=UINT16; factor=0.01; offset=0; min=0; max=30; unit=m^2/s^2; receivers=DASy</x:v>
      </x:c>
      <x:c r="D2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8" s="144" t="str">
        <x:v>M2</x:v>
      </x:c>
      <x:c r="F278" s="144" t="str">
        <x:v>Signal 级可编辑配置、数据类型/缩放/端序合同、RTE 接口、边界值与 round-trip 测试。</x:v>
      </x:c>
      <x:c r="G278" s="144" t="str">
        <x:v>raw=0、raw=max、物理 min/max、越界/保留值、端序字节向量、pack→unpack round-trip；1457/1457 通过。</x:v>
      </x:c>
      <x:c r="H278" s="144" t="str">
        <x:v>coem/BYD_UKE/gen_bsw/Com/Com_PBcfg.c:7263; BYD_5R1V_RadarRearcorner_V2.5_AllNodes.dbc:875</x:v>
      </x:c>
    </x:row>
    <x:row r="279" ht="72" customHeight="1">
      <x:c r="A279" s="144" t="str">
        <x:v>Com-Signal</x:v>
      </x:c>
      <x:c r="B279" s="144" t="str">
        <x:v>COM-SIG-Tx-0137 / RRR_Obj00A_DyAyCoVnce</x:v>
      </x:c>
      <x:c r="C279" s="144" t="str">
        <x:v>PDU=RRR_Obj00A; startBit=360; length=12; byteOrder=Little; type=UINT16; factor=0.01; offset=0; min=0; max=30; unit=m^2/s^2; receivers=DASy</x:v>
      </x:c>
      <x:c r="D2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79" s="144" t="str">
        <x:v>M2</x:v>
      </x:c>
      <x:c r="F279" s="144" t="str">
        <x:v>Signal 级可编辑配置、数据类型/缩放/端序合同、RTE 接口、边界值与 round-trip 测试。</x:v>
      </x:c>
      <x:c r="G279" s="144" t="str">
        <x:v>raw=0、raw=max、物理 min/max、越界/保留值、端序字节向量、pack→unpack round-trip；1457/1457 通过。</x:v>
      </x:c>
      <x:c r="H279" s="144" t="str">
        <x:v>coem/BYD_UKE/gen_bsw/Com/Com_PBcfg.c:7316; BYD_5R1V_RadarRearcorner_V2.5_AllNodes.dbc:879</x:v>
      </x:c>
    </x:row>
    <x:row r="280" ht="72" customHeight="1">
      <x:c r="A280" s="144" t="str">
        <x:v>Com-Signal</x:v>
      </x:c>
      <x:c r="B280" s="144" t="str">
        <x:v>COM-SIG-Tx-0138 / RRR_Obj00A_DyVnce</x:v>
      </x:c>
      <x:c r="C280" s="144" t="str">
        <x:v>PDU=RRR_Obj00A; startBit=154; length=12; byteOrder=Little; type=UINT16; factor=0.01; offset=0; min=0; max=30; unit=m^2; receivers=DASy</x:v>
      </x:c>
      <x:c r="D2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0" s="144" t="str">
        <x:v>M2</x:v>
      </x:c>
      <x:c r="F280" s="144" t="str">
        <x:v>Signal 级可编辑配置、数据类型/缩放/端序合同、RTE 接口、边界值与 round-trip 测试。</x:v>
      </x:c>
      <x:c r="G280" s="144" t="str">
        <x:v>raw=0、raw=max、物理 min/max、越界/保留值、端序字节向量、pack→unpack round-trip；1457/1457 通过。</x:v>
      </x:c>
      <x:c r="H280" s="144" t="str">
        <x:v>coem/BYD_UKE/gen_bsw/Com/Com_PBcfg.c:7369; BYD_5R1V_RadarRearcorner_V2.5_AllNodes.dbc:862</x:v>
      </x:c>
    </x:row>
    <x:row r="281" ht="72" customHeight="1">
      <x:c r="A281" s="144" t="str">
        <x:v>Com-Signal</x:v>
      </x:c>
      <x:c r="B281" s="144" t="str">
        <x:v>COM-SIG-Tx-0139 / RRR_Obj00A_DyVyCoVnce</x:v>
      </x:c>
      <x:c r="C281" s="144" t="str">
        <x:v>PDU=RRR_Obj00A; startBit=276; length=12; byteOrder=Little; type=UINT16; factor=0.01; offset=0; min=0; max=30; unit=m^2/s; receivers=DASy</x:v>
      </x:c>
      <x:c r="D2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1" s="144" t="str">
        <x:v>M2</x:v>
      </x:c>
      <x:c r="F281" s="144" t="str">
        <x:v>Signal 级可编辑配置、数据类型/缩放/端序合同、RTE 接口、边界值与 round-trip 测试。</x:v>
      </x:c>
      <x:c r="G281" s="144" t="str">
        <x:v>raw=0、raw=max、物理 min/max、越界/保留值、端序字节向量、pack→unpack round-trip；1457/1457 通过。</x:v>
      </x:c>
      <x:c r="H281" s="144" t="str">
        <x:v>coem/BYD_UKE/gen_bsw/Com/Com_PBcfg.c:7422; BYD_5R1V_RadarRearcorner_V2.5_AllNodes.dbc:872</x:v>
      </x:c>
    </x:row>
    <x:row r="282" ht="72" customHeight="1">
      <x:c r="A282" s="144" t="str">
        <x:v>Com-Signal</x:v>
      </x:c>
      <x:c r="B282" s="144" t="str">
        <x:v>COM-SIG-Tx-0140 / RRR_Obj00A_Dy</x:v>
      </x:c>
      <x:c r="C282" s="144" t="str">
        <x:v>PDU=RRR_Obj00A; startBit=59; length=11; byteOrder=Little; type=UINT16; factor=0.125; offset=-128; min=-128; max=127.875; unit=m; receivers=DASy</x:v>
      </x:c>
      <x:c r="D2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2" s="144" t="str">
        <x:v>M2</x:v>
      </x:c>
      <x:c r="F282" s="144" t="str">
        <x:v>Signal 级可编辑配置、数据类型/缩放/端序合同、RTE 接口、边界值与 round-trip 测试。</x:v>
      </x:c>
      <x:c r="G282" s="144" t="str">
        <x:v>raw=0、raw=max、物理 min/max、越界/保留值、端序字节向量、pack→unpack round-trip；1457/1457 通过。</x:v>
      </x:c>
      <x:c r="H282" s="144" t="str">
        <x:v>coem/BYD_UKE/gen_bsw/Com/Com_PBcfg.c:7475; BYD_5R1V_RadarRearcorner_V2.5_AllNodes.dbc:851</x:v>
      </x:c>
    </x:row>
    <x:row r="283" ht="72" customHeight="1">
      <x:c r="A283" s="144" t="str">
        <x:v>Com-Signal</x:v>
      </x:c>
      <x:c r="B283" s="144" t="str">
        <x:v>COM-SIG-Tx-0141 / RRR_Obj00A_DzVnce</x:v>
      </x:c>
      <x:c r="C283" s="144" t="str">
        <x:v>PDU=RRR_Obj00A; startBit=166; length=10; byteOrder=Little; type=UINT16; factor=0.01; offset=0; min=0; max=10; unit=m^2; receivers=DASy</x:v>
      </x:c>
      <x:c r="D2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3" s="144" t="str">
        <x:v>M2</x:v>
      </x:c>
      <x:c r="F283" s="144" t="str">
        <x:v>Signal 级可编辑配置、数据类型/缩放/端序合同、RTE 接口、边界值与 round-trip 测试。</x:v>
      </x:c>
      <x:c r="G283" s="144" t="str">
        <x:v>raw=0、raw=max、物理 min/max、越界/保留值、端序字节向量、pack→unpack round-trip；1457/1457 通过。</x:v>
      </x:c>
      <x:c r="H283" s="144" t="str">
        <x:v>coem/BYD_UKE/gen_bsw/Com/Com_PBcfg.c:7528; BYD_5R1V_RadarRearcorner_V2.5_AllNodes.dbc:863</x:v>
      </x:c>
    </x:row>
    <x:row r="284" ht="72" customHeight="1">
      <x:c r="A284" s="144" t="str">
        <x:v>Com-Signal</x:v>
      </x:c>
      <x:c r="B284" s="144" t="str">
        <x:v>COM-SIG-Tx-0142 / RRR_Obj00A_Dz</x:v>
      </x:c>
      <x:c r="C284" s="144" t="str">
        <x:v>PDU=RRR_Obj00A; startBit=53; length=6; byteOrder=Little; type=UINT8; factor=0.25; offset=-5; min=-5; max=10.75; unit=m; receivers=DASy</x:v>
      </x:c>
      <x:c r="D2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4" s="144" t="str">
        <x:v>M2</x:v>
      </x:c>
      <x:c r="F284" s="144" t="str">
        <x:v>Signal 级可编辑配置、数据类型/缩放/端序合同、RTE 接口、边界值与 round-trip 测试。</x:v>
      </x:c>
      <x:c r="G284" s="144" t="str">
        <x:v>raw=0、raw=max、物理 min/max、越界/保留值、端序字节向量、pack→unpack round-trip；1457/1457 通过。</x:v>
      </x:c>
      <x:c r="H284" s="144" t="str">
        <x:v>coem/BYD_UKE/gen_bsw/Com/Com_PBcfg.c:7581; BYD_5R1V_RadarRearcorner_V2.5_AllNodes.dbc:852</x:v>
      </x:c>
    </x:row>
    <x:row r="285" ht="72" customHeight="1">
      <x:c r="A285" s="144" t="str">
        <x:v>Com-Signal</x:v>
      </x:c>
      <x:c r="B285" s="144" t="str">
        <x:v>COM-SIG-Tx-0143 / RRR_Obj00A_HeadingYawAngleVnce</x:v>
      </x:c>
      <x:c r="C285" s="144" t="str">
        <x:v>PDU=RRR_Obj00A; startBit=408; length=12; byteOrder=Little; type=UINT16; factor=0.0003; offset=0; min=0; max=1; unit=rad^2; receivers=DASy</x:v>
      </x:c>
      <x:c r="D2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5" s="144" t="str">
        <x:v>M2</x:v>
      </x:c>
      <x:c r="F285" s="144" t="str">
        <x:v>Signal 级可编辑配置、数据类型/缩放/端序合同、RTE 接口、边界值与 round-trip 测试。</x:v>
      </x:c>
      <x:c r="G285" s="144" t="str">
        <x:v>raw=0、raw=max、物理 min/max、越界/保留值、端序字节向量、pack→unpack round-trip；1457/1457 通过。</x:v>
      </x:c>
      <x:c r="H285" s="144" t="str">
        <x:v>coem/BYD_UKE/gen_bsw/Com/Com_PBcfg.c:7634; BYD_5R1V_RadarRearcorner_V2.5_AllNodes.dbc:883</x:v>
      </x:c>
    </x:row>
    <x:row r="286" ht="72" customHeight="1">
      <x:c r="A286" s="144" t="str">
        <x:v>Com-Signal</x:v>
      </x:c>
      <x:c r="B286" s="144" t="str">
        <x:v>COM-SIG-Tx-0144 / RRR_Obj00A_HeadingYawAngle</x:v>
      </x:c>
      <x:c r="C286" s="144" t="str">
        <x:v>PDU=RRR_Obj00A; startBit=112; length=9; byteOrder=Little; type=UINT16; factor=0.0175; offset=-4.48; min=-3.15; max=3.15; unit=rad; receivers=DASy</x:v>
      </x:c>
      <x:c r="D2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6" s="144" t="str">
        <x:v>M2</x:v>
      </x:c>
      <x:c r="F286" s="144" t="str">
        <x:v>Signal 级可编辑配置、数据类型/缩放/端序合同、RTE 接口、边界值与 round-trip 测试。</x:v>
      </x:c>
      <x:c r="G286" s="144" t="str">
        <x:v>raw=0、raw=max、物理 min/max、越界/保留值、端序字节向量、pack→unpack round-trip；1457/1457 通过。</x:v>
      </x:c>
      <x:c r="H286" s="144" t="str">
        <x:v>coem/BYD_UKE/gen_bsw/Com/Com_PBcfg.c:7687; BYD_5R1V_RadarRearcorner_V2.5_AllNodes.dbc:857</x:v>
      </x:c>
    </x:row>
    <x:row r="287" ht="72" customHeight="1">
      <x:c r="A287" s="144" t="str">
        <x:v>Com-Signal</x:v>
      </x:c>
      <x:c r="B287" s="144" t="str">
        <x:v>COM-SIG-Tx-0145 / RRR_Obj00A_HeadingYawrate</x:v>
      </x:c>
      <x:c r="C287" s="144" t="str">
        <x:v>PDU=RRR_Obj00A; startBit=240; length=12; byteOrder=Little; type=UINT16; factor=1（Com原始值）; offset=0（Com原始值）; min=按位宽/类型; max=按位宽/类型; unit=-; receivers=-</x:v>
      </x:c>
      <x:c r="D287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87" s="144" t="str">
        <x:v>M2</x:v>
      </x:c>
      <x:c r="F287" s="144" t="str">
        <x:v>Signal 级可编辑配置、数据类型/缩放/端序合同、RTE 接口、边界值与 round-trip 测试。</x:v>
      </x:c>
      <x:c r="G287" s="144" t="str">
        <x:v>raw=0、raw=max、物理 min/max、越界/保留值、端序字节向量、pack→unpack round-trip；1457/1457 通过。</x:v>
      </x:c>
      <x:c r="H287" s="144" t="str">
        <x:v>coem/BYD_UKE/gen_bsw/Com/Com_PBcfg.c:7740</x:v>
      </x:c>
    </x:row>
    <x:row r="288" ht="72" customHeight="1">
      <x:c r="A288" s="144" t="str">
        <x:v>Com-Signal</x:v>
      </x:c>
      <x:c r="B288" s="144" t="str">
        <x:v>COM-SIG-Tx-0146 / RRR_Obj00A_HeightVnce</x:v>
      </x:c>
      <x:c r="C288" s="144" t="str">
        <x:v>PDU=RRR_Obj00A; startBit=444; length=12; byteOrder=Little; type=UINT16; factor=0.01; offset=0; min=0; max=30; unit=m^2; receivers=DASy</x:v>
      </x:c>
      <x:c r="D2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8" s="144" t="str">
        <x:v>M2</x:v>
      </x:c>
      <x:c r="F288" s="144" t="str">
        <x:v>Signal 级可编辑配置、数据类型/缩放/端序合同、RTE 接口、边界值与 round-trip 测试。</x:v>
      </x:c>
      <x:c r="G288" s="144" t="str">
        <x:v>raw=0、raw=max、物理 min/max、越界/保留值、端序字节向量、pack→unpack round-trip；1457/1457 通过。</x:v>
      </x:c>
      <x:c r="H288" s="144" t="str">
        <x:v>coem/BYD_UKE/gen_bsw/Com/Com_PBcfg.c:7793; BYD_5R1V_RadarRearcorner_V2.5_AllNodes.dbc:842</x:v>
      </x:c>
    </x:row>
    <x:row r="289" ht="72" customHeight="1">
      <x:c r="A289" s="144" t="str">
        <x:v>Com-Signal</x:v>
      </x:c>
      <x:c r="B289" s="144" t="str">
        <x:v>COM-SIG-Tx-0147 / RRR_Obj00A_Height</x:v>
      </x:c>
      <x:c r="C289" s="144" t="str">
        <x:v>PDU=RRR_Obj00A; startBit=135; length=7; byteOrder=Little; type=UINT8; factor=0.125; offset=0; min=0; max=15.875; unit=m; receivers=DASy</x:v>
      </x:c>
      <x:c r="D2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89" s="144" t="str">
        <x:v>M2</x:v>
      </x:c>
      <x:c r="F289" s="144" t="str">
        <x:v>Signal 级可编辑配置、数据类型/缩放/端序合同、RTE 接口、边界值与 round-trip 测试。</x:v>
      </x:c>
      <x:c r="G289" s="144" t="str">
        <x:v>raw=0、raw=max、物理 min/max、越界/保留值、端序字节向量、pack→unpack round-trip；1457/1457 通过。</x:v>
      </x:c>
      <x:c r="H289" s="144" t="str">
        <x:v>coem/BYD_UKE/gen_bsw/Com/Com_PBcfg.c:7846; BYD_5R1V_RadarRearcorner_V2.5_AllNodes.dbc:860</x:v>
      </x:c>
    </x:row>
    <x:row r="290" ht="72" customHeight="1">
      <x:c r="A290" s="144" t="str">
        <x:v>Com-Signal</x:v>
      </x:c>
      <x:c r="B290" s="144" t="str">
        <x:v>COM-SIG-Tx-0148 / RRR_Obj00A_ID</x:v>
      </x:c>
      <x:c r="C290" s="144" t="str">
        <x:v>PDU=RRR_Obj00A; startBit=32; length=7; byteOrder=Little; type=UINT8; factor=1; offset=0; min=0; max=127; unit=-; receivers=DASy</x:v>
      </x:c>
      <x:c r="D2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0" s="144" t="str">
        <x:v>M2</x:v>
      </x:c>
      <x:c r="F290" s="144" t="str">
        <x:v>Signal 级可编辑配置、数据类型/缩放/端序合同、RTE 接口、边界值与 round-trip 测试。</x:v>
      </x:c>
      <x:c r="G290" s="144" t="str">
        <x:v>raw=0、raw=max、物理 min/max、越界/保留值、端序字节向量、pack→unpack round-trip；1457/1457 通过。</x:v>
      </x:c>
      <x:c r="H290" s="144" t="str">
        <x:v>coem/BYD_UKE/gen_bsw/Com/Com_PBcfg.c:7899; BYD_5R1V_RadarRearcorner_V2.5_AllNodes.dbc:846</x:v>
      </x:c>
    </x:row>
    <x:row r="291" ht="72" customHeight="1">
      <x:c r="A291" s="144" t="str">
        <x:v>Com-Signal</x:v>
      </x:c>
      <x:c r="B291" s="144" t="str">
        <x:v>COM-SIG-Tx-0149 / RRR_Obj00A_LengthVnce</x:v>
      </x:c>
      <x:c r="C291" s="144" t="str">
        <x:v>PDU=RRR_Obj00A; startBit=420; length=12; byteOrder=Little; type=UINT16; factor=0.01; offset=0; min=0; max=30; unit=m^2; receivers=DASy</x:v>
      </x:c>
      <x:c r="D2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1" s="144" t="str">
        <x:v>M2</x:v>
      </x:c>
      <x:c r="F291" s="144" t="str">
        <x:v>Signal 级可编辑配置、数据类型/缩放/端序合同、RTE 接口、边界值与 round-trip 测试。</x:v>
      </x:c>
      <x:c r="G291" s="144" t="str">
        <x:v>raw=0、raw=max、物理 min/max、越界/保留值、端序字节向量、pack→unpack round-trip；1457/1457 通过。</x:v>
      </x:c>
      <x:c r="H291" s="144" t="str">
        <x:v>coem/BYD_UKE/gen_bsw/Com/Com_PBcfg.c:7952; BYD_5R1V_RadarRearcorner_V2.5_AllNodes.dbc:884</x:v>
      </x:c>
    </x:row>
    <x:row r="292" ht="72" customHeight="1">
      <x:c r="A292" s="144" t="str">
        <x:v>Com-Signal</x:v>
      </x:c>
      <x:c r="B292" s="144" t="str">
        <x:v>COM-SIG-Tx-0150 / RRR_Obj00A_Length</x:v>
      </x:c>
      <x:c r="C292" s="144" t="str">
        <x:v>PDU=RRR_Obj00A; startBit=121; length=7; byteOrder=Little; type=UINT8; factor=0.125; offset=0; min=0; max=15.875; unit=m; receivers=DASy</x:v>
      </x:c>
      <x:c r="D2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2" s="144" t="str">
        <x:v>M2</x:v>
      </x:c>
      <x:c r="F292" s="144" t="str">
        <x:v>Signal 级可编辑配置、数据类型/缩放/端序合同、RTE 接口、边界值与 round-trip 测试。</x:v>
      </x:c>
      <x:c r="G292" s="144" t="str">
        <x:v>raw=0、raw=max、物理 min/max、越界/保留值、端序字节向量、pack→unpack round-trip；1457/1457 通过。</x:v>
      </x:c>
      <x:c r="H292" s="144" t="str">
        <x:v>coem/BYD_UKE/gen_bsw/Com/Com_PBcfg.c:8005; BYD_5R1V_RadarRearcorner_V2.5_AllNodes.dbc:858</x:v>
      </x:c>
    </x:row>
    <x:row r="293" ht="72" customHeight="1">
      <x:c r="A293" s="144" t="str">
        <x:v>Com-Signal</x:v>
      </x:c>
      <x:c r="B293" s="144" t="str">
        <x:v>COM-SIG-Tx-0151 / RRR_Obj00A_Measured</x:v>
      </x:c>
      <x:c r="C293" s="144" t="str">
        <x:v>PDU=RRR_Obj00A; startBit=39; length=1; byteOrder=Little; type=UINT8; factor=1; offset=0; min=0; max=1; unit=-; receivers=DASy</x:v>
      </x:c>
      <x:c r="D2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3" s="144" t="str">
        <x:v>M2</x:v>
      </x:c>
      <x:c r="F293" s="144" t="str">
        <x:v>Signal 级可编辑配置、数据类型/缩放/端序合同、RTE 接口、边界值与 round-trip 测试。</x:v>
      </x:c>
      <x:c r="G293" s="144" t="str">
        <x:v>raw=0、raw=max、物理 min/max、越界/保留值、端序字节向量、pack→unpack round-trip；1457/1457 通过。</x:v>
      </x:c>
      <x:c r="H293" s="144" t="str">
        <x:v>coem/BYD_UKE/gen_bsw/Com/Com_PBcfg.c:8058; BYD_5R1V_RadarRearcorner_V2.5_AllNodes.dbc:849</x:v>
      </x:c>
    </x:row>
    <x:row r="294" ht="72" customHeight="1">
      <x:c r="A294" s="144" t="str">
        <x:v>Com-Signal</x:v>
      </x:c>
      <x:c r="B294" s="144" t="str">
        <x:v>COM-SIG-Tx-0152 / RRR_Obj00A_ObjDetected</x:v>
      </x:c>
      <x:c r="C294" s="144" t="str">
        <x:v>PDU=RRR_Obj00A; startBit=264; length=12; byteOrder=Little; type=UINT16; factor=1（Com原始值）; offset=0（Com原始值）; min=按位宽/类型; max=按位宽/类型; unit=-; receivers=-</x:v>
      </x:c>
      <x:c r="D29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94" s="144" t="str">
        <x:v>M2</x:v>
      </x:c>
      <x:c r="F294" s="144" t="str">
        <x:v>Signal 级可编辑配置、数据类型/缩放/端序合同、RTE 接口、边界值与 round-trip 测试。</x:v>
      </x:c>
      <x:c r="G294" s="144" t="str">
        <x:v>raw=0、raw=max、物理 min/max、越界/保留值、端序字节向量、pack→unpack round-trip；1457/1457 通过。</x:v>
      </x:c>
      <x:c r="H294" s="144" t="str">
        <x:v>coem/BYD_UKE/gen_bsw/Com/Com_PBcfg.c:8111</x:v>
      </x:c>
    </x:row>
    <x:row r="295" ht="72" customHeight="1">
      <x:c r="A295" s="144" t="str">
        <x:v>Com-Signal</x:v>
      </x:c>
      <x:c r="B295" s="144" t="str">
        <x:v>COM-SIG-Tx-0153 / RRR_Obj00A_ProbExist</x:v>
      </x:c>
      <x:c r="C295" s="144" t="str">
        <x:v>PDU=RRR_Obj00A; startBit=456; length=6; byteOrder=Little; type=UINT8; factor=2; offset=0; min=0; max=100; unit=%; receivers=DASy</x:v>
      </x:c>
      <x:c r="D2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5" s="144" t="str">
        <x:v>M2</x:v>
      </x:c>
      <x:c r="F295" s="144" t="str">
        <x:v>Signal 级可编辑配置、数据类型/缩放/端序合同、RTE 接口、边界值与 round-trip 测试。</x:v>
      </x:c>
      <x:c r="G295" s="144" t="str">
        <x:v>raw=0、raw=max、物理 min/max、越界/保留值、端序字节向量、pack→unpack round-trip；1457/1457 通过。</x:v>
      </x:c>
      <x:c r="H295" s="144" t="str">
        <x:v>coem/BYD_UKE/gen_bsw/Com/Com_PBcfg.c:8164; BYD_5R1V_RadarRearcorner_V2.5_AllNodes.dbc:886</x:v>
      </x:c>
    </x:row>
    <x:row r="296" ht="72" customHeight="1">
      <x:c r="A296" s="144" t="str">
        <x:v>Com-Signal</x:v>
      </x:c>
      <x:c r="B296" s="144" t="str">
        <x:v>COM-SIG-Tx-0154 / RRR_Obj00A_ProbMobileObst</x:v>
      </x:c>
      <x:c r="C296" s="144" t="str">
        <x:v>PDU=RRR_Obj00A; startBit=474; length=6; byteOrder=Little; type=UINT8; factor=2; offset=0; min=0; max=100; unit=%; receivers=DASy</x:v>
      </x:c>
      <x:c r="D2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6" s="144" t="str">
        <x:v>M2</x:v>
      </x:c>
      <x:c r="F296" s="144" t="str">
        <x:v>Signal 级可编辑配置、数据类型/缩放/端序合同、RTE 接口、边界值与 round-trip 测试。</x:v>
      </x:c>
      <x:c r="G296" s="144" t="str">
        <x:v>raw=0、raw=max、物理 min/max、越界/保留值、端序字节向量、pack→unpack round-trip；1457/1457 通过。</x:v>
      </x:c>
      <x:c r="H296" s="144" t="str">
        <x:v>coem/BYD_UKE/gen_bsw/Com/Com_PBcfg.c:8217; BYD_5R1V_RadarRearcorner_V2.5_AllNodes.dbc:889</x:v>
      </x:c>
    </x:row>
    <x:row r="297" ht="72" customHeight="1">
      <x:c r="A297" s="144" t="str">
        <x:v>Com-Signal</x:v>
      </x:c>
      <x:c r="B297" s="144" t="str">
        <x:v>COM-SIG-Tx-0155 / RRR_Obj00A_ProbNonObstacle</x:v>
      </x:c>
      <x:c r="C297" s="144" t="str">
        <x:v>PDU=RRR_Obj00A; startBit=468; length=6; byteOrder=Little; type=UINT8; factor=2; offset=0; min=0; max=100; unit=%; receivers=DASy</x:v>
      </x:c>
      <x:c r="D2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7" s="144" t="str">
        <x:v>M2</x:v>
      </x:c>
      <x:c r="F297" s="144" t="str">
        <x:v>Signal 级可编辑配置、数据类型/缩放/端序合同、RTE 接口、边界值与 round-trip 测试。</x:v>
      </x:c>
      <x:c r="G297" s="144" t="str">
        <x:v>raw=0、raw=max、物理 min/max、越界/保留值、端序字节向量、pack→unpack round-trip；1457/1457 通过。</x:v>
      </x:c>
      <x:c r="H297" s="144" t="str">
        <x:v>coem/BYD_UKE/gen_bsw/Com/Com_PBcfg.c:8270; BYD_5R1V_RadarRearcorner_V2.5_AllNodes.dbc:888</x:v>
      </x:c>
    </x:row>
    <x:row r="298" ht="72" customHeight="1">
      <x:c r="A298" s="144" t="str">
        <x:v>Com-Signal</x:v>
      </x:c>
      <x:c r="B298" s="144" t="str">
        <x:v>COM-SIG-Tx-0156 / RRR_Obj00A_ProbObstacle</x:v>
      </x:c>
      <x:c r="C298" s="144" t="str">
        <x:v>PDU=RRR_Obj00A; startBit=462; length=6; byteOrder=Little; type=UINT8; factor=2; offset=0; min=0; max=100; unit=%; receivers=DASy</x:v>
      </x:c>
      <x:c r="D2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8" s="144" t="str">
        <x:v>M2</x:v>
      </x:c>
      <x:c r="F298" s="144" t="str">
        <x:v>Signal 级可编辑配置、数据类型/缩放/端序合同、RTE 接口、边界值与 round-trip 测试。</x:v>
      </x:c>
      <x:c r="G298" s="144" t="str">
        <x:v>raw=0、raw=max、物理 min/max、越界/保留值、端序字节向量、pack→unpack round-trip；1457/1457 通过。</x:v>
      </x:c>
      <x:c r="H298" s="144" t="str">
        <x:v>coem/BYD_UKE/gen_bsw/Com/Com_PBcfg.c:8323; BYD_5R1V_RadarRearcorner_V2.5_AllNodes.dbc:887</x:v>
      </x:c>
    </x:row>
    <x:row r="299" ht="72" customHeight="1">
      <x:c r="A299" s="144" t="str">
        <x:v>Com-Signal</x:v>
      </x:c>
      <x:c r="B299" s="144" t="str">
        <x:v>COM-SIG-Tx-0157 / RRR_Obj00A_ProtBlockCtr</x:v>
      </x:c>
      <x:c r="C299" s="144" t="str">
        <x:v>PDU=RRR_Obj00A; startBit=24; length=4; byteOrder=Little; type=UINT8; factor=1; offset=0; min=0; max=15; unit=-; receivers=DASy</x:v>
      </x:c>
      <x:c r="D2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299" s="144" t="str">
        <x:v>M2</x:v>
      </x:c>
      <x:c r="F299" s="144" t="str">
        <x:v>Signal 级可编辑配置、数据类型/缩放/端序合同、RTE 接口、边界值与 round-trip 测试。</x:v>
      </x:c>
      <x:c r="G299" s="144" t="str">
        <x:v>raw=0、raw=max、物理 min/max、越界/保留值、端序字节向量、pack→unpack round-trip；1457/1457 通过。</x:v>
      </x:c>
      <x:c r="H299" s="144" t="str">
        <x:v>coem/BYD_UKE/gen_bsw/Com/Com_PBcfg.c:8376; BYD_5R1V_RadarRearcorner_V2.5_AllNodes.dbc:845</x:v>
      </x:c>
    </x:row>
    <x:row r="300" ht="72" customHeight="1">
      <x:c r="A300" s="144" t="str">
        <x:v>Com-Signal</x:v>
      </x:c>
      <x:c r="B300" s="144" t="str">
        <x:v>COM-SIG-Tx-0158 / RRR_Obj00A_RCS</x:v>
      </x:c>
      <x:c r="C300" s="144" t="str">
        <x:v>PDU=RRR_Obj00A; startBit=252; length=12; byteOrder=Little; type=UINT16; factor=1（Com原始值）; offset=0（Com原始值）; min=按位宽/类型; max=按位宽/类型; unit=-; receivers=-</x:v>
      </x:c>
      <x:c r="D30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00" s="144" t="str">
        <x:v>M2</x:v>
      </x:c>
      <x:c r="F300" s="144" t="str">
        <x:v>Signal 级可编辑配置、数据类型/缩放/端序合同、RTE 接口、边界值与 round-trip 测试。</x:v>
      </x:c>
      <x:c r="G300" s="144" t="str">
        <x:v>raw=0、raw=max、物理 min/max、越界/保留值、端序字节向量、pack→unpack round-trip；1457/1457 通过。</x:v>
      </x:c>
      <x:c r="H300" s="144" t="str">
        <x:v>coem/BYD_UKE/gen_bsw/Com/Com_PBcfg.c:8429</x:v>
      </x:c>
    </x:row>
    <x:row r="301" ht="72" customHeight="1">
      <x:c r="A301" s="144" t="str">
        <x:v>Com-Signal</x:v>
      </x:c>
      <x:c r="B301" s="144" t="str">
        <x:v>COM-SIG-Tx-0159 / RRR_Obj00A_RefPosIndex</x:v>
      </x:c>
      <x:c r="C301" s="144" t="str">
        <x:v>PDU=RRR_Obj00A; startBit=224; length=4; byteOrder=Little; type=UINT8; factor=1; offset=0; min=0; max=15; unit=-; receivers=DASy</x:v>
      </x:c>
      <x:c r="D3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1" s="144" t="str">
        <x:v>M2</x:v>
      </x:c>
      <x:c r="F301" s="144" t="str">
        <x:v>Signal 级可编辑配置、数据类型/缩放/端序合同、RTE 接口、边界值与 round-trip 测试。</x:v>
      </x:c>
      <x:c r="G301" s="144" t="str">
        <x:v>raw=0、raw=max、物理 min/max、越界/保留值、端序字节向量、pack→unpack round-trip；1457/1457 通过。</x:v>
      </x:c>
      <x:c r="H301" s="144" t="str">
        <x:v>coem/BYD_UKE/gen_bsw/Com/Com_PBcfg.c:8482; BYD_5R1V_RadarRearcorner_V2.5_AllNodes.dbc:847</x:v>
      </x:c>
    </x:row>
    <x:row r="302" ht="72" customHeight="1">
      <x:c r="A302" s="144" t="str">
        <x:v>Com-Signal</x:v>
      </x:c>
      <x:c r="B302" s="144" t="str">
        <x:v>COM-SIG-Tx-0160 / RRR_Obj00A_Valid</x:v>
      </x:c>
      <x:c r="C302" s="144" t="str">
        <x:v>PDU=RRR_Obj00A; startBit=70; length=1; byteOrder=Little; type=UINT8; factor=1; offset=0; min=0; max=1; unit=-; receivers=DASy</x:v>
      </x:c>
      <x:c r="D3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2" s="144" t="str">
        <x:v>M2</x:v>
      </x:c>
      <x:c r="F302" s="144" t="str">
        <x:v>Signal 级可编辑配置、数据类型/缩放/端序合同、RTE 接口、边界值与 round-trip 测试。</x:v>
      </x:c>
      <x:c r="G302" s="144" t="str">
        <x:v>raw=0、raw=max、物理 min/max、越界/保留值、端序字节向量、pack→unpack round-trip；1457/1457 通过。</x:v>
      </x:c>
      <x:c r="H302" s="144" t="str">
        <x:v>coem/BYD_UKE/gen_bsw/Com/Com_PBcfg.c:8535; BYD_5R1V_RadarRearcorner_V2.5_AllNodes.dbc:848</x:v>
      </x:c>
    </x:row>
    <x:row r="303" ht="72" customHeight="1">
      <x:c r="A303" s="144" t="str">
        <x:v>Com-Signal</x:v>
      </x:c>
      <x:c r="B303" s="144" t="str">
        <x:v>COM-SIG-Tx-0161 / RRR_Obj00A_VxAxCoVnce</x:v>
      </x:c>
      <x:c r="C303" s="144" t="str">
        <x:v>PDU=RRR_Obj00A; startBit=324; length=12; byteOrder=Little; type=UINT16; factor=0.01; offset=0; min=0; max=30; unit=m^2/s^3; receivers=DASy</x:v>
      </x:c>
      <x:c r="D3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3" s="144" t="str">
        <x:v>M2</x:v>
      </x:c>
      <x:c r="F303" s="144" t="str">
        <x:v>Signal 级可编辑配置、数据类型/缩放/端序合同、RTE 接口、边界值与 round-trip 测试。</x:v>
      </x:c>
      <x:c r="G303" s="144" t="str">
        <x:v>raw=0、raw=max、物理 min/max、越界/保留值、端序字节向量、pack→unpack round-trip；1457/1457 通过。</x:v>
      </x:c>
      <x:c r="H303" s="144" t="str">
        <x:v>coem/BYD_UKE/gen_bsw/Com/Com_PBcfg.c:8588; BYD_5R1V_RadarRearcorner_V2.5_AllNodes.dbc:876</x:v>
      </x:c>
    </x:row>
    <x:row r="304" ht="72" customHeight="1">
      <x:c r="A304" s="144" t="str">
        <x:v>Com-Signal</x:v>
      </x:c>
      <x:c r="B304" s="144" t="str">
        <x:v>COM-SIG-Tx-0162 / RRR_Obj00A_VxAyCoVnce</x:v>
      </x:c>
      <x:c r="C304" s="144" t="str">
        <x:v>PDU=RRR_Obj00A; startBit=372; length=12; byteOrder=Little; type=UINT16; factor=0.01; offset=0; min=0; max=30; unit=m^2/s^3; receivers=DASy</x:v>
      </x:c>
      <x:c r="D3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4" s="144" t="str">
        <x:v>M2</x:v>
      </x:c>
      <x:c r="F304" s="144" t="str">
        <x:v>Signal 级可编辑配置、数据类型/缩放/端序合同、RTE 接口、边界值与 round-trip 测试。</x:v>
      </x:c>
      <x:c r="G304" s="144" t="str">
        <x:v>raw=0、raw=max、物理 min/max、越界/保留值、端序字节向量、pack→unpack round-trip；1457/1457 通过。</x:v>
      </x:c>
      <x:c r="H304" s="144" t="str">
        <x:v>coem/BYD_UKE/gen_bsw/Com/Com_PBcfg.c:8641; BYD_5R1V_RadarRearcorner_V2.5_AllNodes.dbc:880</x:v>
      </x:c>
    </x:row>
    <x:row r="305" ht="72" customHeight="1">
      <x:c r="A305" s="144" t="str">
        <x:v>Com-Signal</x:v>
      </x:c>
      <x:c r="B305" s="144" t="str">
        <x:v>COM-SIG-Tx-0163 / RRR_Obj00A_VxVnce</x:v>
      </x:c>
      <x:c r="C305" s="144" t="str">
        <x:v>PDU=RRR_Obj00A; startBit=176; length=12; byteOrder=Little; type=UINT16; factor=0.01; offset=0; min=0; max=30; unit=m^2/s^2; receivers=DASy</x:v>
      </x:c>
      <x:c r="D3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5" s="144" t="str">
        <x:v>M2</x:v>
      </x:c>
      <x:c r="F305" s="144" t="str">
        <x:v>Signal 级可编辑配置、数据类型/缩放/端序合同、RTE 接口、边界值与 round-trip 测试。</x:v>
      </x:c>
      <x:c r="G305" s="144" t="str">
        <x:v>raw=0、raw=max、物理 min/max、越界/保留值、端序字节向量、pack→unpack round-trip；1457/1457 通过。</x:v>
      </x:c>
      <x:c r="H305" s="144" t="str">
        <x:v>coem/BYD_UKE/gen_bsw/Com/Com_PBcfg.c:8694; BYD_5R1V_RadarRearcorner_V2.5_AllNodes.dbc:864</x:v>
      </x:c>
    </x:row>
    <x:row r="306" ht="72" customHeight="1">
      <x:c r="A306" s="144" t="str">
        <x:v>Com-Signal</x:v>
      </x:c>
      <x:c r="B306" s="144" t="str">
        <x:v>COM-SIG-Tx-0164 / RRR_Obj00A_VxVyCoVnce</x:v>
      </x:c>
      <x:c r="C306" s="144" t="str">
        <x:v>PDU=RRR_Obj00A; startBit=288; length=12; byteOrder=Little; type=UINT16; factor=0.01; offset=0; min=0; max=30; unit=m^2/s^2; receivers=DASy</x:v>
      </x:c>
      <x:c r="D3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6" s="144" t="str">
        <x:v>M2</x:v>
      </x:c>
      <x:c r="F306" s="144" t="str">
        <x:v>Signal 级可编辑配置、数据类型/缩放/端序合同、RTE 接口、边界值与 round-trip 测试。</x:v>
      </x:c>
      <x:c r="G306" s="144" t="str">
        <x:v>raw=0、raw=max、物理 min/max、越界/保留值、端序字节向量、pack→unpack round-trip；1457/1457 通过。</x:v>
      </x:c>
      <x:c r="H306" s="144" t="str">
        <x:v>coem/BYD_UKE/gen_bsw/Com/Com_PBcfg.c:8747; BYD_5R1V_RadarRearcorner_V2.5_AllNodes.dbc:873</x:v>
      </x:c>
    </x:row>
    <x:row r="307" ht="72" customHeight="1">
      <x:c r="A307" s="144" t="str">
        <x:v>Com-Signal</x:v>
      </x:c>
      <x:c r="B307" s="144" t="str">
        <x:v>COM-SIG-Tx-0165 / RRR_Obj00A_Vx</x:v>
      </x:c>
      <x:c r="C307" s="144" t="str">
        <x:v>PDU=RRR_Obj00A; startBit=71; length=12; byteOrder=Little; type=UINT16; factor=0.0625; offset=-128; min=-128; max=127.9375; unit=m/s; receivers=DASy</x:v>
      </x:c>
      <x:c r="D3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7" s="144" t="str">
        <x:v>M2</x:v>
      </x:c>
      <x:c r="F307" s="144" t="str">
        <x:v>Signal 级可编辑配置、数据类型/缩放/端序合同、RTE 接口、边界值与 round-trip 测试。</x:v>
      </x:c>
      <x:c r="G307" s="144" t="str">
        <x:v>raw=0、raw=max、物理 min/max、越界/保留值、端序字节向量、pack→unpack round-trip；1457/1457 通过。</x:v>
      </x:c>
      <x:c r="H307" s="144" t="str">
        <x:v>coem/BYD_UKE/gen_bsw/Com/Com_PBcfg.c:8800; BYD_5R1V_RadarRearcorner_V2.5_AllNodes.dbc:853</x:v>
      </x:c>
    </x:row>
    <x:row r="308" ht="72" customHeight="1">
      <x:c r="A308" s="144" t="str">
        <x:v>Com-Signal</x:v>
      </x:c>
      <x:c r="B308" s="144" t="str">
        <x:v>COM-SIG-Tx-0166 / RRR_Obj00A_VyAxCoVnce</x:v>
      </x:c>
      <x:c r="C308" s="144" t="str">
        <x:v>PDU=RRR_Obj00A; startBit=336; length=12; byteOrder=Little; type=UINT16; factor=0.01; offset=0; min=0; max=30; unit=m^2/s^3; receivers=DASy</x:v>
      </x:c>
      <x:c r="D3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8" s="144" t="str">
        <x:v>M2</x:v>
      </x:c>
      <x:c r="F308" s="144" t="str">
        <x:v>Signal 级可编辑配置、数据类型/缩放/端序合同、RTE 接口、边界值与 round-trip 测试。</x:v>
      </x:c>
      <x:c r="G308" s="144" t="str">
        <x:v>raw=0、raw=max、物理 min/max、越界/保留值、端序字节向量、pack→unpack round-trip；1457/1457 通过。</x:v>
      </x:c>
      <x:c r="H308" s="144" t="str">
        <x:v>coem/BYD_UKE/gen_bsw/Com/Com_PBcfg.c:8853; BYD_5R1V_RadarRearcorner_V2.5_AllNodes.dbc:877</x:v>
      </x:c>
    </x:row>
    <x:row r="309" ht="72" customHeight="1">
      <x:c r="A309" s="144" t="str">
        <x:v>Com-Signal</x:v>
      </x:c>
      <x:c r="B309" s="144" t="str">
        <x:v>COM-SIG-Tx-0167 / RRR_Obj00A_VyAyCoVnce</x:v>
      </x:c>
      <x:c r="C309" s="144" t="str">
        <x:v>PDU=RRR_Obj00A; startBit=384; length=12; byteOrder=Little; type=UINT16; factor=0.01; offset=0; min=0; max=30; unit=m^2/s^3; receivers=DASy</x:v>
      </x:c>
      <x:c r="D3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09" s="144" t="str">
        <x:v>M2</x:v>
      </x:c>
      <x:c r="F309" s="144" t="str">
        <x:v>Signal 级可编辑配置、数据类型/缩放/端序合同、RTE 接口、边界值与 round-trip 测试。</x:v>
      </x:c>
      <x:c r="G309" s="144" t="str">
        <x:v>raw=0、raw=max、物理 min/max、越界/保留值、端序字节向量、pack→unpack round-trip；1457/1457 通过。</x:v>
      </x:c>
      <x:c r="H309" s="144" t="str">
        <x:v>coem/BYD_UKE/gen_bsw/Com/Com_PBcfg.c:8906; BYD_5R1V_RadarRearcorner_V2.5_AllNodes.dbc:881</x:v>
      </x:c>
    </x:row>
    <x:row r="310" ht="72" customHeight="1">
      <x:c r="A310" s="144" t="str">
        <x:v>Com-Signal</x:v>
      </x:c>
      <x:c r="B310" s="144" t="str">
        <x:v>COM-SIG-Tx-0168 / RRR_Obj00A_VyVnce</x:v>
      </x:c>
      <x:c r="C310" s="144" t="str">
        <x:v>PDU=RRR_Obj00A; startBit=188; length=12; byteOrder=Little; type=UINT16; factor=0.01; offset=0; min=0; max=30; unit=m^2/s^2; receivers=DASy</x:v>
      </x:c>
      <x:c r="D31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0" s="144" t="str">
        <x:v>M2</x:v>
      </x:c>
      <x:c r="F310" s="144" t="str">
        <x:v>Signal 级可编辑配置、数据类型/缩放/端序合同、RTE 接口、边界值与 round-trip 测试。</x:v>
      </x:c>
      <x:c r="G310" s="144" t="str">
        <x:v>raw=0、raw=max、物理 min/max、越界/保留值、端序字节向量、pack→unpack round-trip；1457/1457 通过。</x:v>
      </x:c>
      <x:c r="H310" s="144" t="str">
        <x:v>coem/BYD_UKE/gen_bsw/Com/Com_PBcfg.c:8959; BYD_5R1V_RadarRearcorner_V2.5_AllNodes.dbc:865</x:v>
      </x:c>
    </x:row>
    <x:row r="311" ht="72" customHeight="1">
      <x:c r="A311" s="144" t="str">
        <x:v>Com-Signal</x:v>
      </x:c>
      <x:c r="B311" s="144" t="str">
        <x:v>COM-SIG-Tx-0169 / RRR_Obj00A_Vy</x:v>
      </x:c>
      <x:c r="C311" s="144" t="str">
        <x:v>PDU=RRR_Obj00A; startBit=83; length=10; byteOrder=Little; type=UINT16; factor=0.125; offset=-64; min=-64; max=63.875; unit=m/s; receivers=DASy</x:v>
      </x:c>
      <x:c r="D3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1" s="144" t="str">
        <x:v>M2</x:v>
      </x:c>
      <x:c r="F311" s="144" t="str">
        <x:v>Signal 级可编辑配置、数据类型/缩放/端序合同、RTE 接口、边界值与 round-trip 测试。</x:v>
      </x:c>
      <x:c r="G311" s="144" t="str">
        <x:v>raw=0、raw=max、物理 min/max、越界/保留值、端序字节向量、pack→unpack round-trip；1457/1457 通过。</x:v>
      </x:c>
      <x:c r="H311" s="144" t="str">
        <x:v>coem/BYD_UKE/gen_bsw/Com/Com_PBcfg.c:9012; BYD_5R1V_RadarRearcorner_V2.5_AllNodes.dbc:854</x:v>
      </x:c>
    </x:row>
    <x:row r="312" ht="72" customHeight="1">
      <x:c r="A312" s="144" t="str">
        <x:v>Com-Signal</x:v>
      </x:c>
      <x:c r="B312" s="144" t="str">
        <x:v>COM-SIG-Tx-0170 / RRR_Obj00A_WidthVnce</x:v>
      </x:c>
      <x:c r="C312" s="144" t="str">
        <x:v>PDU=RRR_Obj00A; startBit=432; length=12; byteOrder=Little; type=UINT16; factor=0.01; offset=0; min=0; max=30; unit=m^2; receivers=DASy</x:v>
      </x:c>
      <x:c r="D3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2" s="144" t="str">
        <x:v>M2</x:v>
      </x:c>
      <x:c r="F312" s="144" t="str">
        <x:v>Signal 级可编辑配置、数据类型/缩放/端序合同、RTE 接口、边界值与 round-trip 测试。</x:v>
      </x:c>
      <x:c r="G312" s="144" t="str">
        <x:v>raw=0、raw=max、物理 min/max、越界/保留值、端序字节向量、pack→unpack round-trip；1457/1457 通过。</x:v>
      </x:c>
      <x:c r="H312" s="144" t="str">
        <x:v>coem/BYD_UKE/gen_bsw/Com/Com_PBcfg.c:9065; BYD_5R1V_RadarRearcorner_V2.5_AllNodes.dbc:885</x:v>
      </x:c>
    </x:row>
    <x:row r="313" ht="72" customHeight="1">
      <x:c r="A313" s="144" t="str">
        <x:v>Com-Signal</x:v>
      </x:c>
      <x:c r="B313" s="144" t="str">
        <x:v>COM-SIG-Tx-0171 / RRR_Obj00A_Width</x:v>
      </x:c>
      <x:c r="C313" s="144" t="str">
        <x:v>PDU=RRR_Obj00A; startBit=128; length=7; byteOrder=Little; type=UINT8; factor=0.125; offset=0; min=0; max=15.875; unit=m; receivers=DASy</x:v>
      </x:c>
      <x:c r="D3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3" s="144" t="str">
        <x:v>M2</x:v>
      </x:c>
      <x:c r="F313" s="144" t="str">
        <x:v>Signal 级可编辑配置、数据类型/缩放/端序合同、RTE 接口、边界值与 round-trip 测试。</x:v>
      </x:c>
      <x:c r="G313" s="144" t="str">
        <x:v>raw=0、raw=max、物理 min/max、越界/保留值、端序字节向量、pack→unpack round-trip；1457/1457 通过。</x:v>
      </x:c>
      <x:c r="H313" s="144" t="str">
        <x:v>coem/BYD_UKE/gen_bsw/Com/Com_PBcfg.c:9118; BYD_5R1V_RadarRearcorner_V2.5_AllNodes.dbc:859</x:v>
      </x:c>
    </x:row>
    <x:row r="314" ht="72" customHeight="1">
      <x:c r="A314" s="144" t="str">
        <x:v>Com-Signal</x:v>
      </x:c>
      <x:c r="B314" s="144" t="str">
        <x:v>COM-SIG-Tx-0172 / RRR_Obj00A_Type</x:v>
      </x:c>
      <x:c r="C314" s="144" t="str">
        <x:v>PDU=RRR_Obj00B; startBit=82; length=6; byteOrder=Little; type=UINT8; factor=1（Com原始值）; offset=0（Com原始值）; min=按位宽/类型; max=按位宽/类型; unit=-; receivers=-</x:v>
      </x:c>
      <x:c r="D31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14" s="144" t="str">
        <x:v>M2</x:v>
      </x:c>
      <x:c r="F314" s="144" t="str">
        <x:v>Signal 级可编辑配置、数据类型/缩放/端序合同、RTE 接口、边界值与 round-trip 测试。</x:v>
      </x:c>
      <x:c r="G314" s="144" t="str">
        <x:v>raw=0、raw=max、物理 min/max、越界/保留值、端序字节向量、pack→unpack round-trip；1457/1457 通过。</x:v>
      </x:c>
      <x:c r="H314" s="144" t="str">
        <x:v>coem/BYD_UKE/gen_bsw/Com/Com_PBcfg.c:9171</x:v>
      </x:c>
    </x:row>
    <x:row r="315" ht="72" customHeight="1">
      <x:c r="A315" s="144" t="str">
        <x:v>Com-Signal</x:v>
      </x:c>
      <x:c r="B315" s="144" t="str">
        <x:v>COM-SIG-Tx-0173 / RRR_Obj00B_AliveCtr</x:v>
      </x:c>
      <x:c r="C315" s="144" t="str">
        <x:v>PDU=RRR_Obj00B; startBit=16; length=8; byteOrder=Little; type=UINT8; factor=1; offset=0; min=0; max=255; unit=-; receivers=DASy</x:v>
      </x:c>
      <x:c r="D3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5" s="144" t="str">
        <x:v>M2</x:v>
      </x:c>
      <x:c r="F315" s="144" t="str">
        <x:v>Signal 级可编辑配置、数据类型/缩放/端序合同、RTE 接口、边界值与 round-trip 测试。</x:v>
      </x:c>
      <x:c r="G315" s="144" t="str">
        <x:v>raw=0、raw=max、物理 min/max、越界/保留值、端序字节向量、pack→unpack round-trip；1457/1457 通过。</x:v>
      </x:c>
      <x:c r="H315" s="144" t="str">
        <x:v>coem/BYD_UKE/gen_bsw/Com/Com_PBcfg.c:9224; BYD_5R1V_RadarRearcorner_V2.5_AllNodes.dbc:897</x:v>
      </x:c>
    </x:row>
    <x:row r="316" ht="72" customHeight="1">
      <x:c r="A316" s="144" t="str">
        <x:v>Com-Signal</x:v>
      </x:c>
      <x:c r="B316" s="144" t="str">
        <x:v>COM-SIG-Tx-0174 / RRR_Obj00B_BehaviorType</x:v>
      </x:c>
      <x:c r="C316" s="144" t="str">
        <x:v>PDU=RRR_Obj00B; startBit=88; length=3; byteOrder=Little; type=UINT8; factor=1; offset=0; min=0; max=7; unit=-; receivers=DASy</x:v>
      </x:c>
      <x:c r="D3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6" s="144" t="str">
        <x:v>M2</x:v>
      </x:c>
      <x:c r="F316" s="144" t="str">
        <x:v>Signal 级可编辑配置、数据类型/缩放/端序合同、RTE 接口、边界值与 round-trip 测试。</x:v>
      </x:c>
      <x:c r="G316" s="144" t="str">
        <x:v>raw=0、raw=max、物理 min/max、越界/保留值、端序字节向量、pack→unpack round-trip；1457/1457 通过。</x:v>
      </x:c>
      <x:c r="H316" s="144" t="str">
        <x:v>coem/BYD_UKE/gen_bsw/Com/Com_PBcfg.c:9277; BYD_5R1V_RadarRearcorner_V2.5_AllNodes.dbc:905</x:v>
      </x:c>
    </x:row>
    <x:row r="317" ht="72" customHeight="1">
      <x:c r="A317" s="144" t="str">
        <x:v>Com-Signal</x:v>
      </x:c>
      <x:c r="B317" s="144" t="str">
        <x:v>COM-SIG-Tx-0175 / RRR_Obj00B_CRC</x:v>
      </x:c>
      <x:c r="C317" s="144" t="str">
        <x:v>PDU=RRR_Obj00B; startBit=0; length=16; byteOrder=Little; type=UINT16; factor=1; offset=0; min=0; max=65535; unit=-; receivers=DASy</x:v>
      </x:c>
      <x:c r="D3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7" s="144" t="str">
        <x:v>M2</x:v>
      </x:c>
      <x:c r="F317" s="144" t="str">
        <x:v>Signal 级可编辑配置、数据类型/缩放/端序合同、RTE 接口、边界值与 round-trip 测试。</x:v>
      </x:c>
      <x:c r="G317" s="144" t="str">
        <x:v>raw=0、raw=max、物理 min/max、越界/保留值、端序字节向量、pack→unpack round-trip；1457/1457 通过。</x:v>
      </x:c>
      <x:c r="H317" s="144" t="str">
        <x:v>coem/BYD_UKE/gen_bsw/Com/Com_PBcfg.c:9330; BYD_5R1V_RadarRearcorner_V2.5_AllNodes.dbc:896</x:v>
      </x:c>
    </x:row>
    <x:row r="318" ht="72" customHeight="1">
      <x:c r="A318" s="144" t="str">
        <x:v>Com-Signal</x:v>
      </x:c>
      <x:c r="B318" s="144" t="str">
        <x:v>COM-SIG-Tx-0176 / RRR_Obj00B_MovingProbability</x:v>
      </x:c>
      <x:c r="C318" s="144" t="str">
        <x:v>PDU=RRR_Obj00B; startBit=76; length=6; byteOrder=Little; type=UINT8; factor=2; offset=0; min=0; max=100; unit=%; receivers=DASy</x:v>
      </x:c>
      <x:c r="D3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8" s="144" t="str">
        <x:v>M2</x:v>
      </x:c>
      <x:c r="F318" s="144" t="str">
        <x:v>Signal 级可编辑配置、数据类型/缩放/端序合同、RTE 接口、边界值与 round-trip 测试。</x:v>
      </x:c>
      <x:c r="G318" s="144" t="str">
        <x:v>raw=0、raw=max、物理 min/max、越界/保留值、端序字节向量、pack→unpack round-trip；1457/1457 通过。</x:v>
      </x:c>
      <x:c r="H318" s="144" t="str">
        <x:v>coem/BYD_UKE/gen_bsw/Com/Com_PBcfg.c:9383; BYD_5R1V_RadarRearcorner_V2.5_AllNodes.dbc:893</x:v>
      </x:c>
    </x:row>
    <x:row r="319" ht="72" customHeight="1">
      <x:c r="A319" s="144" t="str">
        <x:v>Com-Signal</x:v>
      </x:c>
      <x:c r="B319" s="144" t="str">
        <x:v>COM-SIG-Tx-0177 / RRR_Obj00B_Prob4PlusWhlCAR</x:v>
      </x:c>
      <x:c r="C319" s="144" t="str">
        <x:v>PDU=RRR_Obj00B; startBit=46; length=6; byteOrder=Little; type=UINT8; factor=2; offset=0; min=0; max=100; unit=%; receivers=DASy</x:v>
      </x:c>
      <x:c r="D3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19" s="144" t="str">
        <x:v>M2</x:v>
      </x:c>
      <x:c r="F319" s="144" t="str">
        <x:v>Signal 级可编辑配置、数据类型/缩放/端序合同、RTE 接口、边界值与 round-trip 测试。</x:v>
      </x:c>
      <x:c r="G319" s="144" t="str">
        <x:v>raw=0、raw=max、物理 min/max、越界/保留值、端序字节向量、pack→unpack round-trip；1457/1457 通过。</x:v>
      </x:c>
      <x:c r="H319" s="144" t="str">
        <x:v>coem/BYD_UKE/gen_bsw/Com/Com_PBcfg.c:9436; BYD_5R1V_RadarRearcorner_V2.5_AllNodes.dbc:902</x:v>
      </x:c>
    </x:row>
    <x:row r="320" ht="72" customHeight="1">
      <x:c r="A320" s="144" t="str">
        <x:v>Com-Signal</x:v>
      </x:c>
      <x:c r="B320" s="144" t="str">
        <x:v>COM-SIG-Tx-0178 / RRR_Obj00B_Prob4PlusWhlbHGV</x:v>
      </x:c>
      <x:c r="C320" s="144" t="str">
        <x:v>PDU=RRR_Obj00B; startBit=52; length=6; byteOrder=Little; type=UINT8; factor=2; offset=0; min=0; max=100; unit=%; receivers=DASy</x:v>
      </x:c>
      <x:c r="D3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0" s="144" t="str">
        <x:v>M2</x:v>
      </x:c>
      <x:c r="F320" s="144" t="str">
        <x:v>Signal 级可编辑配置、数据类型/缩放/端序合同、RTE 接口、边界值与 round-trip 测试。</x:v>
      </x:c>
      <x:c r="G320" s="144" t="str">
        <x:v>raw=0、raw=max、物理 min/max、越界/保留值、端序字节向量、pack→unpack round-trip；1457/1457 通过。</x:v>
      </x:c>
      <x:c r="H320" s="144" t="str">
        <x:v>coem/BYD_UKE/gen_bsw/Com/Com_PBcfg.c:9489; BYD_5R1V_RadarRearcorner_V2.5_AllNodes.dbc:903</x:v>
      </x:c>
    </x:row>
    <x:row r="321" ht="72" customHeight="1">
      <x:c r="A321" s="144" t="str">
        <x:v>Com-Signal</x:v>
      </x:c>
      <x:c r="B321" s="144" t="str">
        <x:v>COM-SIG-Tx-0179 / RRR_Obj00B_ProbGNDReflex</x:v>
      </x:c>
      <x:c r="C321" s="144" t="str">
        <x:v>PDU=RRR_Obj00B; startBit=58; length=6; byteOrder=Little; type=UINT8; factor=2; offset=0; min=0; max=100; unit=%; receivers=DASy</x:v>
      </x:c>
      <x:c r="D3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1" s="144" t="str">
        <x:v>M2</x:v>
      </x:c>
      <x:c r="F321" s="144" t="str">
        <x:v>Signal 级可编辑配置、数据类型/缩放/端序合同、RTE 接口、边界值与 round-trip 测试。</x:v>
      </x:c>
      <x:c r="G321" s="144" t="str">
        <x:v>raw=0、raw=max、物理 min/max、越界/保留值、端序字节向量、pack→unpack round-trip；1457/1457 通过。</x:v>
      </x:c>
      <x:c r="H321" s="144" t="str">
        <x:v>coem/BYD_UKE/gen_bsw/Com/Com_PBcfg.c:9542; BYD_5R1V_RadarRearcorner_V2.5_AllNodes.dbc:904</x:v>
      </x:c>
    </x:row>
    <x:row r="322" ht="72" customHeight="1">
      <x:c r="A322" s="144" t="str">
        <x:v>Com-Signal</x:v>
      </x:c>
      <x:c r="B322" s="144" t="str">
        <x:v>COM-SIG-Tx-0180 / RRR_Obj00B_ProbMob2Whl</x:v>
      </x:c>
      <x:c r="C322" s="144" t="str">
        <x:v>PDU=RRR_Obj00B; startBit=34; length=6; byteOrder=Little; type=UINT8; factor=2; offset=0; min=0; max=100; unit=%; receivers=DASy</x:v>
      </x:c>
      <x:c r="D3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2" s="144" t="str">
        <x:v>M2</x:v>
      </x:c>
      <x:c r="F322" s="144" t="str">
        <x:v>Signal 级可编辑配置、数据类型/缩放/端序合同、RTE 接口、边界值与 round-trip 测试。</x:v>
      </x:c>
      <x:c r="G322" s="144" t="str">
        <x:v>raw=0、raw=max、物理 min/max、越界/保留值、端序字节向量、pack→unpack round-trip；1457/1457 通过。</x:v>
      </x:c>
      <x:c r="H322" s="144" t="str">
        <x:v>coem/BYD_UKE/gen_bsw/Com/Com_PBcfg.c:9595; BYD_5R1V_RadarRearcorner_V2.5_AllNodes.dbc:900</x:v>
      </x:c>
    </x:row>
    <x:row r="323" ht="72" customHeight="1">
      <x:c r="A323" s="144" t="str">
        <x:v>Com-Signal</x:v>
      </x:c>
      <x:c r="B323" s="144" t="str">
        <x:v>COM-SIG-Tx-0181 / RRR_Obj00B_ProbMob4PlusWhl</x:v>
      </x:c>
      <x:c r="C323" s="144" t="str">
        <x:v>PDU=RRR_Obj00B; startBit=28; length=6; byteOrder=Little; type=UINT8; factor=2; offset=0; min=0; max=100; unit=%; receivers=DASy</x:v>
      </x:c>
      <x:c r="D3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3" s="144" t="str">
        <x:v>M2</x:v>
      </x:c>
      <x:c r="F323" s="144" t="str">
        <x:v>Signal 级可编辑配置、数据类型/缩放/端序合同、RTE 接口、边界值与 round-trip 测试。</x:v>
      </x:c>
      <x:c r="G323" s="144" t="str">
        <x:v>raw=0、raw=max、物理 min/max、越界/保留值、端序字节向量、pack→unpack round-trip；1457/1457 通过。</x:v>
      </x:c>
      <x:c r="H323" s="144" t="str">
        <x:v>coem/BYD_UKE/gen_bsw/Com/Com_PBcfg.c:9648; BYD_5R1V_RadarRearcorner_V2.5_AllNodes.dbc:899</x:v>
      </x:c>
    </x:row>
    <x:row r="324" ht="72" customHeight="1">
      <x:c r="A324" s="144" t="str">
        <x:v>Com-Signal</x:v>
      </x:c>
      <x:c r="B324" s="144" t="str">
        <x:v>COM-SIG-Tx-0182 / RRR_Obj00B_ProbMobPed</x:v>
      </x:c>
      <x:c r="C324" s="144" t="str">
        <x:v>PDU=RRR_Obj00B; startBit=40; length=6; byteOrder=Little; type=UINT8; factor=2; offset=0; min=0; max=100; unit=%; receivers=DASy</x:v>
      </x:c>
      <x:c r="D32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4" s="144" t="str">
        <x:v>M2</x:v>
      </x:c>
      <x:c r="F324" s="144" t="str">
        <x:v>Signal 级可编辑配置、数据类型/缩放/端序合同、RTE 接口、边界值与 round-trip 测试。</x:v>
      </x:c>
      <x:c r="G324" s="144" t="str">
        <x:v>raw=0、raw=max、物理 min/max、越界/保留值、端序字节向量、pack→unpack round-trip；1457/1457 通过。</x:v>
      </x:c>
      <x:c r="H324" s="144" t="str">
        <x:v>coem/BYD_UKE/gen_bsw/Com/Com_PBcfg.c:9701; BYD_5R1V_RadarRearcorner_V2.5_AllNodes.dbc:901</x:v>
      </x:c>
    </x:row>
    <x:row r="325" ht="72" customHeight="1">
      <x:c r="A325" s="144" t="str">
        <x:v>Com-Signal</x:v>
      </x:c>
      <x:c r="B325" s="144" t="str">
        <x:v>COM-SIG-Tx-0183 / RRR_Obj00B_ProbStatBarrier</x:v>
      </x:c>
      <x:c r="C325" s="144" t="str">
        <x:v>PDU=RRR_Obj00B; startBit=64; length=6; byteOrder=Little; type=UINT8; factor=2; offset=0; min=0; max=100; unit=%; receivers=DASy</x:v>
      </x:c>
      <x:c r="D3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5" s="144" t="str">
        <x:v>M2</x:v>
      </x:c>
      <x:c r="F325" s="144" t="str">
        <x:v>Signal 级可编辑配置、数据类型/缩放/端序合同、RTE 接口、边界值与 round-trip 测试。</x:v>
      </x:c>
      <x:c r="G325" s="144" t="str">
        <x:v>raw=0、raw=max、物理 min/max、越界/保留值、端序字节向量、pack→unpack round-trip；1457/1457 通过。</x:v>
      </x:c>
      <x:c r="H325" s="144" t="str">
        <x:v>coem/BYD_UKE/gen_bsw/Com/Com_PBcfg.c:9754; BYD_5R1V_RadarRearcorner_V2.5_AllNodes.dbc:895</x:v>
      </x:c>
    </x:row>
    <x:row r="326" ht="72" customHeight="1">
      <x:c r="A326" s="144" t="str">
        <x:v>Com-Signal</x:v>
      </x:c>
      <x:c r="B326" s="144" t="str">
        <x:v>COM-SIG-Tx-0184 / RRR_Obj00B_ProbStatObst</x:v>
      </x:c>
      <x:c r="C326" s="144" t="str">
        <x:v>PDU=RRR_Obj00B; startBit=70; length=6; byteOrder=Little; type=UINT8; factor=2; offset=0; min=0; max=100; unit=%; receivers=DASy</x:v>
      </x:c>
      <x:c r="D3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6" s="144" t="str">
        <x:v>M2</x:v>
      </x:c>
      <x:c r="F326" s="144" t="str">
        <x:v>Signal 级可编辑配置、数据类型/缩放/端序合同、RTE 接口、边界值与 round-trip 测试。</x:v>
      </x:c>
      <x:c r="G326" s="144" t="str">
        <x:v>raw=0、raw=max、物理 min/max、越界/保留值、端序字节向量、pack→unpack round-trip；1457/1457 通过。</x:v>
      </x:c>
      <x:c r="H326" s="144" t="str">
        <x:v>coem/BYD_UKE/gen_bsw/Com/Com_PBcfg.c:9807; BYD_5R1V_RadarRearcorner_V2.5_AllNodes.dbc:894</x:v>
      </x:c>
    </x:row>
    <x:row r="327" ht="72" customHeight="1">
      <x:c r="A327" s="144" t="str">
        <x:v>Com-Signal</x:v>
      </x:c>
      <x:c r="B327" s="144" t="str">
        <x:v>COM-SIG-Tx-0185 / RRR_Obj00B_ProtBlockCtr</x:v>
      </x:c>
      <x:c r="C327" s="144" t="str">
        <x:v>PDU=RRR_Obj00B; startBit=24; length=4; byteOrder=Little; type=UINT8; factor=1; offset=0; min=0; max=15; unit=-; receivers=DASy</x:v>
      </x:c>
      <x:c r="D3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7" s="144" t="str">
        <x:v>M2</x:v>
      </x:c>
      <x:c r="F327" s="144" t="str">
        <x:v>Signal 级可编辑配置、数据类型/缩放/端序合同、RTE 接口、边界值与 round-trip 测试。</x:v>
      </x:c>
      <x:c r="G327" s="144" t="str">
        <x:v>raw=0、raw=max、物理 min/max、越界/保留值、端序字节向量、pack→unpack round-trip；1457/1457 通过。</x:v>
      </x:c>
      <x:c r="H327" s="144" t="str">
        <x:v>coem/BYD_UKE/gen_bsw/Com/Com_PBcfg.c:9860; BYD_5R1V_RadarRearcorner_V2.5_AllNodes.dbc:898</x:v>
      </x:c>
    </x:row>
    <x:row r="328" ht="72" customHeight="1">
      <x:c r="A328" s="144" t="str">
        <x:v>Com-Signal</x:v>
      </x:c>
      <x:c r="B328" s="144" t="str">
        <x:v>COM-SIG-Tx-0186 / RRR_Obj01A_Age</x:v>
      </x:c>
      <x:c r="C328" s="144" t="str">
        <x:v>PDU=RRR_Obj01A; startBit=228; length=12; byteOrder=Little; type=UINT16; factor=1（Com原始值）; offset=0（Com原始值）; min=按位宽/类型; max=按位宽/类型; unit=-; receivers=-</x:v>
      </x:c>
      <x:c r="D32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28" s="144" t="str">
        <x:v>M2</x:v>
      </x:c>
      <x:c r="F328" s="144" t="str">
        <x:v>Signal 级可编辑配置、数据类型/缩放/端序合同、RTE 接口、边界值与 round-trip 测试。</x:v>
      </x:c>
      <x:c r="G328" s="144" t="str">
        <x:v>raw=0、raw=max、物理 min/max、越界/保留值、端序字节向量、pack→unpack round-trip；1457/1457 通过。</x:v>
      </x:c>
      <x:c r="H328" s="144" t="str">
        <x:v>coem/BYD_UKE/gen_bsw/Com/Com_PBcfg.c:9913</x:v>
      </x:c>
    </x:row>
    <x:row r="329" ht="72" customHeight="1">
      <x:c r="A329" s="144" t="str">
        <x:v>Com-Signal</x:v>
      </x:c>
      <x:c r="B329" s="144" t="str">
        <x:v>COM-SIG-Tx-0187 / RRR_Obj01A_AliveCtr</x:v>
      </x:c>
      <x:c r="C329" s="144" t="str">
        <x:v>PDU=RRR_Obj01A; startBit=16; length=8; byteOrder=Little; type=UINT8; factor=1; offset=0; min=0; max=255; unit=-; receivers=DASy</x:v>
      </x:c>
      <x:c r="D3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29" s="144" t="str">
        <x:v>M2</x:v>
      </x:c>
      <x:c r="F329" s="144" t="str">
        <x:v>Signal 级可编辑配置、数据类型/缩放/端序合同、RTE 接口、边界值与 round-trip 测试。</x:v>
      </x:c>
      <x:c r="G329" s="144" t="str">
        <x:v>raw=0、raw=max、物理 min/max、越界/保留值、端序字节向量、pack→unpack round-trip；1457/1457 通过。</x:v>
      </x:c>
      <x:c r="H329" s="144" t="str">
        <x:v>coem/BYD_UKE/gen_bsw/Com/Com_PBcfg.c:9966; BYD_5R1V_RadarRearcorner_V2.5_AllNodes.dbc:910</x:v>
      </x:c>
    </x:row>
    <x:row r="330" ht="72" customHeight="1">
      <x:c r="A330" s="144" t="str">
        <x:v>Com-Signal</x:v>
      </x:c>
      <x:c r="B330" s="144" t="str">
        <x:v>COM-SIG-Tx-0188 / RRR_Obj01A_AxAyCoVnce</x:v>
      </x:c>
      <x:c r="C330" s="144" t="str">
        <x:v>PDU=RRR_Obj01A; startBit=396; length=12; byteOrder=Little; type=UINT16; factor=0.01; offset=0; min=0; max=30; unit=m^2/s^4; receivers=DASy</x:v>
      </x:c>
      <x:c r="D3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0" s="144" t="str">
        <x:v>M2</x:v>
      </x:c>
      <x:c r="F330" s="144" t="str">
        <x:v>Signal 级可编辑配置、数据类型/缩放/端序合同、RTE 接口、边界值与 round-trip 测试。</x:v>
      </x:c>
      <x:c r="G330" s="144" t="str">
        <x:v>raw=0、raw=max、物理 min/max、越界/保留值、端序字节向量、pack→unpack round-trip；1457/1457 通过。</x:v>
      </x:c>
      <x:c r="H330" s="144" t="str">
        <x:v>coem/BYD_UKE/gen_bsw/Com/Com_PBcfg.c:10019; BYD_5R1V_RadarRearcorner_V2.5_AllNodes.dbc:948</x:v>
      </x:c>
    </x:row>
    <x:row r="331" ht="72" customHeight="1">
      <x:c r="A331" s="144" t="str">
        <x:v>Com-Signal</x:v>
      </x:c>
      <x:c r="B331" s="144" t="str">
        <x:v>COM-SIG-Tx-0189 / RRR_Obj01A_AxVnce</x:v>
      </x:c>
      <x:c r="C331" s="144" t="str">
        <x:v>PDU=RRR_Obj01A; startBit=200; length=12; byteOrder=Little; type=UINT16; factor=0.01; offset=0; min=0; max=30; unit=m^2/s^4; receivers=DASy</x:v>
      </x:c>
      <x:c r="D3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1" s="144" t="str">
        <x:v>M2</x:v>
      </x:c>
      <x:c r="F331" s="144" t="str">
        <x:v>Signal 级可编辑配置、数据类型/缩放/端序合同、RTE 接口、边界值与 round-trip 测试。</x:v>
      </x:c>
      <x:c r="G331" s="144" t="str">
        <x:v>raw=0、raw=max、物理 min/max、越界/保留值、端序字节向量、pack→unpack round-trip；1457/1457 通过。</x:v>
      </x:c>
      <x:c r="H331" s="144" t="str">
        <x:v>coem/BYD_UKE/gen_bsw/Com/Com_PBcfg.c:10072; BYD_5R1V_RadarRearcorner_V2.5_AllNodes.dbc:932</x:v>
      </x:c>
    </x:row>
    <x:row r="332" ht="72" customHeight="1">
      <x:c r="A332" s="144" t="str">
        <x:v>Com-Signal</x:v>
      </x:c>
      <x:c r="B332" s="144" t="str">
        <x:v>COM-SIG-Tx-0190 / RRR_Obj01A_Ax</x:v>
      </x:c>
      <x:c r="C332" s="144" t="str">
        <x:v>PDU=RRR_Obj01A; startBit=93; length=10; byteOrder=Little; type=UINT16; factor=0.03125; offset=-16; min=-16; max=15.96875; unit=m/s^2; receivers=DASy</x:v>
      </x:c>
      <x:c r="D3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2" s="144" t="str">
        <x:v>M2</x:v>
      </x:c>
      <x:c r="F332" s="144" t="str">
        <x:v>Signal 级可编辑配置、数据类型/缩放/端序合同、RTE 接口、边界值与 round-trip 测试。</x:v>
      </x:c>
      <x:c r="G332" s="144" t="str">
        <x:v>raw=0、raw=max、物理 min/max、越界/保留值、端序字节向量、pack→unpack round-trip；1457/1457 通过。</x:v>
      </x:c>
      <x:c r="H332" s="144" t="str">
        <x:v>coem/BYD_UKE/gen_bsw/Com/Com_PBcfg.c:10125; BYD_5R1V_RadarRearcorner_V2.5_AllNodes.dbc:921</x:v>
      </x:c>
    </x:row>
    <x:row r="333" ht="72" customHeight="1">
      <x:c r="A333" s="144" t="str">
        <x:v>Com-Signal</x:v>
      </x:c>
      <x:c r="B333" s="144" t="str">
        <x:v>COM-SIG-Tx-0191 / RRR_Obj01A_AyVnce</x:v>
      </x:c>
      <x:c r="C333" s="144" t="str">
        <x:v>PDU=RRR_Obj01A; startBit=212; length=12; byteOrder=Little; type=UINT16; factor=0.01; offset=0; min=0; max=30; unit=m^2/s^4; receivers=DASy</x:v>
      </x:c>
      <x:c r="D3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3" s="144" t="str">
        <x:v>M2</x:v>
      </x:c>
      <x:c r="F333" s="144" t="str">
        <x:v>Signal 级可编辑配置、数据类型/缩放/端序合同、RTE 接口、边界值与 round-trip 测试。</x:v>
      </x:c>
      <x:c r="G333" s="144" t="str">
        <x:v>raw=0、raw=max、物理 min/max、越界/保留值、端序字节向量、pack→unpack round-trip；1457/1457 通过。</x:v>
      </x:c>
      <x:c r="H333" s="144" t="str">
        <x:v>coem/BYD_UKE/gen_bsw/Com/Com_PBcfg.c:10178; BYD_5R1V_RadarRearcorner_V2.5_AllNodes.dbc:933</x:v>
      </x:c>
    </x:row>
    <x:row r="334" ht="72" customHeight="1">
      <x:c r="A334" s="144" t="str">
        <x:v>Com-Signal</x:v>
      </x:c>
      <x:c r="B334" s="144" t="str">
        <x:v>COM-SIG-Tx-0192 / RRR_Obj01A_Ay</x:v>
      </x:c>
      <x:c r="C334" s="144" t="str">
        <x:v>PDU=RRR_Obj01A; startBit=103; length=9; byteOrder=Little; type=UINT16; factor=0.0625; offset=-16; min=-16; max=15.9375; unit=m/s^2; receivers=DASy</x:v>
      </x:c>
      <x:c r="D3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4" s="144" t="str">
        <x:v>M2</x:v>
      </x:c>
      <x:c r="F334" s="144" t="str">
        <x:v>Signal 级可编辑配置、数据类型/缩放/端序合同、RTE 接口、边界值与 round-trip 测试。</x:v>
      </x:c>
      <x:c r="G334" s="144" t="str">
        <x:v>raw=0、raw=max、物理 min/max、越界/保留值、端序字节向量、pack→unpack round-trip；1457/1457 通过。</x:v>
      </x:c>
      <x:c r="H334" s="144" t="str">
        <x:v>coem/BYD_UKE/gen_bsw/Com/Com_PBcfg.c:10231; BYD_5R1V_RadarRearcorner_V2.5_AllNodes.dbc:922</x:v>
      </x:c>
    </x:row>
    <x:row r="335" ht="72" customHeight="1">
      <x:c r="A335" s="144" t="str">
        <x:v>Com-Signal</x:v>
      </x:c>
      <x:c r="B335" s="144" t="str">
        <x:v>COM-SIG-Tx-0193 / RRR_Obj01A_CRC</x:v>
      </x:c>
      <x:c r="C335" s="144" t="str">
        <x:v>PDU=RRR_Obj01A; startBit=0; length=16; byteOrder=Little; type=UINT16; factor=1; offset=0; min=0; max=65535; unit=-; receivers=DASy</x:v>
      </x:c>
      <x:c r="D3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5" s="144" t="str">
        <x:v>M2</x:v>
      </x:c>
      <x:c r="F335" s="144" t="str">
        <x:v>Signal 级可编辑配置、数据类型/缩放/端序合同、RTE 接口、边界值与 round-trip 测试。</x:v>
      </x:c>
      <x:c r="G335" s="144" t="str">
        <x:v>raw=0、raw=max、物理 min/max、越界/保留值、端序字节向量、pack→unpack round-trip；1457/1457 通过。</x:v>
      </x:c>
      <x:c r="H335" s="144" t="str">
        <x:v>coem/BYD_UKE/gen_bsw/Com/Com_PBcfg.c:10284; BYD_5R1V_RadarRearcorner_V2.5_AllNodes.dbc:909</x:v>
      </x:c>
    </x:row>
    <x:row r="336" ht="72" customHeight="1">
      <x:c r="A336" s="144" t="str">
        <x:v>Com-Signal</x:v>
      </x:c>
      <x:c r="B336" s="144" t="str">
        <x:v>COM-SIG-Tx-0194 / RRR_Obj01A_DxAxCoVnce</x:v>
      </x:c>
      <x:c r="C336" s="144" t="str">
        <x:v>PDU=RRR_Obj01A; startBit=300; length=12; byteOrder=Little; type=UINT16; factor=0.01; offset=0; min=0; max=30; unit=m^2/s^2; receivers=DASy</x:v>
      </x:c>
      <x:c r="D3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6" s="144" t="str">
        <x:v>M2</x:v>
      </x:c>
      <x:c r="F336" s="144" t="str">
        <x:v>Signal 级可编辑配置、数据类型/缩放/端序合同、RTE 接口、边界值与 round-trip 测试。</x:v>
      </x:c>
      <x:c r="G336" s="144" t="str">
        <x:v>raw=0、raw=max、物理 min/max、越界/保留值、端序字节向量、pack→unpack round-trip；1457/1457 通过。</x:v>
      </x:c>
      <x:c r="H336" s="144" t="str">
        <x:v>coem/BYD_UKE/gen_bsw/Com/Com_PBcfg.c:10337; BYD_5R1V_RadarRearcorner_V2.5_AllNodes.dbc:940</x:v>
      </x:c>
    </x:row>
    <x:row r="337" ht="72" customHeight="1">
      <x:c r="A337" s="144" t="str">
        <x:v>Com-Signal</x:v>
      </x:c>
      <x:c r="B337" s="144" t="str">
        <x:v>COM-SIG-Tx-0195 / RRR_Obj01A_DxAyCoVnce</x:v>
      </x:c>
      <x:c r="C337" s="144" t="str">
        <x:v>PDU=RRR_Obj01A; startBit=348; length=12; byteOrder=Little; type=UINT16; factor=0.01; offset=0; min=0; max=30; unit=m^2/s^2; receivers=DASy</x:v>
      </x:c>
      <x:c r="D3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7" s="144" t="str">
        <x:v>M2</x:v>
      </x:c>
      <x:c r="F337" s="144" t="str">
        <x:v>Signal 级可编辑配置、数据类型/缩放/端序合同、RTE 接口、边界值与 round-trip 测试。</x:v>
      </x:c>
      <x:c r="G337" s="144" t="str">
        <x:v>raw=0、raw=max、物理 min/max、越界/保留值、端序字节向量、pack→unpack round-trip；1457/1457 通过。</x:v>
      </x:c>
      <x:c r="H337" s="144" t="str">
        <x:v>coem/BYD_UKE/gen_bsw/Com/Com_PBcfg.c:10390; BYD_5R1V_RadarRearcorner_V2.5_AllNodes.dbc:944</x:v>
      </x:c>
    </x:row>
    <x:row r="338" ht="72" customHeight="1">
      <x:c r="A338" s="144" t="str">
        <x:v>Com-Signal</x:v>
      </x:c>
      <x:c r="B338" s="144" t="str">
        <x:v>COM-SIG-Tx-0196 / RRR_Obj01A_DxVnce</x:v>
      </x:c>
      <x:c r="C338" s="144" t="str">
        <x:v>PDU=RRR_Obj01A; startBit=142; length=12; byteOrder=Little; type=UINT16; factor=0.01; offset=0; min=0; max=30; unit=m^2; receivers=DASy</x:v>
      </x:c>
      <x:c r="D33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8" s="144" t="str">
        <x:v>M2</x:v>
      </x:c>
      <x:c r="F338" s="144" t="str">
        <x:v>Signal 级可编辑配置、数据类型/缩放/端序合同、RTE 接口、边界值与 round-trip 测试。</x:v>
      </x:c>
      <x:c r="G338" s="144" t="str">
        <x:v>raw=0、raw=max、物理 min/max、越界/保留值、端序字节向量、pack→unpack round-trip；1457/1457 通过。</x:v>
      </x:c>
      <x:c r="H338" s="144" t="str">
        <x:v>coem/BYD_UKE/gen_bsw/Com/Com_PBcfg.c:10443; BYD_5R1V_RadarRearcorner_V2.5_AllNodes.dbc:927</x:v>
      </x:c>
    </x:row>
    <x:row r="339" ht="72" customHeight="1">
      <x:c r="A339" s="144" t="str">
        <x:v>Com-Signal</x:v>
      </x:c>
      <x:c r="B339" s="144" t="str">
        <x:v>COM-SIG-Tx-0197 / RRR_Obj01A_Dx</x:v>
      </x:c>
      <x:c r="C339" s="144" t="str">
        <x:v>PDU=RRR_Obj01A; startBit=40; length=13; byteOrder=Little; type=UINT16; factor=0.0625; offset=-256; min=-256; max=255.9375; unit=m; receivers=DASy</x:v>
      </x:c>
      <x:c r="D3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39" s="144" t="str">
        <x:v>M2</x:v>
      </x:c>
      <x:c r="F339" s="144" t="str">
        <x:v>Signal 级可编辑配置、数据类型/缩放/端序合同、RTE 接口、边界值与 round-trip 测试。</x:v>
      </x:c>
      <x:c r="G339" s="144" t="str">
        <x:v>raw=0、raw=max、物理 min/max、越界/保留值、端序字节向量、pack→unpack round-trip；1457/1457 通过。</x:v>
      </x:c>
      <x:c r="H339" s="144" t="str">
        <x:v>coem/BYD_UKE/gen_bsw/Com/Com_PBcfg.c:10496; BYD_5R1V_RadarRearcorner_V2.5_AllNodes.dbc:916</x:v>
      </x:c>
    </x:row>
    <x:row r="340" ht="72" customHeight="1">
      <x:c r="A340" s="144" t="str">
        <x:v>Com-Signal</x:v>
      </x:c>
      <x:c r="B340" s="144" t="str">
        <x:v>COM-SIG-Tx-0198 / RRR_Obj01A_DyAxCoVnce</x:v>
      </x:c>
      <x:c r="C340" s="144" t="str">
        <x:v>PDU=RRR_Obj01A; startBit=312; length=12; byteOrder=Little; type=UINT16; factor=0.01; offset=0; min=0; max=30; unit=m^2/s^2; receivers=DASy</x:v>
      </x:c>
      <x:c r="D3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0" s="144" t="str">
        <x:v>M2</x:v>
      </x:c>
      <x:c r="F340" s="144" t="str">
        <x:v>Signal 级可编辑配置、数据类型/缩放/端序合同、RTE 接口、边界值与 round-trip 测试。</x:v>
      </x:c>
      <x:c r="G340" s="144" t="str">
        <x:v>raw=0、raw=max、物理 min/max、越界/保留值、端序字节向量、pack→unpack round-trip；1457/1457 通过。</x:v>
      </x:c>
      <x:c r="H340" s="144" t="str">
        <x:v>coem/BYD_UKE/gen_bsw/Com/Com_PBcfg.c:10549; BYD_5R1V_RadarRearcorner_V2.5_AllNodes.dbc:941</x:v>
      </x:c>
    </x:row>
    <x:row r="341" ht="72" customHeight="1">
      <x:c r="A341" s="144" t="str">
        <x:v>Com-Signal</x:v>
      </x:c>
      <x:c r="B341" s="144" t="str">
        <x:v>COM-SIG-Tx-0199 / RRR_Obj01A_DyAyCoVnce</x:v>
      </x:c>
      <x:c r="C341" s="144" t="str">
        <x:v>PDU=RRR_Obj01A; startBit=360; length=12; byteOrder=Little; type=UINT16; factor=0.01; offset=0; min=0; max=30; unit=m^2/s^2; receivers=DASy</x:v>
      </x:c>
      <x:c r="D3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1" s="144" t="str">
        <x:v>M2</x:v>
      </x:c>
      <x:c r="F341" s="144" t="str">
        <x:v>Signal 级可编辑配置、数据类型/缩放/端序合同、RTE 接口、边界值与 round-trip 测试。</x:v>
      </x:c>
      <x:c r="G341" s="144" t="str">
        <x:v>raw=0、raw=max、物理 min/max、越界/保留值、端序字节向量、pack→unpack round-trip；1457/1457 通过。</x:v>
      </x:c>
      <x:c r="H341" s="144" t="str">
        <x:v>coem/BYD_UKE/gen_bsw/Com/Com_PBcfg.c:10602; BYD_5R1V_RadarRearcorner_V2.5_AllNodes.dbc:945</x:v>
      </x:c>
    </x:row>
    <x:row r="342" ht="72" customHeight="1">
      <x:c r="A342" s="144" t="str">
        <x:v>Com-Signal</x:v>
      </x:c>
      <x:c r="B342" s="144" t="str">
        <x:v>COM-SIG-Tx-0200 / RRR_Obj01A_DyVnce</x:v>
      </x:c>
      <x:c r="C342" s="144" t="str">
        <x:v>PDU=RRR_Obj01A; startBit=154; length=12; byteOrder=Little; type=UINT16; factor=0.01; offset=0; min=0; max=30; unit=m^2; receivers=DASy</x:v>
      </x:c>
      <x:c r="D3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2" s="144" t="str">
        <x:v>M2</x:v>
      </x:c>
      <x:c r="F342" s="144" t="str">
        <x:v>Signal 级可编辑配置、数据类型/缩放/端序合同、RTE 接口、边界值与 round-trip 测试。</x:v>
      </x:c>
      <x:c r="G342" s="144" t="str">
        <x:v>raw=0、raw=max、物理 min/max、越界/保留值、端序字节向量、pack→unpack round-trip；1457/1457 通过。</x:v>
      </x:c>
      <x:c r="H342" s="144" t="str">
        <x:v>coem/BYD_UKE/gen_bsw/Com/Com_PBcfg.c:10655; BYD_5R1V_RadarRearcorner_V2.5_AllNodes.dbc:928</x:v>
      </x:c>
    </x:row>
    <x:row r="343" ht="72" customHeight="1">
      <x:c r="A343" s="144" t="str">
        <x:v>Com-Signal</x:v>
      </x:c>
      <x:c r="B343" s="144" t="str">
        <x:v>COM-SIG-Tx-0201 / RRR_Obj01A_DyVyCoVnce</x:v>
      </x:c>
      <x:c r="C343" s="144" t="str">
        <x:v>PDU=RRR_Obj01A; startBit=276; length=12; byteOrder=Little; type=UINT16; factor=0.01; offset=0; min=0; max=30; unit=m^2/s; receivers=DASy</x:v>
      </x:c>
      <x:c r="D3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3" s="144" t="str">
        <x:v>M2</x:v>
      </x:c>
      <x:c r="F343" s="144" t="str">
        <x:v>Signal 级可编辑配置、数据类型/缩放/端序合同、RTE 接口、边界值与 round-trip 测试。</x:v>
      </x:c>
      <x:c r="G343" s="144" t="str">
        <x:v>raw=0、raw=max、物理 min/max、越界/保留值、端序字节向量、pack→unpack round-trip；1457/1457 通过。</x:v>
      </x:c>
      <x:c r="H343" s="144" t="str">
        <x:v>coem/BYD_UKE/gen_bsw/Com/Com_PBcfg.c:10708; BYD_5R1V_RadarRearcorner_V2.5_AllNodes.dbc:938</x:v>
      </x:c>
    </x:row>
    <x:row r="344" ht="72" customHeight="1">
      <x:c r="A344" s="144" t="str">
        <x:v>Com-Signal</x:v>
      </x:c>
      <x:c r="B344" s="144" t="str">
        <x:v>COM-SIG-Tx-0202 / RRR_Obj01A_Dy</x:v>
      </x:c>
      <x:c r="C344" s="144" t="str">
        <x:v>PDU=RRR_Obj01A; startBit=59; length=11; byteOrder=Little; type=UINT16; factor=0.125; offset=-128; min=-128; max=127.875; unit=m; receivers=DASy</x:v>
      </x:c>
      <x:c r="D3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4" s="144" t="str">
        <x:v>M2</x:v>
      </x:c>
      <x:c r="F344" s="144" t="str">
        <x:v>Signal 级可编辑配置、数据类型/缩放/端序合同、RTE 接口、边界值与 round-trip 测试。</x:v>
      </x:c>
      <x:c r="G344" s="144" t="str">
        <x:v>raw=0、raw=max、物理 min/max、越界/保留值、端序字节向量、pack→unpack round-trip；1457/1457 通过。</x:v>
      </x:c>
      <x:c r="H344" s="144" t="str">
        <x:v>coem/BYD_UKE/gen_bsw/Com/Com_PBcfg.c:10761; BYD_5R1V_RadarRearcorner_V2.5_AllNodes.dbc:917</x:v>
      </x:c>
    </x:row>
    <x:row r="345" ht="72" customHeight="1">
      <x:c r="A345" s="144" t="str">
        <x:v>Com-Signal</x:v>
      </x:c>
      <x:c r="B345" s="144" t="str">
        <x:v>COM-SIG-Tx-0203 / RRR_Obj01A_DzVnce</x:v>
      </x:c>
      <x:c r="C345" s="144" t="str">
        <x:v>PDU=RRR_Obj01A; startBit=166; length=10; byteOrder=Little; type=UINT16; factor=0.01; offset=0; min=0; max=10; unit=m^2; receivers=DASy</x:v>
      </x:c>
      <x:c r="D3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5" s="144" t="str">
        <x:v>M2</x:v>
      </x:c>
      <x:c r="F345" s="144" t="str">
        <x:v>Signal 级可编辑配置、数据类型/缩放/端序合同、RTE 接口、边界值与 round-trip 测试。</x:v>
      </x:c>
      <x:c r="G345" s="144" t="str">
        <x:v>raw=0、raw=max、物理 min/max、越界/保留值、端序字节向量、pack→unpack round-trip；1457/1457 通过。</x:v>
      </x:c>
      <x:c r="H345" s="144" t="str">
        <x:v>coem/BYD_UKE/gen_bsw/Com/Com_PBcfg.c:10814; BYD_5R1V_RadarRearcorner_V2.5_AllNodes.dbc:929</x:v>
      </x:c>
    </x:row>
    <x:row r="346" ht="72" customHeight="1">
      <x:c r="A346" s="144" t="str">
        <x:v>Com-Signal</x:v>
      </x:c>
      <x:c r="B346" s="144" t="str">
        <x:v>COM-SIG-Tx-0204 / RRR_Obj01A_Dz</x:v>
      </x:c>
      <x:c r="C346" s="144" t="str">
        <x:v>PDU=RRR_Obj01A; startBit=53; length=6; byteOrder=Little; type=UINT8; factor=0.25; offset=-5; min=-5; max=10.75; unit=m; receivers=DASy</x:v>
      </x:c>
      <x:c r="D3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6" s="144" t="str">
        <x:v>M2</x:v>
      </x:c>
      <x:c r="F346" s="144" t="str">
        <x:v>Signal 级可编辑配置、数据类型/缩放/端序合同、RTE 接口、边界值与 round-trip 测试。</x:v>
      </x:c>
      <x:c r="G346" s="144" t="str">
        <x:v>raw=0、raw=max、物理 min/max、越界/保留值、端序字节向量、pack→unpack round-trip；1457/1457 通过。</x:v>
      </x:c>
      <x:c r="H346" s="144" t="str">
        <x:v>coem/BYD_UKE/gen_bsw/Com/Com_PBcfg.c:10867; BYD_5R1V_RadarRearcorner_V2.5_AllNodes.dbc:918</x:v>
      </x:c>
    </x:row>
    <x:row r="347" ht="72" customHeight="1">
      <x:c r="A347" s="144" t="str">
        <x:v>Com-Signal</x:v>
      </x:c>
      <x:c r="B347" s="144" t="str">
        <x:v>COM-SIG-Tx-0205 / RRR_Obj01A_HeadingYawAngleVnce</x:v>
      </x:c>
      <x:c r="C347" s="144" t="str">
        <x:v>PDU=RRR_Obj01A; startBit=408; length=12; byteOrder=Little; type=UINT16; factor=0.0003; offset=0; min=0; max=1; unit=rad^2; receivers=DASy</x:v>
      </x:c>
      <x:c r="D3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7" s="144" t="str">
        <x:v>M2</x:v>
      </x:c>
      <x:c r="F347" s="144" t="str">
        <x:v>Signal 级可编辑配置、数据类型/缩放/端序合同、RTE 接口、边界值与 round-trip 测试。</x:v>
      </x:c>
      <x:c r="G347" s="144" t="str">
        <x:v>raw=0、raw=max、物理 min/max、越界/保留值、端序字节向量、pack→unpack round-trip；1457/1457 通过。</x:v>
      </x:c>
      <x:c r="H347" s="144" t="str">
        <x:v>coem/BYD_UKE/gen_bsw/Com/Com_PBcfg.c:10920; BYD_5R1V_RadarRearcorner_V2.5_AllNodes.dbc:949</x:v>
      </x:c>
    </x:row>
    <x:row r="348" ht="72" customHeight="1">
      <x:c r="A348" s="144" t="str">
        <x:v>Com-Signal</x:v>
      </x:c>
      <x:c r="B348" s="144" t="str">
        <x:v>COM-SIG-Tx-0206 / RRR_Obj01A_HeadingYawAngle</x:v>
      </x:c>
      <x:c r="C348" s="144" t="str">
        <x:v>PDU=RRR_Obj01A; startBit=112; length=9; byteOrder=Little; type=UINT16; factor=0.0175; offset=-4.48; min=-3.15; max=3.15; unit=rad; receivers=DASy</x:v>
      </x:c>
      <x:c r="D3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48" s="144" t="str">
        <x:v>M2</x:v>
      </x:c>
      <x:c r="F348" s="144" t="str">
        <x:v>Signal 级可编辑配置、数据类型/缩放/端序合同、RTE 接口、边界值与 round-trip 测试。</x:v>
      </x:c>
      <x:c r="G348" s="144" t="str">
        <x:v>raw=0、raw=max、物理 min/max、越界/保留值、端序字节向量、pack→unpack round-trip；1457/1457 通过。</x:v>
      </x:c>
      <x:c r="H348" s="144" t="str">
        <x:v>coem/BYD_UKE/gen_bsw/Com/Com_PBcfg.c:10973; BYD_5R1V_RadarRearcorner_V2.5_AllNodes.dbc:923</x:v>
      </x:c>
    </x:row>
    <x:row r="349" ht="72" customHeight="1">
      <x:c r="A349" s="144" t="str">
        <x:v>Com-Signal</x:v>
      </x:c>
      <x:c r="B349" s="144" t="str">
        <x:v>COM-SIG-Tx-0207 / RRR_Obj01A_HeadingYawrate</x:v>
      </x:c>
      <x:c r="C349" s="144" t="str">
        <x:v>PDU=RRR_Obj01A; startBit=240; length=12; byteOrder=Little; type=UINT16; factor=1（Com原始值）; offset=0（Com原始值）; min=按位宽/类型; max=按位宽/类型; unit=-; receivers=-</x:v>
      </x:c>
      <x:c r="D349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49" s="144" t="str">
        <x:v>M2</x:v>
      </x:c>
      <x:c r="F349" s="144" t="str">
        <x:v>Signal 级可编辑配置、数据类型/缩放/端序合同、RTE 接口、边界值与 round-trip 测试。</x:v>
      </x:c>
      <x:c r="G349" s="144" t="str">
        <x:v>raw=0、raw=max、物理 min/max、越界/保留值、端序字节向量、pack→unpack round-trip；1457/1457 通过。</x:v>
      </x:c>
      <x:c r="H349" s="144" t="str">
        <x:v>coem/BYD_UKE/gen_bsw/Com/Com_PBcfg.c:11026</x:v>
      </x:c>
    </x:row>
    <x:row r="350" ht="72" customHeight="1">
      <x:c r="A350" s="144" t="str">
        <x:v>Com-Signal</x:v>
      </x:c>
      <x:c r="B350" s="144" t="str">
        <x:v>COM-SIG-Tx-0208 / RRR_Obj01A_HeightVnce</x:v>
      </x:c>
      <x:c r="C350" s="144" t="str">
        <x:v>PDU=RRR_Obj01A; startBit=444; length=12; byteOrder=Little; type=UINT16; factor=0.01; offset=0; min=0; max=30; unit=m^2; receivers=DASy</x:v>
      </x:c>
      <x:c r="D3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0" s="144" t="str">
        <x:v>M2</x:v>
      </x:c>
      <x:c r="F350" s="144" t="str">
        <x:v>Signal 级可编辑配置、数据类型/缩放/端序合同、RTE 接口、边界值与 round-trip 测试。</x:v>
      </x:c>
      <x:c r="G350" s="144" t="str">
        <x:v>raw=0、raw=max、物理 min/max、越界/保留值、端序字节向量、pack→unpack round-trip；1457/1457 通过。</x:v>
      </x:c>
      <x:c r="H350" s="144" t="str">
        <x:v>coem/BYD_UKE/gen_bsw/Com/Com_PBcfg.c:11079; BYD_5R1V_RadarRearcorner_V2.5_AllNodes.dbc:908</x:v>
      </x:c>
    </x:row>
    <x:row r="351" ht="72" customHeight="1">
      <x:c r="A351" s="144" t="str">
        <x:v>Com-Signal</x:v>
      </x:c>
      <x:c r="B351" s="144" t="str">
        <x:v>COM-SIG-Tx-0209 / RRR_Obj01A_Height</x:v>
      </x:c>
      <x:c r="C351" s="144" t="str">
        <x:v>PDU=RRR_Obj01A; startBit=135; length=7; byteOrder=Little; type=UINT8; factor=0.125; offset=0; min=0; max=15.875; unit=m; receivers=DASy</x:v>
      </x:c>
      <x:c r="D3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1" s="144" t="str">
        <x:v>M2</x:v>
      </x:c>
      <x:c r="F351" s="144" t="str">
        <x:v>Signal 级可编辑配置、数据类型/缩放/端序合同、RTE 接口、边界值与 round-trip 测试。</x:v>
      </x:c>
      <x:c r="G351" s="144" t="str">
        <x:v>raw=0、raw=max、物理 min/max、越界/保留值、端序字节向量、pack→unpack round-trip；1457/1457 通过。</x:v>
      </x:c>
      <x:c r="H351" s="144" t="str">
        <x:v>coem/BYD_UKE/gen_bsw/Com/Com_PBcfg.c:11132; BYD_5R1V_RadarRearcorner_V2.5_AllNodes.dbc:926</x:v>
      </x:c>
    </x:row>
    <x:row r="352" ht="72" customHeight="1">
      <x:c r="A352" s="144" t="str">
        <x:v>Com-Signal</x:v>
      </x:c>
      <x:c r="B352" s="144" t="str">
        <x:v>COM-SIG-Tx-0210 / RRR_Obj01A_ID</x:v>
      </x:c>
      <x:c r="C352" s="144" t="str">
        <x:v>PDU=RRR_Obj01A; startBit=32; length=7; byteOrder=Little; type=UINT8; factor=1; offset=0; min=0; max=127; unit=-; receivers=DASy</x:v>
      </x:c>
      <x:c r="D3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2" s="144" t="str">
        <x:v>M2</x:v>
      </x:c>
      <x:c r="F352" s="144" t="str">
        <x:v>Signal 级可编辑配置、数据类型/缩放/端序合同、RTE 接口、边界值与 round-trip 测试。</x:v>
      </x:c>
      <x:c r="G352" s="144" t="str">
        <x:v>raw=0、raw=max、物理 min/max、越界/保留值、端序字节向量、pack→unpack round-trip；1457/1457 通过。</x:v>
      </x:c>
      <x:c r="H352" s="144" t="str">
        <x:v>coem/BYD_UKE/gen_bsw/Com/Com_PBcfg.c:11185; BYD_5R1V_RadarRearcorner_V2.5_AllNodes.dbc:912</x:v>
      </x:c>
    </x:row>
    <x:row r="353" ht="72" customHeight="1">
      <x:c r="A353" s="144" t="str">
        <x:v>Com-Signal</x:v>
      </x:c>
      <x:c r="B353" s="144" t="str">
        <x:v>COM-SIG-Tx-0211 / RRR_Obj01A_LengthVnce</x:v>
      </x:c>
      <x:c r="C353" s="144" t="str">
        <x:v>PDU=RRR_Obj01A; startBit=420; length=12; byteOrder=Little; type=UINT16; factor=0.01; offset=0; min=0; max=30; unit=m^2; receivers=DASy</x:v>
      </x:c>
      <x:c r="D3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3" s="144" t="str">
        <x:v>M2</x:v>
      </x:c>
      <x:c r="F353" s="144" t="str">
        <x:v>Signal 级可编辑配置、数据类型/缩放/端序合同、RTE 接口、边界值与 round-trip 测试。</x:v>
      </x:c>
      <x:c r="G353" s="144" t="str">
        <x:v>raw=0、raw=max、物理 min/max、越界/保留值、端序字节向量、pack→unpack round-trip；1457/1457 通过。</x:v>
      </x:c>
      <x:c r="H353" s="144" t="str">
        <x:v>coem/BYD_UKE/gen_bsw/Com/Com_PBcfg.c:11238; BYD_5R1V_RadarRearcorner_V2.5_AllNodes.dbc:950</x:v>
      </x:c>
    </x:row>
    <x:row r="354" ht="72" customHeight="1">
      <x:c r="A354" s="144" t="str">
        <x:v>Com-Signal</x:v>
      </x:c>
      <x:c r="B354" s="144" t="str">
        <x:v>COM-SIG-Tx-0212 / RRR_Obj01A_Length</x:v>
      </x:c>
      <x:c r="C354" s="144" t="str">
        <x:v>PDU=RRR_Obj01A; startBit=121; length=7; byteOrder=Little; type=UINT8; factor=0.125; offset=0; min=0; max=15.875; unit=m; receivers=DASy</x:v>
      </x:c>
      <x:c r="D3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4" s="144" t="str">
        <x:v>M2</x:v>
      </x:c>
      <x:c r="F354" s="144" t="str">
        <x:v>Signal 级可编辑配置、数据类型/缩放/端序合同、RTE 接口、边界值与 round-trip 测试。</x:v>
      </x:c>
      <x:c r="G354" s="144" t="str">
        <x:v>raw=0、raw=max、物理 min/max、越界/保留值、端序字节向量、pack→unpack round-trip；1457/1457 通过。</x:v>
      </x:c>
      <x:c r="H354" s="144" t="str">
        <x:v>coem/BYD_UKE/gen_bsw/Com/Com_PBcfg.c:11291; BYD_5R1V_RadarRearcorner_V2.5_AllNodes.dbc:924</x:v>
      </x:c>
    </x:row>
    <x:row r="355" ht="72" customHeight="1">
      <x:c r="A355" s="144" t="str">
        <x:v>Com-Signal</x:v>
      </x:c>
      <x:c r="B355" s="144" t="str">
        <x:v>COM-SIG-Tx-0213 / RRR_Obj01A_Measured</x:v>
      </x:c>
      <x:c r="C355" s="144" t="str">
        <x:v>PDU=RRR_Obj01A; startBit=39; length=1; byteOrder=Little; type=UINT8; factor=1; offset=0; min=0; max=1; unit=-; receivers=DASy</x:v>
      </x:c>
      <x:c r="D3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5" s="144" t="str">
        <x:v>M2</x:v>
      </x:c>
      <x:c r="F355" s="144" t="str">
        <x:v>Signal 级可编辑配置、数据类型/缩放/端序合同、RTE 接口、边界值与 round-trip 测试。</x:v>
      </x:c>
      <x:c r="G355" s="144" t="str">
        <x:v>raw=0、raw=max、物理 min/max、越界/保留值、端序字节向量、pack→unpack round-trip；1457/1457 通过。</x:v>
      </x:c>
      <x:c r="H355" s="144" t="str">
        <x:v>coem/BYD_UKE/gen_bsw/Com/Com_PBcfg.c:11344; BYD_5R1V_RadarRearcorner_V2.5_AllNodes.dbc:915</x:v>
      </x:c>
    </x:row>
    <x:row r="356" ht="72" customHeight="1">
      <x:c r="A356" s="144" t="str">
        <x:v>Com-Signal</x:v>
      </x:c>
      <x:c r="B356" s="144" t="str">
        <x:v>COM-SIG-Tx-0214 / RRR_Obj01A_ObjDetected</x:v>
      </x:c>
      <x:c r="C356" s="144" t="str">
        <x:v>PDU=RRR_Obj01A; startBit=264; length=12; byteOrder=Little; type=UINT16; factor=1（Com原始值）; offset=0（Com原始值）; min=按位宽/类型; max=按位宽/类型; unit=-; receivers=-</x:v>
      </x:c>
      <x:c r="D35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56" s="144" t="str">
        <x:v>M2</x:v>
      </x:c>
      <x:c r="F356" s="144" t="str">
        <x:v>Signal 级可编辑配置、数据类型/缩放/端序合同、RTE 接口、边界值与 round-trip 测试。</x:v>
      </x:c>
      <x:c r="G356" s="144" t="str">
        <x:v>raw=0、raw=max、物理 min/max、越界/保留值、端序字节向量、pack→unpack round-trip；1457/1457 通过。</x:v>
      </x:c>
      <x:c r="H356" s="144" t="str">
        <x:v>coem/BYD_UKE/gen_bsw/Com/Com_PBcfg.c:11397</x:v>
      </x:c>
    </x:row>
    <x:row r="357" ht="72" customHeight="1">
      <x:c r="A357" s="144" t="str">
        <x:v>Com-Signal</x:v>
      </x:c>
      <x:c r="B357" s="144" t="str">
        <x:v>COM-SIG-Tx-0215 / RRR_Obj01A_ProbExist</x:v>
      </x:c>
      <x:c r="C357" s="144" t="str">
        <x:v>PDU=RRR_Obj01A; startBit=456; length=6; byteOrder=Little; type=UINT8; factor=2; offset=0; min=0; max=100; unit=%; receivers=DASy</x:v>
      </x:c>
      <x:c r="D3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7" s="144" t="str">
        <x:v>M2</x:v>
      </x:c>
      <x:c r="F357" s="144" t="str">
        <x:v>Signal 级可编辑配置、数据类型/缩放/端序合同、RTE 接口、边界值与 round-trip 测试。</x:v>
      </x:c>
      <x:c r="G357" s="144" t="str">
        <x:v>raw=0、raw=max、物理 min/max、越界/保留值、端序字节向量、pack→unpack round-trip；1457/1457 通过。</x:v>
      </x:c>
      <x:c r="H357" s="144" t="str">
        <x:v>coem/BYD_UKE/gen_bsw/Com/Com_PBcfg.c:11450; BYD_5R1V_RadarRearcorner_V2.5_AllNodes.dbc:952</x:v>
      </x:c>
    </x:row>
    <x:row r="358" ht="72" customHeight="1">
      <x:c r="A358" s="144" t="str">
        <x:v>Com-Signal</x:v>
      </x:c>
      <x:c r="B358" s="144" t="str">
        <x:v>COM-SIG-Tx-0216 / RRR_Obj01A_ProbMobileObst</x:v>
      </x:c>
      <x:c r="C358" s="144" t="str">
        <x:v>PDU=RRR_Obj01A; startBit=474; length=6; byteOrder=Little; type=UINT8; factor=2; offset=0; min=0; max=100; unit=%; receivers=DASy</x:v>
      </x:c>
      <x:c r="D3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8" s="144" t="str">
        <x:v>M2</x:v>
      </x:c>
      <x:c r="F358" s="144" t="str">
        <x:v>Signal 级可编辑配置、数据类型/缩放/端序合同、RTE 接口、边界值与 round-trip 测试。</x:v>
      </x:c>
      <x:c r="G358" s="144" t="str">
        <x:v>raw=0、raw=max、物理 min/max、越界/保留值、端序字节向量、pack→unpack round-trip；1457/1457 通过。</x:v>
      </x:c>
      <x:c r="H358" s="144" t="str">
        <x:v>coem/BYD_UKE/gen_bsw/Com/Com_PBcfg.c:11503; BYD_5R1V_RadarRearcorner_V2.5_AllNodes.dbc:955</x:v>
      </x:c>
    </x:row>
    <x:row r="359" ht="72" customHeight="1">
      <x:c r="A359" s="144" t="str">
        <x:v>Com-Signal</x:v>
      </x:c>
      <x:c r="B359" s="144" t="str">
        <x:v>COM-SIG-Tx-0217 / RRR_Obj01A_ProbNonObstacle</x:v>
      </x:c>
      <x:c r="C359" s="144" t="str">
        <x:v>PDU=RRR_Obj01A; startBit=468; length=6; byteOrder=Little; type=UINT8; factor=2; offset=0; min=0; max=100; unit=%; receivers=DASy</x:v>
      </x:c>
      <x:c r="D3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59" s="144" t="str">
        <x:v>M2</x:v>
      </x:c>
      <x:c r="F359" s="144" t="str">
        <x:v>Signal 级可编辑配置、数据类型/缩放/端序合同、RTE 接口、边界值与 round-trip 测试。</x:v>
      </x:c>
      <x:c r="G359" s="144" t="str">
        <x:v>raw=0、raw=max、物理 min/max、越界/保留值、端序字节向量、pack→unpack round-trip；1457/1457 通过。</x:v>
      </x:c>
      <x:c r="H359" s="144" t="str">
        <x:v>coem/BYD_UKE/gen_bsw/Com/Com_PBcfg.c:11556; BYD_5R1V_RadarRearcorner_V2.5_AllNodes.dbc:954</x:v>
      </x:c>
    </x:row>
    <x:row r="360" ht="72" customHeight="1">
      <x:c r="A360" s="144" t="str">
        <x:v>Com-Signal</x:v>
      </x:c>
      <x:c r="B360" s="144" t="str">
        <x:v>COM-SIG-Tx-0218 / RRR_Obj01A_ProbObstacle</x:v>
      </x:c>
      <x:c r="C360" s="144" t="str">
        <x:v>PDU=RRR_Obj01A; startBit=462; length=6; byteOrder=Little; type=UINT8; factor=2; offset=0; min=0; max=100; unit=%; receivers=DASy</x:v>
      </x:c>
      <x:c r="D3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0" s="144" t="str">
        <x:v>M2</x:v>
      </x:c>
      <x:c r="F360" s="144" t="str">
        <x:v>Signal 级可编辑配置、数据类型/缩放/端序合同、RTE 接口、边界值与 round-trip 测试。</x:v>
      </x:c>
      <x:c r="G360" s="144" t="str">
        <x:v>raw=0、raw=max、物理 min/max、越界/保留值、端序字节向量、pack→unpack round-trip；1457/1457 通过。</x:v>
      </x:c>
      <x:c r="H360" s="144" t="str">
        <x:v>coem/BYD_UKE/gen_bsw/Com/Com_PBcfg.c:11609; BYD_5R1V_RadarRearcorner_V2.5_AllNodes.dbc:953</x:v>
      </x:c>
    </x:row>
    <x:row r="361" ht="72" customHeight="1">
      <x:c r="A361" s="144" t="str">
        <x:v>Com-Signal</x:v>
      </x:c>
      <x:c r="B361" s="144" t="str">
        <x:v>COM-SIG-Tx-0219 / RRR_Obj01A_ProtBlockCtr</x:v>
      </x:c>
      <x:c r="C361" s="144" t="str">
        <x:v>PDU=RRR_Obj01A; startBit=24; length=4; byteOrder=Little; type=UINT8; factor=1; offset=0; min=0; max=15; unit=-; receivers=DASy</x:v>
      </x:c>
      <x:c r="D3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1" s="144" t="str">
        <x:v>M2</x:v>
      </x:c>
      <x:c r="F361" s="144" t="str">
        <x:v>Signal 级可编辑配置、数据类型/缩放/端序合同、RTE 接口、边界值与 round-trip 测试。</x:v>
      </x:c>
      <x:c r="G361" s="144" t="str">
        <x:v>raw=0、raw=max、物理 min/max、越界/保留值、端序字节向量、pack→unpack round-trip；1457/1457 通过。</x:v>
      </x:c>
      <x:c r="H361" s="144" t="str">
        <x:v>coem/BYD_UKE/gen_bsw/Com/Com_PBcfg.c:11662; BYD_5R1V_RadarRearcorner_V2.5_AllNodes.dbc:911</x:v>
      </x:c>
    </x:row>
    <x:row r="362" ht="72" customHeight="1">
      <x:c r="A362" s="144" t="str">
        <x:v>Com-Signal</x:v>
      </x:c>
      <x:c r="B362" s="144" t="str">
        <x:v>COM-SIG-Tx-0220 / RRR_Obj01A_RCS</x:v>
      </x:c>
      <x:c r="C362" s="144" t="str">
        <x:v>PDU=RRR_Obj01A; startBit=252; length=12; byteOrder=Little; type=UINT16; factor=1（Com原始值）; offset=0（Com原始值）; min=按位宽/类型; max=按位宽/类型; unit=-; receivers=-</x:v>
      </x:c>
      <x:c r="D36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62" s="144" t="str">
        <x:v>M2</x:v>
      </x:c>
      <x:c r="F362" s="144" t="str">
        <x:v>Signal 级可编辑配置、数据类型/缩放/端序合同、RTE 接口、边界值与 round-trip 测试。</x:v>
      </x:c>
      <x:c r="G362" s="144" t="str">
        <x:v>raw=0、raw=max、物理 min/max、越界/保留值、端序字节向量、pack→unpack round-trip；1457/1457 通过。</x:v>
      </x:c>
      <x:c r="H362" s="144" t="str">
        <x:v>coem/BYD_UKE/gen_bsw/Com/Com_PBcfg.c:11715</x:v>
      </x:c>
    </x:row>
    <x:row r="363" ht="72" customHeight="1">
      <x:c r="A363" s="144" t="str">
        <x:v>Com-Signal</x:v>
      </x:c>
      <x:c r="B363" s="144" t="str">
        <x:v>COM-SIG-Tx-0221 / RRR_Obj01A_RefPosIndex</x:v>
      </x:c>
      <x:c r="C363" s="144" t="str">
        <x:v>PDU=RRR_Obj01A; startBit=224; length=4; byteOrder=Little; type=UINT8; factor=1; offset=0; min=0; max=15; unit=-; receivers=DASy</x:v>
      </x:c>
      <x:c r="D3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3" s="144" t="str">
        <x:v>M2</x:v>
      </x:c>
      <x:c r="F363" s="144" t="str">
        <x:v>Signal 级可编辑配置、数据类型/缩放/端序合同、RTE 接口、边界值与 round-trip 测试。</x:v>
      </x:c>
      <x:c r="G363" s="144" t="str">
        <x:v>raw=0、raw=max、物理 min/max、越界/保留值、端序字节向量、pack→unpack round-trip；1457/1457 通过。</x:v>
      </x:c>
      <x:c r="H363" s="144" t="str">
        <x:v>coem/BYD_UKE/gen_bsw/Com/Com_PBcfg.c:11768; BYD_5R1V_RadarRearcorner_V2.5_AllNodes.dbc:913</x:v>
      </x:c>
    </x:row>
    <x:row r="364" ht="72" customHeight="1">
      <x:c r="A364" s="144" t="str">
        <x:v>Com-Signal</x:v>
      </x:c>
      <x:c r="B364" s="144" t="str">
        <x:v>COM-SIG-Tx-0222 / RRR_Obj01A_Valid</x:v>
      </x:c>
      <x:c r="C364" s="144" t="str">
        <x:v>PDU=RRR_Obj01A; startBit=70; length=1; byteOrder=Little; type=UINT8; factor=1; offset=0; min=0; max=1; unit=-; receivers=DASy</x:v>
      </x:c>
      <x:c r="D3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4" s="144" t="str">
        <x:v>M2</x:v>
      </x:c>
      <x:c r="F364" s="144" t="str">
        <x:v>Signal 级可编辑配置、数据类型/缩放/端序合同、RTE 接口、边界值与 round-trip 测试。</x:v>
      </x:c>
      <x:c r="G364" s="144" t="str">
        <x:v>raw=0、raw=max、物理 min/max、越界/保留值、端序字节向量、pack→unpack round-trip；1457/1457 通过。</x:v>
      </x:c>
      <x:c r="H364" s="144" t="str">
        <x:v>coem/BYD_UKE/gen_bsw/Com/Com_PBcfg.c:11821; BYD_5R1V_RadarRearcorner_V2.5_AllNodes.dbc:914</x:v>
      </x:c>
    </x:row>
    <x:row r="365" ht="72" customHeight="1">
      <x:c r="A365" s="144" t="str">
        <x:v>Com-Signal</x:v>
      </x:c>
      <x:c r="B365" s="144" t="str">
        <x:v>COM-SIG-Tx-0223 / RRR_Obj01A_VxAxCoVnce</x:v>
      </x:c>
      <x:c r="C365" s="144" t="str">
        <x:v>PDU=RRR_Obj01A; startBit=324; length=12; byteOrder=Little; type=UINT16; factor=0.01; offset=0; min=0; max=30; unit=m^2/s^3; receivers=DASy</x:v>
      </x:c>
      <x:c r="D3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5" s="144" t="str">
        <x:v>M2</x:v>
      </x:c>
      <x:c r="F365" s="144" t="str">
        <x:v>Signal 级可编辑配置、数据类型/缩放/端序合同、RTE 接口、边界值与 round-trip 测试。</x:v>
      </x:c>
      <x:c r="G365" s="144" t="str">
        <x:v>raw=0、raw=max、物理 min/max、越界/保留值、端序字节向量、pack→unpack round-trip；1457/1457 通过。</x:v>
      </x:c>
      <x:c r="H365" s="144" t="str">
        <x:v>coem/BYD_UKE/gen_bsw/Com/Com_PBcfg.c:11874; BYD_5R1V_RadarRearcorner_V2.5_AllNodes.dbc:942</x:v>
      </x:c>
    </x:row>
    <x:row r="366" ht="72" customHeight="1">
      <x:c r="A366" s="144" t="str">
        <x:v>Com-Signal</x:v>
      </x:c>
      <x:c r="B366" s="144" t="str">
        <x:v>COM-SIG-Tx-0224 / RRR_Obj01A_VxAyCoVnce</x:v>
      </x:c>
      <x:c r="C366" s="144" t="str">
        <x:v>PDU=RRR_Obj01A; startBit=372; length=12; byteOrder=Little; type=UINT16; factor=0.01; offset=0; min=0; max=30; unit=m^2/s^3; receivers=DASy</x:v>
      </x:c>
      <x:c r="D3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6" s="144" t="str">
        <x:v>M2</x:v>
      </x:c>
      <x:c r="F366" s="144" t="str">
        <x:v>Signal 级可编辑配置、数据类型/缩放/端序合同、RTE 接口、边界值与 round-trip 测试。</x:v>
      </x:c>
      <x:c r="G366" s="144" t="str">
        <x:v>raw=0、raw=max、物理 min/max、越界/保留值、端序字节向量、pack→unpack round-trip；1457/1457 通过。</x:v>
      </x:c>
      <x:c r="H366" s="144" t="str">
        <x:v>coem/BYD_UKE/gen_bsw/Com/Com_PBcfg.c:11927; BYD_5R1V_RadarRearcorner_V2.5_AllNodes.dbc:946</x:v>
      </x:c>
    </x:row>
    <x:row r="367" ht="72" customHeight="1">
      <x:c r="A367" s="144" t="str">
        <x:v>Com-Signal</x:v>
      </x:c>
      <x:c r="B367" s="144" t="str">
        <x:v>COM-SIG-Tx-0225 / RRR_Obj01A_VxVnce</x:v>
      </x:c>
      <x:c r="C367" s="144" t="str">
        <x:v>PDU=RRR_Obj01A; startBit=176; length=12; byteOrder=Little; type=UINT16; factor=0.01; offset=0; min=0; max=30; unit=m^2/s^2; receivers=DASy</x:v>
      </x:c>
      <x:c r="D3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7" s="144" t="str">
        <x:v>M2</x:v>
      </x:c>
      <x:c r="F367" s="144" t="str">
        <x:v>Signal 级可编辑配置、数据类型/缩放/端序合同、RTE 接口、边界值与 round-trip 测试。</x:v>
      </x:c>
      <x:c r="G367" s="144" t="str">
        <x:v>raw=0、raw=max、物理 min/max、越界/保留值、端序字节向量、pack→unpack round-trip；1457/1457 通过。</x:v>
      </x:c>
      <x:c r="H367" s="144" t="str">
        <x:v>coem/BYD_UKE/gen_bsw/Com/Com_PBcfg.c:11980; BYD_5R1V_RadarRearcorner_V2.5_AllNodes.dbc:930</x:v>
      </x:c>
    </x:row>
    <x:row r="368" ht="72" customHeight="1">
      <x:c r="A368" s="144" t="str">
        <x:v>Com-Signal</x:v>
      </x:c>
      <x:c r="B368" s="144" t="str">
        <x:v>COM-SIG-Tx-0226 / RRR_Obj01A_VxVyCoVnce</x:v>
      </x:c>
      <x:c r="C368" s="144" t="str">
        <x:v>PDU=RRR_Obj01A; startBit=288; length=12; byteOrder=Little; type=UINT16; factor=0.01; offset=0; min=0; max=30; unit=m^2/s^2; receivers=DASy</x:v>
      </x:c>
      <x:c r="D3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8" s="144" t="str">
        <x:v>M2</x:v>
      </x:c>
      <x:c r="F368" s="144" t="str">
        <x:v>Signal 级可编辑配置、数据类型/缩放/端序合同、RTE 接口、边界值与 round-trip 测试。</x:v>
      </x:c>
      <x:c r="G368" s="144" t="str">
        <x:v>raw=0、raw=max、物理 min/max、越界/保留值、端序字节向量、pack→unpack round-trip；1457/1457 通过。</x:v>
      </x:c>
      <x:c r="H368" s="144" t="str">
        <x:v>coem/BYD_UKE/gen_bsw/Com/Com_PBcfg.c:12033; BYD_5R1V_RadarRearcorner_V2.5_AllNodes.dbc:939</x:v>
      </x:c>
    </x:row>
    <x:row r="369" ht="72" customHeight="1">
      <x:c r="A369" s="144" t="str">
        <x:v>Com-Signal</x:v>
      </x:c>
      <x:c r="B369" s="144" t="str">
        <x:v>COM-SIG-Tx-0227 / RRR_Obj01A_Vx</x:v>
      </x:c>
      <x:c r="C369" s="144" t="str">
        <x:v>PDU=RRR_Obj01A; startBit=71; length=12; byteOrder=Little; type=UINT16; factor=0.0625; offset=-128; min=-128; max=127.9375; unit=m/s; receivers=DASy</x:v>
      </x:c>
      <x:c r="D3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69" s="144" t="str">
        <x:v>M2</x:v>
      </x:c>
      <x:c r="F369" s="144" t="str">
        <x:v>Signal 级可编辑配置、数据类型/缩放/端序合同、RTE 接口、边界值与 round-trip 测试。</x:v>
      </x:c>
      <x:c r="G369" s="144" t="str">
        <x:v>raw=0、raw=max、物理 min/max、越界/保留值、端序字节向量、pack→unpack round-trip；1457/1457 通过。</x:v>
      </x:c>
      <x:c r="H369" s="144" t="str">
        <x:v>coem/BYD_UKE/gen_bsw/Com/Com_PBcfg.c:12086; BYD_5R1V_RadarRearcorner_V2.5_AllNodes.dbc:919</x:v>
      </x:c>
    </x:row>
    <x:row r="370" ht="72" customHeight="1">
      <x:c r="A370" s="144" t="str">
        <x:v>Com-Signal</x:v>
      </x:c>
      <x:c r="B370" s="144" t="str">
        <x:v>COM-SIG-Tx-0228 / RRR_Obj01A_VyAxCoVnce</x:v>
      </x:c>
      <x:c r="C370" s="144" t="str">
        <x:v>PDU=RRR_Obj01A; startBit=336; length=12; byteOrder=Little; type=UINT16; factor=0.01; offset=0; min=0; max=30; unit=m^2/s^3; receivers=DASy</x:v>
      </x:c>
      <x:c r="D3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0" s="144" t="str">
        <x:v>M2</x:v>
      </x:c>
      <x:c r="F370" s="144" t="str">
        <x:v>Signal 级可编辑配置、数据类型/缩放/端序合同、RTE 接口、边界值与 round-trip 测试。</x:v>
      </x:c>
      <x:c r="G370" s="144" t="str">
        <x:v>raw=0、raw=max、物理 min/max、越界/保留值、端序字节向量、pack→unpack round-trip；1457/1457 通过。</x:v>
      </x:c>
      <x:c r="H370" s="144" t="str">
        <x:v>coem/BYD_UKE/gen_bsw/Com/Com_PBcfg.c:12139; BYD_5R1V_RadarRearcorner_V2.5_AllNodes.dbc:943</x:v>
      </x:c>
    </x:row>
    <x:row r="371" ht="72" customHeight="1">
      <x:c r="A371" s="144" t="str">
        <x:v>Com-Signal</x:v>
      </x:c>
      <x:c r="B371" s="144" t="str">
        <x:v>COM-SIG-Tx-0229 / RRR_Obj01A_VyAyCoVnce</x:v>
      </x:c>
      <x:c r="C371" s="144" t="str">
        <x:v>PDU=RRR_Obj01A; startBit=384; length=12; byteOrder=Little; type=UINT16; factor=0.01; offset=0; min=0; max=30; unit=m^2/s^3; receivers=DASy</x:v>
      </x:c>
      <x:c r="D3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1" s="144" t="str">
        <x:v>M2</x:v>
      </x:c>
      <x:c r="F371" s="144" t="str">
        <x:v>Signal 级可编辑配置、数据类型/缩放/端序合同、RTE 接口、边界值与 round-trip 测试。</x:v>
      </x:c>
      <x:c r="G371" s="144" t="str">
        <x:v>raw=0、raw=max、物理 min/max、越界/保留值、端序字节向量、pack→unpack round-trip；1457/1457 通过。</x:v>
      </x:c>
      <x:c r="H371" s="144" t="str">
        <x:v>coem/BYD_UKE/gen_bsw/Com/Com_PBcfg.c:12192; BYD_5R1V_RadarRearcorner_V2.5_AllNodes.dbc:947</x:v>
      </x:c>
    </x:row>
    <x:row r="372" ht="72" customHeight="1">
      <x:c r="A372" s="144" t="str">
        <x:v>Com-Signal</x:v>
      </x:c>
      <x:c r="B372" s="144" t="str">
        <x:v>COM-SIG-Tx-0230 / RRR_Obj01A_VyVnce</x:v>
      </x:c>
      <x:c r="C372" s="144" t="str">
        <x:v>PDU=RRR_Obj01A; startBit=188; length=12; byteOrder=Little; type=UINT16; factor=0.01; offset=0; min=0; max=30; unit=m^2/s^2; receivers=DASy</x:v>
      </x:c>
      <x:c r="D3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2" s="144" t="str">
        <x:v>M2</x:v>
      </x:c>
      <x:c r="F372" s="144" t="str">
        <x:v>Signal 级可编辑配置、数据类型/缩放/端序合同、RTE 接口、边界值与 round-trip 测试。</x:v>
      </x:c>
      <x:c r="G372" s="144" t="str">
        <x:v>raw=0、raw=max、物理 min/max、越界/保留值、端序字节向量、pack→unpack round-trip；1457/1457 通过。</x:v>
      </x:c>
      <x:c r="H372" s="144" t="str">
        <x:v>coem/BYD_UKE/gen_bsw/Com/Com_PBcfg.c:12245; BYD_5R1V_RadarRearcorner_V2.5_AllNodes.dbc:931</x:v>
      </x:c>
    </x:row>
    <x:row r="373" ht="72" customHeight="1">
      <x:c r="A373" s="144" t="str">
        <x:v>Com-Signal</x:v>
      </x:c>
      <x:c r="B373" s="144" t="str">
        <x:v>COM-SIG-Tx-0231 / RRR_Obj01A_Vy</x:v>
      </x:c>
      <x:c r="C373" s="144" t="str">
        <x:v>PDU=RRR_Obj01A; startBit=83; length=10; byteOrder=Little; type=UINT16; factor=0.125; offset=-64; min=-64; max=63.875; unit=m/s; receivers=DASy</x:v>
      </x:c>
      <x:c r="D3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3" s="144" t="str">
        <x:v>M2</x:v>
      </x:c>
      <x:c r="F373" s="144" t="str">
        <x:v>Signal 级可编辑配置、数据类型/缩放/端序合同、RTE 接口、边界值与 round-trip 测试。</x:v>
      </x:c>
      <x:c r="G373" s="144" t="str">
        <x:v>raw=0、raw=max、物理 min/max、越界/保留值、端序字节向量、pack→unpack round-trip；1457/1457 通过。</x:v>
      </x:c>
      <x:c r="H373" s="144" t="str">
        <x:v>coem/BYD_UKE/gen_bsw/Com/Com_PBcfg.c:12298; BYD_5R1V_RadarRearcorner_V2.5_AllNodes.dbc:920</x:v>
      </x:c>
    </x:row>
    <x:row r="374" ht="72" customHeight="1">
      <x:c r="A374" s="144" t="str">
        <x:v>Com-Signal</x:v>
      </x:c>
      <x:c r="B374" s="144" t="str">
        <x:v>COM-SIG-Tx-0232 / RRR_Obj01A_WidthVnce</x:v>
      </x:c>
      <x:c r="C374" s="144" t="str">
        <x:v>PDU=RRR_Obj01A; startBit=432; length=12; byteOrder=Little; type=UINT16; factor=0.01; offset=0; min=0; max=30; unit=m^2; receivers=DASy</x:v>
      </x:c>
      <x:c r="D3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4" s="144" t="str">
        <x:v>M2</x:v>
      </x:c>
      <x:c r="F374" s="144" t="str">
        <x:v>Signal 级可编辑配置、数据类型/缩放/端序合同、RTE 接口、边界值与 round-trip 测试。</x:v>
      </x:c>
      <x:c r="G374" s="144" t="str">
        <x:v>raw=0、raw=max、物理 min/max、越界/保留值、端序字节向量、pack→unpack round-trip；1457/1457 通过。</x:v>
      </x:c>
      <x:c r="H374" s="144" t="str">
        <x:v>coem/BYD_UKE/gen_bsw/Com/Com_PBcfg.c:12351; BYD_5R1V_RadarRearcorner_V2.5_AllNodes.dbc:951</x:v>
      </x:c>
    </x:row>
    <x:row r="375" ht="72" customHeight="1">
      <x:c r="A375" s="144" t="str">
        <x:v>Com-Signal</x:v>
      </x:c>
      <x:c r="B375" s="144" t="str">
        <x:v>COM-SIG-Tx-0233 / RRR_Obj01A_Width</x:v>
      </x:c>
      <x:c r="C375" s="144" t="str">
        <x:v>PDU=RRR_Obj01A; startBit=128; length=7; byteOrder=Little; type=UINT8; factor=0.125; offset=0; min=0; max=15.875; unit=m; receivers=DASy</x:v>
      </x:c>
      <x:c r="D3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5" s="144" t="str">
        <x:v>M2</x:v>
      </x:c>
      <x:c r="F375" s="144" t="str">
        <x:v>Signal 级可编辑配置、数据类型/缩放/端序合同、RTE 接口、边界值与 round-trip 测试。</x:v>
      </x:c>
      <x:c r="G375" s="144" t="str">
        <x:v>raw=0、raw=max、物理 min/max、越界/保留值、端序字节向量、pack→unpack round-trip；1457/1457 通过。</x:v>
      </x:c>
      <x:c r="H375" s="144" t="str">
        <x:v>coem/BYD_UKE/gen_bsw/Com/Com_PBcfg.c:12404; BYD_5R1V_RadarRearcorner_V2.5_AllNodes.dbc:925</x:v>
      </x:c>
    </x:row>
    <x:row r="376" ht="72" customHeight="1">
      <x:c r="A376" s="144" t="str">
        <x:v>Com-Signal</x:v>
      </x:c>
      <x:c r="B376" s="144" t="str">
        <x:v>COM-SIG-Tx-0234 / RRR_Obj01A_Type</x:v>
      </x:c>
      <x:c r="C376" s="144" t="str">
        <x:v>PDU=RRR_Obj01B; startBit=82; length=6; byteOrder=Little; type=UINT8; factor=1（Com原始值）; offset=0（Com原始值）; min=按位宽/类型; max=按位宽/类型; unit=-; receivers=-</x:v>
      </x:c>
      <x:c r="D37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76" s="144" t="str">
        <x:v>M2</x:v>
      </x:c>
      <x:c r="F376" s="144" t="str">
        <x:v>Signal 级可编辑配置、数据类型/缩放/端序合同、RTE 接口、边界值与 round-trip 测试。</x:v>
      </x:c>
      <x:c r="G376" s="144" t="str">
        <x:v>raw=0、raw=max、物理 min/max、越界/保留值、端序字节向量、pack→unpack round-trip；1457/1457 通过。</x:v>
      </x:c>
      <x:c r="H376" s="144" t="str">
        <x:v>coem/BYD_UKE/gen_bsw/Com/Com_PBcfg.c:12457</x:v>
      </x:c>
    </x:row>
    <x:row r="377" ht="72" customHeight="1">
      <x:c r="A377" s="144" t="str">
        <x:v>Com-Signal</x:v>
      </x:c>
      <x:c r="B377" s="144" t="str">
        <x:v>COM-SIG-Tx-0235 / RRR_Obj01B_AliveCtr</x:v>
      </x:c>
      <x:c r="C377" s="144" t="str">
        <x:v>PDU=RRR_Obj01B; startBit=16; length=8; byteOrder=Little; type=UINT8; factor=1; offset=0; min=0; max=255; unit=-; receivers=DASy</x:v>
      </x:c>
      <x:c r="D3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7" s="144" t="str">
        <x:v>M2</x:v>
      </x:c>
      <x:c r="F377" s="144" t="str">
        <x:v>Signal 级可编辑配置、数据类型/缩放/端序合同、RTE 接口、边界值与 round-trip 测试。</x:v>
      </x:c>
      <x:c r="G377" s="144" t="str">
        <x:v>raw=0、raw=max、物理 min/max、越界/保留值、端序字节向量、pack→unpack round-trip；1457/1457 通过。</x:v>
      </x:c>
      <x:c r="H377" s="144" t="str">
        <x:v>coem/BYD_UKE/gen_bsw/Com/Com_PBcfg.c:12510; BYD_5R1V_RadarRearcorner_V2.5_AllNodes.dbc:963</x:v>
      </x:c>
    </x:row>
    <x:row r="378" ht="72" customHeight="1">
      <x:c r="A378" s="144" t="str">
        <x:v>Com-Signal</x:v>
      </x:c>
      <x:c r="B378" s="144" t="str">
        <x:v>COM-SIG-Tx-0236 / RRR_Obj01B_BehaviorType</x:v>
      </x:c>
      <x:c r="C378" s="144" t="str">
        <x:v>PDU=RRR_Obj01B; startBit=88; length=3; byteOrder=Little; type=UINT8; factor=1; offset=0; min=0; max=7; unit=-; receivers=DASy</x:v>
      </x:c>
      <x:c r="D3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8" s="144" t="str">
        <x:v>M2</x:v>
      </x:c>
      <x:c r="F378" s="144" t="str">
        <x:v>Signal 级可编辑配置、数据类型/缩放/端序合同、RTE 接口、边界值与 round-trip 测试。</x:v>
      </x:c>
      <x:c r="G378" s="144" t="str">
        <x:v>raw=0、raw=max、物理 min/max、越界/保留值、端序字节向量、pack→unpack round-trip；1457/1457 通过。</x:v>
      </x:c>
      <x:c r="H378" s="144" t="str">
        <x:v>coem/BYD_UKE/gen_bsw/Com/Com_PBcfg.c:12563; BYD_5R1V_RadarRearcorner_V2.5_AllNodes.dbc:971</x:v>
      </x:c>
    </x:row>
    <x:row r="379" ht="72" customHeight="1">
      <x:c r="A379" s="144" t="str">
        <x:v>Com-Signal</x:v>
      </x:c>
      <x:c r="B379" s="144" t="str">
        <x:v>COM-SIG-Tx-0237 / RRR_Obj01B_CRC</x:v>
      </x:c>
      <x:c r="C379" s="144" t="str">
        <x:v>PDU=RRR_Obj01B; startBit=0; length=16; byteOrder=Little; type=UINT16; factor=1; offset=0; min=0; max=65535; unit=-; receivers=DASy</x:v>
      </x:c>
      <x:c r="D3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79" s="144" t="str">
        <x:v>M2</x:v>
      </x:c>
      <x:c r="F379" s="144" t="str">
        <x:v>Signal 级可编辑配置、数据类型/缩放/端序合同、RTE 接口、边界值与 round-trip 测试。</x:v>
      </x:c>
      <x:c r="G379" s="144" t="str">
        <x:v>raw=0、raw=max、物理 min/max、越界/保留值、端序字节向量、pack→unpack round-trip；1457/1457 通过。</x:v>
      </x:c>
      <x:c r="H379" s="144" t="str">
        <x:v>coem/BYD_UKE/gen_bsw/Com/Com_PBcfg.c:12616; BYD_5R1V_RadarRearcorner_V2.5_AllNodes.dbc:962</x:v>
      </x:c>
    </x:row>
    <x:row r="380" ht="72" customHeight="1">
      <x:c r="A380" s="144" t="str">
        <x:v>Com-Signal</x:v>
      </x:c>
      <x:c r="B380" s="144" t="str">
        <x:v>COM-SIG-Tx-0238 / RRR_Obj01B_MovingProbability</x:v>
      </x:c>
      <x:c r="C380" s="144" t="str">
        <x:v>PDU=RRR_Obj01B; startBit=76; length=6; byteOrder=Little; type=UINT8; factor=2; offset=0; min=0; max=100; unit=%; receivers=DASy</x:v>
      </x:c>
      <x:c r="D3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0" s="144" t="str">
        <x:v>M2</x:v>
      </x:c>
      <x:c r="F380" s="144" t="str">
        <x:v>Signal 级可编辑配置、数据类型/缩放/端序合同、RTE 接口、边界值与 round-trip 测试。</x:v>
      </x:c>
      <x:c r="G380" s="144" t="str">
        <x:v>raw=0、raw=max、物理 min/max、越界/保留值、端序字节向量、pack→unpack round-trip；1457/1457 通过。</x:v>
      </x:c>
      <x:c r="H380" s="144" t="str">
        <x:v>coem/BYD_UKE/gen_bsw/Com/Com_PBcfg.c:12669; BYD_5R1V_RadarRearcorner_V2.5_AllNodes.dbc:959</x:v>
      </x:c>
    </x:row>
    <x:row r="381" ht="72" customHeight="1">
      <x:c r="A381" s="144" t="str">
        <x:v>Com-Signal</x:v>
      </x:c>
      <x:c r="B381" s="144" t="str">
        <x:v>COM-SIG-Tx-0239 / RRR_Obj01B_Prob4PlusWhlCAR</x:v>
      </x:c>
      <x:c r="C381" s="144" t="str">
        <x:v>PDU=RRR_Obj01B; startBit=46; length=6; byteOrder=Little; type=UINT8; factor=2; offset=0; min=0; max=100; unit=%; receivers=DASy</x:v>
      </x:c>
      <x:c r="D3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1" s="144" t="str">
        <x:v>M2</x:v>
      </x:c>
      <x:c r="F381" s="144" t="str">
        <x:v>Signal 级可编辑配置、数据类型/缩放/端序合同、RTE 接口、边界值与 round-trip 测试。</x:v>
      </x:c>
      <x:c r="G381" s="144" t="str">
        <x:v>raw=0、raw=max、物理 min/max、越界/保留值、端序字节向量、pack→unpack round-trip；1457/1457 通过。</x:v>
      </x:c>
      <x:c r="H381" s="144" t="str">
        <x:v>coem/BYD_UKE/gen_bsw/Com/Com_PBcfg.c:12722; BYD_5R1V_RadarRearcorner_V2.5_AllNodes.dbc:968</x:v>
      </x:c>
    </x:row>
    <x:row r="382" ht="72" customHeight="1">
      <x:c r="A382" s="144" t="str">
        <x:v>Com-Signal</x:v>
      </x:c>
      <x:c r="B382" s="144" t="str">
        <x:v>COM-SIG-Tx-0240 / RRR_Obj01B_Prob4PlusWhlbHGV</x:v>
      </x:c>
      <x:c r="C382" s="144" t="str">
        <x:v>PDU=RRR_Obj01B; startBit=52; length=6; byteOrder=Little; type=UINT8; factor=2; offset=0; min=0; max=100; unit=%; receivers=DASy</x:v>
      </x:c>
      <x:c r="D3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2" s="144" t="str">
        <x:v>M2</x:v>
      </x:c>
      <x:c r="F382" s="144" t="str">
        <x:v>Signal 级可编辑配置、数据类型/缩放/端序合同、RTE 接口、边界值与 round-trip 测试。</x:v>
      </x:c>
      <x:c r="G382" s="144" t="str">
        <x:v>raw=0、raw=max、物理 min/max、越界/保留值、端序字节向量、pack→unpack round-trip；1457/1457 通过。</x:v>
      </x:c>
      <x:c r="H382" s="144" t="str">
        <x:v>coem/BYD_UKE/gen_bsw/Com/Com_PBcfg.c:12775; BYD_5R1V_RadarRearcorner_V2.5_AllNodes.dbc:969</x:v>
      </x:c>
    </x:row>
    <x:row r="383" ht="72" customHeight="1">
      <x:c r="A383" s="144" t="str">
        <x:v>Com-Signal</x:v>
      </x:c>
      <x:c r="B383" s="144" t="str">
        <x:v>COM-SIG-Tx-0241 / RRR_Obj01B_ProbGNDReflex</x:v>
      </x:c>
      <x:c r="C383" s="144" t="str">
        <x:v>PDU=RRR_Obj01B; startBit=58; length=6; byteOrder=Little; type=UINT8; factor=2; offset=0; min=0; max=100; unit=%; receivers=DASy</x:v>
      </x:c>
      <x:c r="D3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3" s="144" t="str">
        <x:v>M2</x:v>
      </x:c>
      <x:c r="F383" s="144" t="str">
        <x:v>Signal 级可编辑配置、数据类型/缩放/端序合同、RTE 接口、边界值与 round-trip 测试。</x:v>
      </x:c>
      <x:c r="G383" s="144" t="str">
        <x:v>raw=0、raw=max、物理 min/max、越界/保留值、端序字节向量、pack→unpack round-trip；1457/1457 通过。</x:v>
      </x:c>
      <x:c r="H383" s="144" t="str">
        <x:v>coem/BYD_UKE/gen_bsw/Com/Com_PBcfg.c:12828; BYD_5R1V_RadarRearcorner_V2.5_AllNodes.dbc:970</x:v>
      </x:c>
    </x:row>
    <x:row r="384" ht="72" customHeight="1">
      <x:c r="A384" s="144" t="str">
        <x:v>Com-Signal</x:v>
      </x:c>
      <x:c r="B384" s="144" t="str">
        <x:v>COM-SIG-Tx-0242 / RRR_Obj01B_ProbMob2Whl</x:v>
      </x:c>
      <x:c r="C384" s="144" t="str">
        <x:v>PDU=RRR_Obj01B; startBit=34; length=6; byteOrder=Little; type=UINT8; factor=2; offset=0; min=0; max=100; unit=%; receivers=DASy</x:v>
      </x:c>
      <x:c r="D3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4" s="144" t="str">
        <x:v>M2</x:v>
      </x:c>
      <x:c r="F384" s="144" t="str">
        <x:v>Signal 级可编辑配置、数据类型/缩放/端序合同、RTE 接口、边界值与 round-trip 测试。</x:v>
      </x:c>
      <x:c r="G384" s="144" t="str">
        <x:v>raw=0、raw=max、物理 min/max、越界/保留值、端序字节向量、pack→unpack round-trip；1457/1457 通过。</x:v>
      </x:c>
      <x:c r="H384" s="144" t="str">
        <x:v>coem/BYD_UKE/gen_bsw/Com/Com_PBcfg.c:12881; BYD_5R1V_RadarRearcorner_V2.5_AllNodes.dbc:966</x:v>
      </x:c>
    </x:row>
    <x:row r="385" ht="72" customHeight="1">
      <x:c r="A385" s="144" t="str">
        <x:v>Com-Signal</x:v>
      </x:c>
      <x:c r="B385" s="144" t="str">
        <x:v>COM-SIG-Tx-0243 / RRR_Obj01B_ProbMob4PlusWhl</x:v>
      </x:c>
      <x:c r="C385" s="144" t="str">
        <x:v>PDU=RRR_Obj01B; startBit=28; length=6; byteOrder=Little; type=UINT8; factor=2; offset=0; min=0; max=100; unit=%; receivers=DASy</x:v>
      </x:c>
      <x:c r="D3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5" s="144" t="str">
        <x:v>M2</x:v>
      </x:c>
      <x:c r="F385" s="144" t="str">
        <x:v>Signal 级可编辑配置、数据类型/缩放/端序合同、RTE 接口、边界值与 round-trip 测试。</x:v>
      </x:c>
      <x:c r="G385" s="144" t="str">
        <x:v>raw=0、raw=max、物理 min/max、越界/保留值、端序字节向量、pack→unpack round-trip；1457/1457 通过。</x:v>
      </x:c>
      <x:c r="H385" s="144" t="str">
        <x:v>coem/BYD_UKE/gen_bsw/Com/Com_PBcfg.c:12934; BYD_5R1V_RadarRearcorner_V2.5_AllNodes.dbc:965</x:v>
      </x:c>
    </x:row>
    <x:row r="386" ht="72" customHeight="1">
      <x:c r="A386" s="144" t="str">
        <x:v>Com-Signal</x:v>
      </x:c>
      <x:c r="B386" s="144" t="str">
        <x:v>COM-SIG-Tx-0244 / RRR_Obj01B_ProbMobPed</x:v>
      </x:c>
      <x:c r="C386" s="144" t="str">
        <x:v>PDU=RRR_Obj01B; startBit=40; length=6; byteOrder=Little; type=UINT8; factor=2; offset=0; min=0; max=100; unit=%; receivers=DASy</x:v>
      </x:c>
      <x:c r="D3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6" s="144" t="str">
        <x:v>M2</x:v>
      </x:c>
      <x:c r="F386" s="144" t="str">
        <x:v>Signal 级可编辑配置、数据类型/缩放/端序合同、RTE 接口、边界值与 round-trip 测试。</x:v>
      </x:c>
      <x:c r="G386" s="144" t="str">
        <x:v>raw=0、raw=max、物理 min/max、越界/保留值、端序字节向量、pack→unpack round-trip；1457/1457 通过。</x:v>
      </x:c>
      <x:c r="H386" s="144" t="str">
        <x:v>coem/BYD_UKE/gen_bsw/Com/Com_PBcfg.c:12987; BYD_5R1V_RadarRearcorner_V2.5_AllNodes.dbc:967</x:v>
      </x:c>
    </x:row>
    <x:row r="387" ht="72" customHeight="1">
      <x:c r="A387" s="144" t="str">
        <x:v>Com-Signal</x:v>
      </x:c>
      <x:c r="B387" s="144" t="str">
        <x:v>COM-SIG-Tx-0245 / RRR_Obj01B_ProbStatBarrier</x:v>
      </x:c>
      <x:c r="C387" s="144" t="str">
        <x:v>PDU=RRR_Obj01B; startBit=64; length=6; byteOrder=Little; type=UINT8; factor=2; offset=0; min=0; max=100; unit=%; receivers=DASy</x:v>
      </x:c>
      <x:c r="D3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7" s="144" t="str">
        <x:v>M2</x:v>
      </x:c>
      <x:c r="F387" s="144" t="str">
        <x:v>Signal 级可编辑配置、数据类型/缩放/端序合同、RTE 接口、边界值与 round-trip 测试。</x:v>
      </x:c>
      <x:c r="G387" s="144" t="str">
        <x:v>raw=0、raw=max、物理 min/max、越界/保留值、端序字节向量、pack→unpack round-trip；1457/1457 通过。</x:v>
      </x:c>
      <x:c r="H387" s="144" t="str">
        <x:v>coem/BYD_UKE/gen_bsw/Com/Com_PBcfg.c:13040; BYD_5R1V_RadarRearcorner_V2.5_AllNodes.dbc:961</x:v>
      </x:c>
    </x:row>
    <x:row r="388" ht="72" customHeight="1">
      <x:c r="A388" s="144" t="str">
        <x:v>Com-Signal</x:v>
      </x:c>
      <x:c r="B388" s="144" t="str">
        <x:v>COM-SIG-Tx-0246 / RRR_Obj01B_ProbStatObst</x:v>
      </x:c>
      <x:c r="C388" s="144" t="str">
        <x:v>PDU=RRR_Obj01B; startBit=70; length=6; byteOrder=Little; type=UINT8; factor=2; offset=0; min=0; max=100; unit=%; receivers=DASy</x:v>
      </x:c>
      <x:c r="D3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8" s="144" t="str">
        <x:v>M2</x:v>
      </x:c>
      <x:c r="F388" s="144" t="str">
        <x:v>Signal 级可编辑配置、数据类型/缩放/端序合同、RTE 接口、边界值与 round-trip 测试。</x:v>
      </x:c>
      <x:c r="G388" s="144" t="str">
        <x:v>raw=0、raw=max、物理 min/max、越界/保留值、端序字节向量、pack→unpack round-trip；1457/1457 通过。</x:v>
      </x:c>
      <x:c r="H388" s="144" t="str">
        <x:v>coem/BYD_UKE/gen_bsw/Com/Com_PBcfg.c:13093; BYD_5R1V_RadarRearcorner_V2.5_AllNodes.dbc:960</x:v>
      </x:c>
    </x:row>
    <x:row r="389" ht="72" customHeight="1">
      <x:c r="A389" s="144" t="str">
        <x:v>Com-Signal</x:v>
      </x:c>
      <x:c r="B389" s="144" t="str">
        <x:v>COM-SIG-Tx-0247 / RRR_Obj01B_ProtBlockCtr</x:v>
      </x:c>
      <x:c r="C389" s="144" t="str">
        <x:v>PDU=RRR_Obj01B; startBit=24; length=4; byteOrder=Little; type=UINT8; factor=1; offset=0; min=0; max=15; unit=-; receivers=DASy</x:v>
      </x:c>
      <x:c r="D3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89" s="144" t="str">
        <x:v>M2</x:v>
      </x:c>
      <x:c r="F389" s="144" t="str">
        <x:v>Signal 级可编辑配置、数据类型/缩放/端序合同、RTE 接口、边界值与 round-trip 测试。</x:v>
      </x:c>
      <x:c r="G389" s="144" t="str">
        <x:v>raw=0、raw=max、物理 min/max、越界/保留值、端序字节向量、pack→unpack round-trip；1457/1457 通过。</x:v>
      </x:c>
      <x:c r="H389" s="144" t="str">
        <x:v>coem/BYD_UKE/gen_bsw/Com/Com_PBcfg.c:13146; BYD_5R1V_RadarRearcorner_V2.5_AllNodes.dbc:964</x:v>
      </x:c>
    </x:row>
    <x:row r="390" ht="72" customHeight="1">
      <x:c r="A390" s="144" t="str">
        <x:v>Com-Signal</x:v>
      </x:c>
      <x:c r="B390" s="144" t="str">
        <x:v>COM-SIG-Tx-0248 / RRR_Obj02A_Age</x:v>
      </x:c>
      <x:c r="C390" s="144" t="str">
        <x:v>PDU=RRR_Obj02A; startBit=228; length=12; byteOrder=Little; type=UINT16; factor=1（Com原始值）; offset=0（Com原始值）; min=按位宽/类型; max=按位宽/类型; unit=-; receivers=-</x:v>
      </x:c>
      <x:c r="D39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90" s="144" t="str">
        <x:v>M2</x:v>
      </x:c>
      <x:c r="F390" s="144" t="str">
        <x:v>Signal 级可编辑配置、数据类型/缩放/端序合同、RTE 接口、边界值与 round-trip 测试。</x:v>
      </x:c>
      <x:c r="G390" s="144" t="str">
        <x:v>raw=0、raw=max、物理 min/max、越界/保留值、端序字节向量、pack→unpack round-trip；1457/1457 通过。</x:v>
      </x:c>
      <x:c r="H390" s="144" t="str">
        <x:v>coem/BYD_UKE/gen_bsw/Com/Com_PBcfg.c:13199</x:v>
      </x:c>
    </x:row>
    <x:row r="391" ht="72" customHeight="1">
      <x:c r="A391" s="144" t="str">
        <x:v>Com-Signal</x:v>
      </x:c>
      <x:c r="B391" s="144" t="str">
        <x:v>COM-SIG-Tx-0249 / RRR_Obj02A_AliveCtr</x:v>
      </x:c>
      <x:c r="C391" s="144" t="str">
        <x:v>PDU=RRR_Obj02A; startBit=16; length=8; byteOrder=Little; type=UINT8; factor=1; offset=0; min=0; max=255; unit=-; receivers=DASy</x:v>
      </x:c>
      <x:c r="D3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1" s="144" t="str">
        <x:v>M2</x:v>
      </x:c>
      <x:c r="F391" s="144" t="str">
        <x:v>Signal 级可编辑配置、数据类型/缩放/端序合同、RTE 接口、边界值与 round-trip 测试。</x:v>
      </x:c>
      <x:c r="G391" s="144" t="str">
        <x:v>raw=0、raw=max、物理 min/max、越界/保留值、端序字节向量、pack→unpack round-trip；1457/1457 通过。</x:v>
      </x:c>
      <x:c r="H391" s="144" t="str">
        <x:v>coem/BYD_UKE/gen_bsw/Com/Com_PBcfg.c:13252; BYD_5R1V_RadarRearcorner_V2.5_AllNodes.dbc:976</x:v>
      </x:c>
    </x:row>
    <x:row r="392" ht="72" customHeight="1">
      <x:c r="A392" s="144" t="str">
        <x:v>Com-Signal</x:v>
      </x:c>
      <x:c r="B392" s="144" t="str">
        <x:v>COM-SIG-Tx-0250 / RRR_Obj02A_AxAyCoVnce</x:v>
      </x:c>
      <x:c r="C392" s="144" t="str">
        <x:v>PDU=RRR_Obj02A; startBit=396; length=12; byteOrder=Little; type=UINT16; factor=0.01; offset=0; min=0; max=30; unit=m^2/s^4; receivers=DASy</x:v>
      </x:c>
      <x:c r="D3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2" s="144" t="str">
        <x:v>M2</x:v>
      </x:c>
      <x:c r="F392" s="144" t="str">
        <x:v>Signal 级可编辑配置、数据类型/缩放/端序合同、RTE 接口、边界值与 round-trip 测试。</x:v>
      </x:c>
      <x:c r="G392" s="144" t="str">
        <x:v>raw=0、raw=max、物理 min/max、越界/保留值、端序字节向量、pack→unpack round-trip；1457/1457 通过。</x:v>
      </x:c>
      <x:c r="H392" s="144" t="str">
        <x:v>coem/BYD_UKE/gen_bsw/Com/Com_PBcfg.c:13305; BYD_5R1V_RadarRearcorner_V2.5_AllNodes.dbc:1014</x:v>
      </x:c>
    </x:row>
    <x:row r="393" ht="72" customHeight="1">
      <x:c r="A393" s="144" t="str">
        <x:v>Com-Signal</x:v>
      </x:c>
      <x:c r="B393" s="144" t="str">
        <x:v>COM-SIG-Tx-0251 / RRR_Obj02A_AxVnce</x:v>
      </x:c>
      <x:c r="C393" s="144" t="str">
        <x:v>PDU=RRR_Obj02A; startBit=200; length=12; byteOrder=Little; type=UINT16; factor=0.01; offset=0; min=0; max=30; unit=m^2/s^4; receivers=DASy</x:v>
      </x:c>
      <x:c r="D3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3" s="144" t="str">
        <x:v>M2</x:v>
      </x:c>
      <x:c r="F393" s="144" t="str">
        <x:v>Signal 级可编辑配置、数据类型/缩放/端序合同、RTE 接口、边界值与 round-trip 测试。</x:v>
      </x:c>
      <x:c r="G393" s="144" t="str">
        <x:v>raw=0、raw=max、物理 min/max、越界/保留值、端序字节向量、pack→unpack round-trip；1457/1457 通过。</x:v>
      </x:c>
      <x:c r="H393" s="144" t="str">
        <x:v>coem/BYD_UKE/gen_bsw/Com/Com_PBcfg.c:13358; BYD_5R1V_RadarRearcorner_V2.5_AllNodes.dbc:998</x:v>
      </x:c>
    </x:row>
    <x:row r="394" ht="72" customHeight="1">
      <x:c r="A394" s="144" t="str">
        <x:v>Com-Signal</x:v>
      </x:c>
      <x:c r="B394" s="144" t="str">
        <x:v>COM-SIG-Tx-0252 / RRR_Obj02A_Ax</x:v>
      </x:c>
      <x:c r="C394" s="144" t="str">
        <x:v>PDU=RRR_Obj02A; startBit=93; length=10; byteOrder=Little; type=UINT16; factor=0.03125; offset=-16; min=-16; max=15.96875; unit=m/s^2; receivers=DASy</x:v>
      </x:c>
      <x:c r="D3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4" s="144" t="str">
        <x:v>M2</x:v>
      </x:c>
      <x:c r="F394" s="144" t="str">
        <x:v>Signal 级可编辑配置、数据类型/缩放/端序合同、RTE 接口、边界值与 round-trip 测试。</x:v>
      </x:c>
      <x:c r="G394" s="144" t="str">
        <x:v>raw=0、raw=max、物理 min/max、越界/保留值、端序字节向量、pack→unpack round-trip；1457/1457 通过。</x:v>
      </x:c>
      <x:c r="H394" s="144" t="str">
        <x:v>coem/BYD_UKE/gen_bsw/Com/Com_PBcfg.c:13411; BYD_5R1V_RadarRearcorner_V2.5_AllNodes.dbc:987</x:v>
      </x:c>
    </x:row>
    <x:row r="395" ht="72" customHeight="1">
      <x:c r="A395" s="144" t="str">
        <x:v>Com-Signal</x:v>
      </x:c>
      <x:c r="B395" s="144" t="str">
        <x:v>COM-SIG-Tx-0253 / RRR_Obj02A_AyVnce</x:v>
      </x:c>
      <x:c r="C395" s="144" t="str">
        <x:v>PDU=RRR_Obj02A; startBit=212; length=12; byteOrder=Little; type=UINT16; factor=0.01; offset=0; min=0; max=30; unit=m^2/s^4; receivers=DASy</x:v>
      </x:c>
      <x:c r="D3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5" s="144" t="str">
        <x:v>M2</x:v>
      </x:c>
      <x:c r="F395" s="144" t="str">
        <x:v>Signal 级可编辑配置、数据类型/缩放/端序合同、RTE 接口、边界值与 round-trip 测试。</x:v>
      </x:c>
      <x:c r="G395" s="144" t="str">
        <x:v>raw=0、raw=max、物理 min/max、越界/保留值、端序字节向量、pack→unpack round-trip；1457/1457 通过。</x:v>
      </x:c>
      <x:c r="H395" s="144" t="str">
        <x:v>coem/BYD_UKE/gen_bsw/Com/Com_PBcfg.c:13464; BYD_5R1V_RadarRearcorner_V2.5_AllNodes.dbc:999</x:v>
      </x:c>
    </x:row>
    <x:row r="396" ht="72" customHeight="1">
      <x:c r="A396" s="144" t="str">
        <x:v>Com-Signal</x:v>
      </x:c>
      <x:c r="B396" s="144" t="str">
        <x:v>COM-SIG-Tx-0254 / RRR_Obj02A_Ay</x:v>
      </x:c>
      <x:c r="C396" s="144" t="str">
        <x:v>PDU=RRR_Obj02A; startBit=103; length=9; byteOrder=Little; type=UINT16; factor=0.0625; offset=-16; min=-16; max=15.9375; unit=m/s^2; receivers=DASy</x:v>
      </x:c>
      <x:c r="D3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6" s="144" t="str">
        <x:v>M2</x:v>
      </x:c>
      <x:c r="F396" s="144" t="str">
        <x:v>Signal 级可编辑配置、数据类型/缩放/端序合同、RTE 接口、边界值与 round-trip 测试。</x:v>
      </x:c>
      <x:c r="G396" s="144" t="str">
        <x:v>raw=0、raw=max、物理 min/max、越界/保留值、端序字节向量、pack→unpack round-trip；1457/1457 通过。</x:v>
      </x:c>
      <x:c r="H396" s="144" t="str">
        <x:v>coem/BYD_UKE/gen_bsw/Com/Com_PBcfg.c:13517; BYD_5R1V_RadarRearcorner_V2.5_AllNodes.dbc:988</x:v>
      </x:c>
    </x:row>
    <x:row r="397" ht="72" customHeight="1">
      <x:c r="A397" s="144" t="str">
        <x:v>Com-Signal</x:v>
      </x:c>
      <x:c r="B397" s="144" t="str">
        <x:v>COM-SIG-Tx-0255 / RRR_Obj02A_CRC</x:v>
      </x:c>
      <x:c r="C397" s="144" t="str">
        <x:v>PDU=RRR_Obj02A; startBit=0; length=16; byteOrder=Little; type=UINT16; factor=1; offset=0; min=0; max=65535; unit=-; receivers=DASy</x:v>
      </x:c>
      <x:c r="D3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7" s="144" t="str">
        <x:v>M2</x:v>
      </x:c>
      <x:c r="F397" s="144" t="str">
        <x:v>Signal 级可编辑配置、数据类型/缩放/端序合同、RTE 接口、边界值与 round-trip 测试。</x:v>
      </x:c>
      <x:c r="G397" s="144" t="str">
        <x:v>raw=0、raw=max、物理 min/max、越界/保留值、端序字节向量、pack→unpack round-trip；1457/1457 通过。</x:v>
      </x:c>
      <x:c r="H397" s="144" t="str">
        <x:v>coem/BYD_UKE/gen_bsw/Com/Com_PBcfg.c:13570; BYD_5R1V_RadarRearcorner_V2.5_AllNodes.dbc:975</x:v>
      </x:c>
    </x:row>
    <x:row r="398" ht="72" customHeight="1">
      <x:c r="A398" s="144" t="str">
        <x:v>Com-Signal</x:v>
      </x:c>
      <x:c r="B398" s="144" t="str">
        <x:v>COM-SIG-Tx-0256 / RRR_Obj02A_DxAxCoVnce</x:v>
      </x:c>
      <x:c r="C398" s="144" t="str">
        <x:v>PDU=RRR_Obj02A; startBit=300; length=12; byteOrder=Little; type=UINT16; factor=0.01; offset=0; min=0; max=30; unit=m^2/s^2; receivers=DASy</x:v>
      </x:c>
      <x:c r="D3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8" s="144" t="str">
        <x:v>M2</x:v>
      </x:c>
      <x:c r="F398" s="144" t="str">
        <x:v>Signal 级可编辑配置、数据类型/缩放/端序合同、RTE 接口、边界值与 round-trip 测试。</x:v>
      </x:c>
      <x:c r="G398" s="144" t="str">
        <x:v>raw=0、raw=max、物理 min/max、越界/保留值、端序字节向量、pack→unpack round-trip；1457/1457 通过。</x:v>
      </x:c>
      <x:c r="H398" s="144" t="str">
        <x:v>coem/BYD_UKE/gen_bsw/Com/Com_PBcfg.c:13623; BYD_5R1V_RadarRearcorner_V2.5_AllNodes.dbc:1006</x:v>
      </x:c>
    </x:row>
    <x:row r="399" ht="72" customHeight="1">
      <x:c r="A399" s="144" t="str">
        <x:v>Com-Signal</x:v>
      </x:c>
      <x:c r="B399" s="144" t="str">
        <x:v>COM-SIG-Tx-0257 / RRR_Obj02A_DxAyCoVnce</x:v>
      </x:c>
      <x:c r="C399" s="144" t="str">
        <x:v>PDU=RRR_Obj02A; startBit=348; length=12; byteOrder=Little; type=UINT16; factor=0.01; offset=0; min=0; max=30; unit=m^2/s^2; receivers=DASy</x:v>
      </x:c>
      <x:c r="D3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399" s="144" t="str">
        <x:v>M2</x:v>
      </x:c>
      <x:c r="F399" s="144" t="str">
        <x:v>Signal 级可编辑配置、数据类型/缩放/端序合同、RTE 接口、边界值与 round-trip 测试。</x:v>
      </x:c>
      <x:c r="G399" s="144" t="str">
        <x:v>raw=0、raw=max、物理 min/max、越界/保留值、端序字节向量、pack→unpack round-trip；1457/1457 通过。</x:v>
      </x:c>
      <x:c r="H399" s="144" t="str">
        <x:v>coem/BYD_UKE/gen_bsw/Com/Com_PBcfg.c:13676; BYD_5R1V_RadarRearcorner_V2.5_AllNodes.dbc:1010</x:v>
      </x:c>
    </x:row>
    <x:row r="400" ht="72" customHeight="1">
      <x:c r="A400" s="144" t="str">
        <x:v>Com-Signal</x:v>
      </x:c>
      <x:c r="B400" s="144" t="str">
        <x:v>COM-SIG-Tx-0258 / RRR_Obj02A_DxVnce</x:v>
      </x:c>
      <x:c r="C400" s="144" t="str">
        <x:v>PDU=RRR_Obj02A; startBit=142; length=12; byteOrder=Little; type=UINT16; factor=0.01; offset=0; min=0; max=30; unit=m^2; receivers=DASy</x:v>
      </x:c>
      <x:c r="D40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0" s="144" t="str">
        <x:v>M2</x:v>
      </x:c>
      <x:c r="F400" s="144" t="str">
        <x:v>Signal 级可编辑配置、数据类型/缩放/端序合同、RTE 接口、边界值与 round-trip 测试。</x:v>
      </x:c>
      <x:c r="G400" s="144" t="str">
        <x:v>raw=0、raw=max、物理 min/max、越界/保留值、端序字节向量、pack→unpack round-trip；1457/1457 通过。</x:v>
      </x:c>
      <x:c r="H400" s="144" t="str">
        <x:v>coem/BYD_UKE/gen_bsw/Com/Com_PBcfg.c:13729; BYD_5R1V_RadarRearcorner_V2.5_AllNodes.dbc:993</x:v>
      </x:c>
    </x:row>
    <x:row r="401" ht="72" customHeight="1">
      <x:c r="A401" s="144" t="str">
        <x:v>Com-Signal</x:v>
      </x:c>
      <x:c r="B401" s="144" t="str">
        <x:v>COM-SIG-Tx-0259 / RRR_Obj02A_Dx</x:v>
      </x:c>
      <x:c r="C401" s="144" t="str">
        <x:v>PDU=RRR_Obj02A; startBit=40; length=13; byteOrder=Little; type=UINT16; factor=0.0625; offset=-256; min=-256; max=255.9375; unit=m; receivers=DASy</x:v>
      </x:c>
      <x:c r="D4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1" s="144" t="str">
        <x:v>M2</x:v>
      </x:c>
      <x:c r="F401" s="144" t="str">
        <x:v>Signal 级可编辑配置、数据类型/缩放/端序合同、RTE 接口、边界值与 round-trip 测试。</x:v>
      </x:c>
      <x:c r="G401" s="144" t="str">
        <x:v>raw=0、raw=max、物理 min/max、越界/保留值、端序字节向量、pack→unpack round-trip；1457/1457 通过。</x:v>
      </x:c>
      <x:c r="H401" s="144" t="str">
        <x:v>coem/BYD_UKE/gen_bsw/Com/Com_PBcfg.c:13782; BYD_5R1V_RadarRearcorner_V2.5_AllNodes.dbc:982</x:v>
      </x:c>
    </x:row>
    <x:row r="402" ht="72" customHeight="1">
      <x:c r="A402" s="144" t="str">
        <x:v>Com-Signal</x:v>
      </x:c>
      <x:c r="B402" s="144" t="str">
        <x:v>COM-SIG-Tx-0260 / RRR_Obj02A_DyAxCoVnce</x:v>
      </x:c>
      <x:c r="C402" s="144" t="str">
        <x:v>PDU=RRR_Obj02A; startBit=312; length=12; byteOrder=Little; type=UINT16; factor=0.01; offset=0; min=0; max=30; unit=m^2/s^2; receivers=DASy</x:v>
      </x:c>
      <x:c r="D4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2" s="144" t="str">
        <x:v>M2</x:v>
      </x:c>
      <x:c r="F402" s="144" t="str">
        <x:v>Signal 级可编辑配置、数据类型/缩放/端序合同、RTE 接口、边界值与 round-trip 测试。</x:v>
      </x:c>
      <x:c r="G402" s="144" t="str">
        <x:v>raw=0、raw=max、物理 min/max、越界/保留值、端序字节向量、pack→unpack round-trip；1457/1457 通过。</x:v>
      </x:c>
      <x:c r="H402" s="144" t="str">
        <x:v>coem/BYD_UKE/gen_bsw/Com/Com_PBcfg.c:13835; BYD_5R1V_RadarRearcorner_V2.5_AllNodes.dbc:1007</x:v>
      </x:c>
    </x:row>
    <x:row r="403" ht="72" customHeight="1">
      <x:c r="A403" s="144" t="str">
        <x:v>Com-Signal</x:v>
      </x:c>
      <x:c r="B403" s="144" t="str">
        <x:v>COM-SIG-Tx-0261 / RRR_Obj02A_DyAyCoVnce</x:v>
      </x:c>
      <x:c r="C403" s="144" t="str">
        <x:v>PDU=RRR_Obj02A; startBit=360; length=12; byteOrder=Little; type=UINT16; factor=0.01; offset=0; min=0; max=30; unit=m^2/s^2; receivers=DASy</x:v>
      </x:c>
      <x:c r="D4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3" s="144" t="str">
        <x:v>M2</x:v>
      </x:c>
      <x:c r="F403" s="144" t="str">
        <x:v>Signal 级可编辑配置、数据类型/缩放/端序合同、RTE 接口、边界值与 round-trip 测试。</x:v>
      </x:c>
      <x:c r="G403" s="144" t="str">
        <x:v>raw=0、raw=max、物理 min/max、越界/保留值、端序字节向量、pack→unpack round-trip；1457/1457 通过。</x:v>
      </x:c>
      <x:c r="H403" s="144" t="str">
        <x:v>coem/BYD_UKE/gen_bsw/Com/Com_PBcfg.c:13888; BYD_5R1V_RadarRearcorner_V2.5_AllNodes.dbc:1011</x:v>
      </x:c>
    </x:row>
    <x:row r="404" ht="72" customHeight="1">
      <x:c r="A404" s="144" t="str">
        <x:v>Com-Signal</x:v>
      </x:c>
      <x:c r="B404" s="144" t="str">
        <x:v>COM-SIG-Tx-0262 / RRR_Obj02A_DyVnce</x:v>
      </x:c>
      <x:c r="C404" s="144" t="str">
        <x:v>PDU=RRR_Obj02A; startBit=154; length=12; byteOrder=Little; type=UINT16; factor=0.01; offset=0; min=0; max=30; unit=m^2; receivers=DASy</x:v>
      </x:c>
      <x:c r="D4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4" s="144" t="str">
        <x:v>M2</x:v>
      </x:c>
      <x:c r="F404" s="144" t="str">
        <x:v>Signal 级可编辑配置、数据类型/缩放/端序合同、RTE 接口、边界值与 round-trip 测试。</x:v>
      </x:c>
      <x:c r="G404" s="144" t="str">
        <x:v>raw=0、raw=max、物理 min/max、越界/保留值、端序字节向量、pack→unpack round-trip；1457/1457 通过。</x:v>
      </x:c>
      <x:c r="H404" s="144" t="str">
        <x:v>coem/BYD_UKE/gen_bsw/Com/Com_PBcfg.c:13941; BYD_5R1V_RadarRearcorner_V2.5_AllNodes.dbc:994</x:v>
      </x:c>
    </x:row>
    <x:row r="405" ht="72" customHeight="1">
      <x:c r="A405" s="144" t="str">
        <x:v>Com-Signal</x:v>
      </x:c>
      <x:c r="B405" s="144" t="str">
        <x:v>COM-SIG-Tx-0263 / RRR_Obj02A_DyVyCoVnce</x:v>
      </x:c>
      <x:c r="C405" s="144" t="str">
        <x:v>PDU=RRR_Obj02A; startBit=276; length=12; byteOrder=Little; type=UINT16; factor=0.01; offset=0; min=0; max=30; unit=m^2/s; receivers=DASy</x:v>
      </x:c>
      <x:c r="D4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5" s="144" t="str">
        <x:v>M2</x:v>
      </x:c>
      <x:c r="F405" s="144" t="str">
        <x:v>Signal 级可编辑配置、数据类型/缩放/端序合同、RTE 接口、边界值与 round-trip 测试。</x:v>
      </x:c>
      <x:c r="G405" s="144" t="str">
        <x:v>raw=0、raw=max、物理 min/max、越界/保留值、端序字节向量、pack→unpack round-trip；1457/1457 通过。</x:v>
      </x:c>
      <x:c r="H405" s="144" t="str">
        <x:v>coem/BYD_UKE/gen_bsw/Com/Com_PBcfg.c:13994; BYD_5R1V_RadarRearcorner_V2.5_AllNodes.dbc:1004</x:v>
      </x:c>
    </x:row>
    <x:row r="406" ht="72" customHeight="1">
      <x:c r="A406" s="144" t="str">
        <x:v>Com-Signal</x:v>
      </x:c>
      <x:c r="B406" s="144" t="str">
        <x:v>COM-SIG-Tx-0264 / RRR_Obj02A_Dy</x:v>
      </x:c>
      <x:c r="C406" s="144" t="str">
        <x:v>PDU=RRR_Obj02A; startBit=59; length=11; byteOrder=Little; type=UINT16; factor=0.125; offset=-128; min=-128; max=127.875; unit=m; receivers=DASy</x:v>
      </x:c>
      <x:c r="D4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6" s="144" t="str">
        <x:v>M2</x:v>
      </x:c>
      <x:c r="F406" s="144" t="str">
        <x:v>Signal 级可编辑配置、数据类型/缩放/端序合同、RTE 接口、边界值与 round-trip 测试。</x:v>
      </x:c>
      <x:c r="G406" s="144" t="str">
        <x:v>raw=0、raw=max、物理 min/max、越界/保留值、端序字节向量、pack→unpack round-trip；1457/1457 通过。</x:v>
      </x:c>
      <x:c r="H406" s="144" t="str">
        <x:v>coem/BYD_UKE/gen_bsw/Com/Com_PBcfg.c:14047; BYD_5R1V_RadarRearcorner_V2.5_AllNodes.dbc:983</x:v>
      </x:c>
    </x:row>
    <x:row r="407" ht="72" customHeight="1">
      <x:c r="A407" s="144" t="str">
        <x:v>Com-Signal</x:v>
      </x:c>
      <x:c r="B407" s="144" t="str">
        <x:v>COM-SIG-Tx-0265 / RRR_Obj02A_DzVnce</x:v>
      </x:c>
      <x:c r="C407" s="144" t="str">
        <x:v>PDU=RRR_Obj02A; startBit=166; length=10; byteOrder=Little; type=UINT16; factor=0.01; offset=0; min=0; max=10; unit=m^2; receivers=DASy</x:v>
      </x:c>
      <x:c r="D4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7" s="144" t="str">
        <x:v>M2</x:v>
      </x:c>
      <x:c r="F407" s="144" t="str">
        <x:v>Signal 级可编辑配置、数据类型/缩放/端序合同、RTE 接口、边界值与 round-trip 测试。</x:v>
      </x:c>
      <x:c r="G407" s="144" t="str">
        <x:v>raw=0、raw=max、物理 min/max、越界/保留值、端序字节向量、pack→unpack round-trip；1457/1457 通过。</x:v>
      </x:c>
      <x:c r="H407" s="144" t="str">
        <x:v>coem/BYD_UKE/gen_bsw/Com/Com_PBcfg.c:14100; BYD_5R1V_RadarRearcorner_V2.5_AllNodes.dbc:995</x:v>
      </x:c>
    </x:row>
    <x:row r="408" ht="72" customHeight="1">
      <x:c r="A408" s="144" t="str">
        <x:v>Com-Signal</x:v>
      </x:c>
      <x:c r="B408" s="144" t="str">
        <x:v>COM-SIG-Tx-0266 / RRR_Obj02A_Dz</x:v>
      </x:c>
      <x:c r="C408" s="144" t="str">
        <x:v>PDU=RRR_Obj02A; startBit=53; length=6; byteOrder=Little; type=UINT8; factor=0.25; offset=-5; min=-5; max=10.75; unit=m; receivers=DASy</x:v>
      </x:c>
      <x:c r="D4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8" s="144" t="str">
        <x:v>M2</x:v>
      </x:c>
      <x:c r="F408" s="144" t="str">
        <x:v>Signal 级可编辑配置、数据类型/缩放/端序合同、RTE 接口、边界值与 round-trip 测试。</x:v>
      </x:c>
      <x:c r="G408" s="144" t="str">
        <x:v>raw=0、raw=max、物理 min/max、越界/保留值、端序字节向量、pack→unpack round-trip；1457/1457 通过。</x:v>
      </x:c>
      <x:c r="H408" s="144" t="str">
        <x:v>coem/BYD_UKE/gen_bsw/Com/Com_PBcfg.c:14153; BYD_5R1V_RadarRearcorner_V2.5_AllNodes.dbc:984</x:v>
      </x:c>
    </x:row>
    <x:row r="409" ht="72" customHeight="1">
      <x:c r="A409" s="144" t="str">
        <x:v>Com-Signal</x:v>
      </x:c>
      <x:c r="B409" s="144" t="str">
        <x:v>COM-SIG-Tx-0267 / RRR_Obj02A_HeadingYawAngleVnce</x:v>
      </x:c>
      <x:c r="C409" s="144" t="str">
        <x:v>PDU=RRR_Obj02A; startBit=408; length=12; byteOrder=Little; type=UINT16; factor=0.0003; offset=0; min=0; max=1; unit=rad^2; receivers=DASy</x:v>
      </x:c>
      <x:c r="D4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09" s="144" t="str">
        <x:v>M2</x:v>
      </x:c>
      <x:c r="F409" s="144" t="str">
        <x:v>Signal 级可编辑配置、数据类型/缩放/端序合同、RTE 接口、边界值与 round-trip 测试。</x:v>
      </x:c>
      <x:c r="G409" s="144" t="str">
        <x:v>raw=0、raw=max、物理 min/max、越界/保留值、端序字节向量、pack→unpack round-trip；1457/1457 通过。</x:v>
      </x:c>
      <x:c r="H409" s="144" t="str">
        <x:v>coem/BYD_UKE/gen_bsw/Com/Com_PBcfg.c:14206; BYD_5R1V_RadarRearcorner_V2.5_AllNodes.dbc:1015</x:v>
      </x:c>
    </x:row>
    <x:row r="410" ht="72" customHeight="1">
      <x:c r="A410" s="144" t="str">
        <x:v>Com-Signal</x:v>
      </x:c>
      <x:c r="B410" s="144" t="str">
        <x:v>COM-SIG-Tx-0268 / RRR_Obj02A_HeadingYawAngle</x:v>
      </x:c>
      <x:c r="C410" s="144" t="str">
        <x:v>PDU=RRR_Obj02A; startBit=112; length=9; byteOrder=Little; type=UINT16; factor=0.0175; offset=-4.48; min=-3.15; max=3.15; unit=rad; receivers=DASy</x:v>
      </x:c>
      <x:c r="D41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0" s="144" t="str">
        <x:v>M2</x:v>
      </x:c>
      <x:c r="F410" s="144" t="str">
        <x:v>Signal 级可编辑配置、数据类型/缩放/端序合同、RTE 接口、边界值与 round-trip 测试。</x:v>
      </x:c>
      <x:c r="G410" s="144" t="str">
        <x:v>raw=0、raw=max、物理 min/max、越界/保留值、端序字节向量、pack→unpack round-trip；1457/1457 通过。</x:v>
      </x:c>
      <x:c r="H410" s="144" t="str">
        <x:v>coem/BYD_UKE/gen_bsw/Com/Com_PBcfg.c:14259; BYD_5R1V_RadarRearcorner_V2.5_AllNodes.dbc:989</x:v>
      </x:c>
    </x:row>
    <x:row r="411" ht="72" customHeight="1">
      <x:c r="A411" s="144" t="str">
        <x:v>Com-Signal</x:v>
      </x:c>
      <x:c r="B411" s="144" t="str">
        <x:v>COM-SIG-Tx-0269 / RRR_Obj02A_HeadingYawrate</x:v>
      </x:c>
      <x:c r="C411" s="144" t="str">
        <x:v>PDU=RRR_Obj02A; startBit=240; length=12; byteOrder=Little; type=UINT16; factor=1（Com原始值）; offset=0（Com原始值）; min=按位宽/类型; max=按位宽/类型; unit=-; receivers=-</x:v>
      </x:c>
      <x:c r="D411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11" s="144" t="str">
        <x:v>M2</x:v>
      </x:c>
      <x:c r="F411" s="144" t="str">
        <x:v>Signal 级可编辑配置、数据类型/缩放/端序合同、RTE 接口、边界值与 round-trip 测试。</x:v>
      </x:c>
      <x:c r="G411" s="144" t="str">
        <x:v>raw=0、raw=max、物理 min/max、越界/保留值、端序字节向量、pack→unpack round-trip；1457/1457 通过。</x:v>
      </x:c>
      <x:c r="H411" s="144" t="str">
        <x:v>coem/BYD_UKE/gen_bsw/Com/Com_PBcfg.c:14312</x:v>
      </x:c>
    </x:row>
    <x:row r="412" ht="72" customHeight="1">
      <x:c r="A412" s="144" t="str">
        <x:v>Com-Signal</x:v>
      </x:c>
      <x:c r="B412" s="144" t="str">
        <x:v>COM-SIG-Tx-0270 / RRR_Obj02A_HeightVnce</x:v>
      </x:c>
      <x:c r="C412" s="144" t="str">
        <x:v>PDU=RRR_Obj02A; startBit=444; length=12; byteOrder=Little; type=UINT16; factor=0.01; offset=0; min=0; max=30; unit=m^2; receivers=DASy</x:v>
      </x:c>
      <x:c r="D4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2" s="144" t="str">
        <x:v>M2</x:v>
      </x:c>
      <x:c r="F412" s="144" t="str">
        <x:v>Signal 级可编辑配置、数据类型/缩放/端序合同、RTE 接口、边界值与 round-trip 测试。</x:v>
      </x:c>
      <x:c r="G412" s="144" t="str">
        <x:v>raw=0、raw=max、物理 min/max、越界/保留值、端序字节向量、pack→unpack round-trip；1457/1457 通过。</x:v>
      </x:c>
      <x:c r="H412" s="144" t="str">
        <x:v>coem/BYD_UKE/gen_bsw/Com/Com_PBcfg.c:14365; BYD_5R1V_RadarRearcorner_V2.5_AllNodes.dbc:974</x:v>
      </x:c>
    </x:row>
    <x:row r="413" ht="72" customHeight="1">
      <x:c r="A413" s="144" t="str">
        <x:v>Com-Signal</x:v>
      </x:c>
      <x:c r="B413" s="144" t="str">
        <x:v>COM-SIG-Tx-0271 / RRR_Obj02A_Height</x:v>
      </x:c>
      <x:c r="C413" s="144" t="str">
        <x:v>PDU=RRR_Obj02A; startBit=135; length=7; byteOrder=Little; type=UINT8; factor=0.125; offset=0; min=0; max=15.875; unit=m; receivers=DASy</x:v>
      </x:c>
      <x:c r="D4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3" s="144" t="str">
        <x:v>M2</x:v>
      </x:c>
      <x:c r="F413" s="144" t="str">
        <x:v>Signal 级可编辑配置、数据类型/缩放/端序合同、RTE 接口、边界值与 round-trip 测试。</x:v>
      </x:c>
      <x:c r="G413" s="144" t="str">
        <x:v>raw=0、raw=max、物理 min/max、越界/保留值、端序字节向量、pack→unpack round-trip；1457/1457 通过。</x:v>
      </x:c>
      <x:c r="H413" s="144" t="str">
        <x:v>coem/BYD_UKE/gen_bsw/Com/Com_PBcfg.c:14418; BYD_5R1V_RadarRearcorner_V2.5_AllNodes.dbc:992</x:v>
      </x:c>
    </x:row>
    <x:row r="414" ht="72" customHeight="1">
      <x:c r="A414" s="144" t="str">
        <x:v>Com-Signal</x:v>
      </x:c>
      <x:c r="B414" s="144" t="str">
        <x:v>COM-SIG-Tx-0272 / RRR_Obj02A_ID</x:v>
      </x:c>
      <x:c r="C414" s="144" t="str">
        <x:v>PDU=RRR_Obj02A; startBit=32; length=7; byteOrder=Little; type=UINT8; factor=1; offset=0; min=0; max=127; unit=-; receivers=DASy</x:v>
      </x:c>
      <x:c r="D41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4" s="144" t="str">
        <x:v>M2</x:v>
      </x:c>
      <x:c r="F414" s="144" t="str">
        <x:v>Signal 级可编辑配置、数据类型/缩放/端序合同、RTE 接口、边界值与 round-trip 测试。</x:v>
      </x:c>
      <x:c r="G414" s="144" t="str">
        <x:v>raw=0、raw=max、物理 min/max、越界/保留值、端序字节向量、pack→unpack round-trip；1457/1457 通过。</x:v>
      </x:c>
      <x:c r="H414" s="144" t="str">
        <x:v>coem/BYD_UKE/gen_bsw/Com/Com_PBcfg.c:14471; BYD_5R1V_RadarRearcorner_V2.5_AllNodes.dbc:978</x:v>
      </x:c>
    </x:row>
    <x:row r="415" ht="72" customHeight="1">
      <x:c r="A415" s="144" t="str">
        <x:v>Com-Signal</x:v>
      </x:c>
      <x:c r="B415" s="144" t="str">
        <x:v>COM-SIG-Tx-0273 / RRR_Obj02A_LengthVnce</x:v>
      </x:c>
      <x:c r="C415" s="144" t="str">
        <x:v>PDU=RRR_Obj02A; startBit=420; length=12; byteOrder=Little; type=UINT16; factor=0.01; offset=0; min=0; max=30; unit=m^2; receivers=DASy</x:v>
      </x:c>
      <x:c r="D4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5" s="144" t="str">
        <x:v>M2</x:v>
      </x:c>
      <x:c r="F415" s="144" t="str">
        <x:v>Signal 级可编辑配置、数据类型/缩放/端序合同、RTE 接口、边界值与 round-trip 测试。</x:v>
      </x:c>
      <x:c r="G415" s="144" t="str">
        <x:v>raw=0、raw=max、物理 min/max、越界/保留值、端序字节向量、pack→unpack round-trip；1457/1457 通过。</x:v>
      </x:c>
      <x:c r="H415" s="144" t="str">
        <x:v>coem/BYD_UKE/gen_bsw/Com/Com_PBcfg.c:14524; BYD_5R1V_RadarRearcorner_V2.5_AllNodes.dbc:1016</x:v>
      </x:c>
    </x:row>
    <x:row r="416" ht="72" customHeight="1">
      <x:c r="A416" s="144" t="str">
        <x:v>Com-Signal</x:v>
      </x:c>
      <x:c r="B416" s="144" t="str">
        <x:v>COM-SIG-Tx-0274 / RRR_Obj02A_Length</x:v>
      </x:c>
      <x:c r="C416" s="144" t="str">
        <x:v>PDU=RRR_Obj02A; startBit=121; length=7; byteOrder=Little; type=UINT8; factor=0.125; offset=0; min=0; max=15.875; unit=m; receivers=DASy</x:v>
      </x:c>
      <x:c r="D4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6" s="144" t="str">
        <x:v>M2</x:v>
      </x:c>
      <x:c r="F416" s="144" t="str">
        <x:v>Signal 级可编辑配置、数据类型/缩放/端序合同、RTE 接口、边界值与 round-trip 测试。</x:v>
      </x:c>
      <x:c r="G416" s="144" t="str">
        <x:v>raw=0、raw=max、物理 min/max、越界/保留值、端序字节向量、pack→unpack round-trip；1457/1457 通过。</x:v>
      </x:c>
      <x:c r="H416" s="144" t="str">
        <x:v>coem/BYD_UKE/gen_bsw/Com/Com_PBcfg.c:14577; BYD_5R1V_RadarRearcorner_V2.5_AllNodes.dbc:990</x:v>
      </x:c>
    </x:row>
    <x:row r="417" ht="72" customHeight="1">
      <x:c r="A417" s="144" t="str">
        <x:v>Com-Signal</x:v>
      </x:c>
      <x:c r="B417" s="144" t="str">
        <x:v>COM-SIG-Tx-0275 / RRR_Obj02A_Measured</x:v>
      </x:c>
      <x:c r="C417" s="144" t="str">
        <x:v>PDU=RRR_Obj02A; startBit=39; length=1; byteOrder=Little; type=UINT8; factor=1; offset=0; min=0; max=1; unit=-; receivers=DASy</x:v>
      </x:c>
      <x:c r="D4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7" s="144" t="str">
        <x:v>M2</x:v>
      </x:c>
      <x:c r="F417" s="144" t="str">
        <x:v>Signal 级可编辑配置、数据类型/缩放/端序合同、RTE 接口、边界值与 round-trip 测试。</x:v>
      </x:c>
      <x:c r="G417" s="144" t="str">
        <x:v>raw=0、raw=max、物理 min/max、越界/保留值、端序字节向量、pack→unpack round-trip；1457/1457 通过。</x:v>
      </x:c>
      <x:c r="H417" s="144" t="str">
        <x:v>coem/BYD_UKE/gen_bsw/Com/Com_PBcfg.c:14630; BYD_5R1V_RadarRearcorner_V2.5_AllNodes.dbc:981</x:v>
      </x:c>
    </x:row>
    <x:row r="418" ht="72" customHeight="1">
      <x:c r="A418" s="144" t="str">
        <x:v>Com-Signal</x:v>
      </x:c>
      <x:c r="B418" s="144" t="str">
        <x:v>COM-SIG-Tx-0276 / RRR_Obj02A_ObjDetected</x:v>
      </x:c>
      <x:c r="C418" s="144" t="str">
        <x:v>PDU=RRR_Obj02A; startBit=264; length=12; byteOrder=Little; type=UINT16; factor=1（Com原始值）; offset=0（Com原始值）; min=按位宽/类型; max=按位宽/类型; unit=-; receivers=-</x:v>
      </x:c>
      <x:c r="D41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18" s="144" t="str">
        <x:v>M2</x:v>
      </x:c>
      <x:c r="F418" s="144" t="str">
        <x:v>Signal 级可编辑配置、数据类型/缩放/端序合同、RTE 接口、边界值与 round-trip 测试。</x:v>
      </x:c>
      <x:c r="G418" s="144" t="str">
        <x:v>raw=0、raw=max、物理 min/max、越界/保留值、端序字节向量、pack→unpack round-trip；1457/1457 通过。</x:v>
      </x:c>
      <x:c r="H418" s="144" t="str">
        <x:v>coem/BYD_UKE/gen_bsw/Com/Com_PBcfg.c:14683</x:v>
      </x:c>
    </x:row>
    <x:row r="419" ht="72" customHeight="1">
      <x:c r="A419" s="144" t="str">
        <x:v>Com-Signal</x:v>
      </x:c>
      <x:c r="B419" s="144" t="str">
        <x:v>COM-SIG-Tx-0277 / RRR_Obj02A_ProbExist</x:v>
      </x:c>
      <x:c r="C419" s="144" t="str">
        <x:v>PDU=RRR_Obj02A; startBit=456; length=6; byteOrder=Little; type=UINT8; factor=2; offset=0; min=0; max=100; unit=%; receivers=DASy</x:v>
      </x:c>
      <x:c r="D4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19" s="144" t="str">
        <x:v>M2</x:v>
      </x:c>
      <x:c r="F419" s="144" t="str">
        <x:v>Signal 级可编辑配置、数据类型/缩放/端序合同、RTE 接口、边界值与 round-trip 测试。</x:v>
      </x:c>
      <x:c r="G419" s="144" t="str">
        <x:v>raw=0、raw=max、物理 min/max、越界/保留值、端序字节向量、pack→unpack round-trip；1457/1457 通过。</x:v>
      </x:c>
      <x:c r="H419" s="144" t="str">
        <x:v>coem/BYD_UKE/gen_bsw/Com/Com_PBcfg.c:14736; BYD_5R1V_RadarRearcorner_V2.5_AllNodes.dbc:1018</x:v>
      </x:c>
    </x:row>
    <x:row r="420" ht="72" customHeight="1">
      <x:c r="A420" s="144" t="str">
        <x:v>Com-Signal</x:v>
      </x:c>
      <x:c r="B420" s="144" t="str">
        <x:v>COM-SIG-Tx-0278 / RRR_Obj02A_ProbMobileObst</x:v>
      </x:c>
      <x:c r="C420" s="144" t="str">
        <x:v>PDU=RRR_Obj02A; startBit=474; length=6; byteOrder=Little; type=UINT8; factor=2; offset=0; min=0; max=100; unit=%; receivers=DASy</x:v>
      </x:c>
      <x:c r="D4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0" s="144" t="str">
        <x:v>M2</x:v>
      </x:c>
      <x:c r="F420" s="144" t="str">
        <x:v>Signal 级可编辑配置、数据类型/缩放/端序合同、RTE 接口、边界值与 round-trip 测试。</x:v>
      </x:c>
      <x:c r="G420" s="144" t="str">
        <x:v>raw=0、raw=max、物理 min/max、越界/保留值、端序字节向量、pack→unpack round-trip；1457/1457 通过。</x:v>
      </x:c>
      <x:c r="H420" s="144" t="str">
        <x:v>coem/BYD_UKE/gen_bsw/Com/Com_PBcfg.c:14789; BYD_5R1V_RadarRearcorner_V2.5_AllNodes.dbc:1021</x:v>
      </x:c>
    </x:row>
    <x:row r="421" ht="72" customHeight="1">
      <x:c r="A421" s="144" t="str">
        <x:v>Com-Signal</x:v>
      </x:c>
      <x:c r="B421" s="144" t="str">
        <x:v>COM-SIG-Tx-0279 / RRR_Obj02A_ProbNonObstacle</x:v>
      </x:c>
      <x:c r="C421" s="144" t="str">
        <x:v>PDU=RRR_Obj02A; startBit=468; length=6; byteOrder=Little; type=UINT8; factor=2; offset=0; min=0; max=100; unit=%; receivers=DASy</x:v>
      </x:c>
      <x:c r="D4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1" s="144" t="str">
        <x:v>M2</x:v>
      </x:c>
      <x:c r="F421" s="144" t="str">
        <x:v>Signal 级可编辑配置、数据类型/缩放/端序合同、RTE 接口、边界值与 round-trip 测试。</x:v>
      </x:c>
      <x:c r="G421" s="144" t="str">
        <x:v>raw=0、raw=max、物理 min/max、越界/保留值、端序字节向量、pack→unpack round-trip；1457/1457 通过。</x:v>
      </x:c>
      <x:c r="H421" s="144" t="str">
        <x:v>coem/BYD_UKE/gen_bsw/Com/Com_PBcfg.c:14842; BYD_5R1V_RadarRearcorner_V2.5_AllNodes.dbc:1020</x:v>
      </x:c>
    </x:row>
    <x:row r="422" ht="72" customHeight="1">
      <x:c r="A422" s="144" t="str">
        <x:v>Com-Signal</x:v>
      </x:c>
      <x:c r="B422" s="144" t="str">
        <x:v>COM-SIG-Tx-0280 / RRR_Obj02A_ProbObstacle</x:v>
      </x:c>
      <x:c r="C422" s="144" t="str">
        <x:v>PDU=RRR_Obj02A; startBit=462; length=6; byteOrder=Little; type=UINT8; factor=2; offset=0; min=0; max=100; unit=%; receivers=DASy</x:v>
      </x:c>
      <x:c r="D4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2" s="144" t="str">
        <x:v>M2</x:v>
      </x:c>
      <x:c r="F422" s="144" t="str">
        <x:v>Signal 级可编辑配置、数据类型/缩放/端序合同、RTE 接口、边界值与 round-trip 测试。</x:v>
      </x:c>
      <x:c r="G422" s="144" t="str">
        <x:v>raw=0、raw=max、物理 min/max、越界/保留值、端序字节向量、pack→unpack round-trip；1457/1457 通过。</x:v>
      </x:c>
      <x:c r="H422" s="144" t="str">
        <x:v>coem/BYD_UKE/gen_bsw/Com/Com_PBcfg.c:14895; BYD_5R1V_RadarRearcorner_V2.5_AllNodes.dbc:1019</x:v>
      </x:c>
    </x:row>
    <x:row r="423" ht="72" customHeight="1">
      <x:c r="A423" s="144" t="str">
        <x:v>Com-Signal</x:v>
      </x:c>
      <x:c r="B423" s="144" t="str">
        <x:v>COM-SIG-Tx-0281 / RRR_Obj02A_ProtBlockCtr</x:v>
      </x:c>
      <x:c r="C423" s="144" t="str">
        <x:v>PDU=RRR_Obj02A; startBit=24; length=4; byteOrder=Little; type=UINT8; factor=1; offset=0; min=0; max=15; unit=-; receivers=DASy</x:v>
      </x:c>
      <x:c r="D4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3" s="144" t="str">
        <x:v>M2</x:v>
      </x:c>
      <x:c r="F423" s="144" t="str">
        <x:v>Signal 级可编辑配置、数据类型/缩放/端序合同、RTE 接口、边界值与 round-trip 测试。</x:v>
      </x:c>
      <x:c r="G423" s="144" t="str">
        <x:v>raw=0、raw=max、物理 min/max、越界/保留值、端序字节向量、pack→unpack round-trip；1457/1457 通过。</x:v>
      </x:c>
      <x:c r="H423" s="144" t="str">
        <x:v>coem/BYD_UKE/gen_bsw/Com/Com_PBcfg.c:14948; BYD_5R1V_RadarRearcorner_V2.5_AllNodes.dbc:977</x:v>
      </x:c>
    </x:row>
    <x:row r="424" ht="72" customHeight="1">
      <x:c r="A424" s="144" t="str">
        <x:v>Com-Signal</x:v>
      </x:c>
      <x:c r="B424" s="144" t="str">
        <x:v>COM-SIG-Tx-0282 / RRR_Obj02A_RCS</x:v>
      </x:c>
      <x:c r="C424" s="144" t="str">
        <x:v>PDU=RRR_Obj02A; startBit=252; length=12; byteOrder=Little; type=UINT16; factor=1（Com原始值）; offset=0（Com原始值）; min=按位宽/类型; max=按位宽/类型; unit=-; receivers=-</x:v>
      </x:c>
      <x:c r="D42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24" s="144" t="str">
        <x:v>M2</x:v>
      </x:c>
      <x:c r="F424" s="144" t="str">
        <x:v>Signal 级可编辑配置、数据类型/缩放/端序合同、RTE 接口、边界值与 round-trip 测试。</x:v>
      </x:c>
      <x:c r="G424" s="144" t="str">
        <x:v>raw=0、raw=max、物理 min/max、越界/保留值、端序字节向量、pack→unpack round-trip；1457/1457 通过。</x:v>
      </x:c>
      <x:c r="H424" s="144" t="str">
        <x:v>coem/BYD_UKE/gen_bsw/Com/Com_PBcfg.c:15001</x:v>
      </x:c>
    </x:row>
    <x:row r="425" ht="72" customHeight="1">
      <x:c r="A425" s="144" t="str">
        <x:v>Com-Signal</x:v>
      </x:c>
      <x:c r="B425" s="144" t="str">
        <x:v>COM-SIG-Tx-0283 / RRR_Obj02A_RefPosIndex</x:v>
      </x:c>
      <x:c r="C425" s="144" t="str">
        <x:v>PDU=RRR_Obj02A; startBit=224; length=4; byteOrder=Little; type=UINT8; factor=1; offset=0; min=0; max=15; unit=-; receivers=DASy</x:v>
      </x:c>
      <x:c r="D4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5" s="144" t="str">
        <x:v>M2</x:v>
      </x:c>
      <x:c r="F425" s="144" t="str">
        <x:v>Signal 级可编辑配置、数据类型/缩放/端序合同、RTE 接口、边界值与 round-trip 测试。</x:v>
      </x:c>
      <x:c r="G425" s="144" t="str">
        <x:v>raw=0、raw=max、物理 min/max、越界/保留值、端序字节向量、pack→unpack round-trip；1457/1457 通过。</x:v>
      </x:c>
      <x:c r="H425" s="144" t="str">
        <x:v>coem/BYD_UKE/gen_bsw/Com/Com_PBcfg.c:15054; BYD_5R1V_RadarRearcorner_V2.5_AllNodes.dbc:979</x:v>
      </x:c>
    </x:row>
    <x:row r="426" ht="72" customHeight="1">
      <x:c r="A426" s="144" t="str">
        <x:v>Com-Signal</x:v>
      </x:c>
      <x:c r="B426" s="144" t="str">
        <x:v>COM-SIG-Tx-0284 / RRR_Obj02A_Valid</x:v>
      </x:c>
      <x:c r="C426" s="144" t="str">
        <x:v>PDU=RRR_Obj02A; startBit=70; length=1; byteOrder=Little; type=UINT8; factor=1; offset=0; min=0; max=1; unit=-; receivers=DASy</x:v>
      </x:c>
      <x:c r="D4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6" s="144" t="str">
        <x:v>M2</x:v>
      </x:c>
      <x:c r="F426" s="144" t="str">
        <x:v>Signal 级可编辑配置、数据类型/缩放/端序合同、RTE 接口、边界值与 round-trip 测试。</x:v>
      </x:c>
      <x:c r="G426" s="144" t="str">
        <x:v>raw=0、raw=max、物理 min/max、越界/保留值、端序字节向量、pack→unpack round-trip；1457/1457 通过。</x:v>
      </x:c>
      <x:c r="H426" s="144" t="str">
        <x:v>coem/BYD_UKE/gen_bsw/Com/Com_PBcfg.c:15107; BYD_5R1V_RadarRearcorner_V2.5_AllNodes.dbc:980</x:v>
      </x:c>
    </x:row>
    <x:row r="427" ht="72" customHeight="1">
      <x:c r="A427" s="144" t="str">
        <x:v>Com-Signal</x:v>
      </x:c>
      <x:c r="B427" s="144" t="str">
        <x:v>COM-SIG-Tx-0285 / RRR_Obj02A_VxAxCoVnce</x:v>
      </x:c>
      <x:c r="C427" s="144" t="str">
        <x:v>PDU=RRR_Obj02A; startBit=324; length=12; byteOrder=Little; type=UINT16; factor=0.01; offset=0; min=0; max=30; unit=m^2/s^3; receivers=DASy</x:v>
      </x:c>
      <x:c r="D4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7" s="144" t="str">
        <x:v>M2</x:v>
      </x:c>
      <x:c r="F427" s="144" t="str">
        <x:v>Signal 级可编辑配置、数据类型/缩放/端序合同、RTE 接口、边界值与 round-trip 测试。</x:v>
      </x:c>
      <x:c r="G427" s="144" t="str">
        <x:v>raw=0、raw=max、物理 min/max、越界/保留值、端序字节向量、pack→unpack round-trip；1457/1457 通过。</x:v>
      </x:c>
      <x:c r="H427" s="144" t="str">
        <x:v>coem/BYD_UKE/gen_bsw/Com/Com_PBcfg.c:15160; BYD_5R1V_RadarRearcorner_V2.5_AllNodes.dbc:1008</x:v>
      </x:c>
    </x:row>
    <x:row r="428" ht="72" customHeight="1">
      <x:c r="A428" s="144" t="str">
        <x:v>Com-Signal</x:v>
      </x:c>
      <x:c r="B428" s="144" t="str">
        <x:v>COM-SIG-Tx-0286 / RRR_Obj02A_VxAyCoVnce</x:v>
      </x:c>
      <x:c r="C428" s="144" t="str">
        <x:v>PDU=RRR_Obj02A; startBit=372; length=12; byteOrder=Little; type=UINT16; factor=0.01; offset=0; min=0; max=30; unit=m^2/s^3; receivers=DASy</x:v>
      </x:c>
      <x:c r="D42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8" s="144" t="str">
        <x:v>M2</x:v>
      </x:c>
      <x:c r="F428" s="144" t="str">
        <x:v>Signal 级可编辑配置、数据类型/缩放/端序合同、RTE 接口、边界值与 round-trip 测试。</x:v>
      </x:c>
      <x:c r="G428" s="144" t="str">
        <x:v>raw=0、raw=max、物理 min/max、越界/保留值、端序字节向量、pack→unpack round-trip；1457/1457 通过。</x:v>
      </x:c>
      <x:c r="H428" s="144" t="str">
        <x:v>coem/BYD_UKE/gen_bsw/Com/Com_PBcfg.c:15213; BYD_5R1V_RadarRearcorner_V2.5_AllNodes.dbc:1012</x:v>
      </x:c>
    </x:row>
    <x:row r="429" ht="72" customHeight="1">
      <x:c r="A429" s="144" t="str">
        <x:v>Com-Signal</x:v>
      </x:c>
      <x:c r="B429" s="144" t="str">
        <x:v>COM-SIG-Tx-0287 / RRR_Obj02A_VxVnce</x:v>
      </x:c>
      <x:c r="C429" s="144" t="str">
        <x:v>PDU=RRR_Obj02A; startBit=176; length=12; byteOrder=Little; type=UINT16; factor=0.01; offset=0; min=0; max=30; unit=m^2/s^2; receivers=DASy</x:v>
      </x:c>
      <x:c r="D4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29" s="144" t="str">
        <x:v>M2</x:v>
      </x:c>
      <x:c r="F429" s="144" t="str">
        <x:v>Signal 级可编辑配置、数据类型/缩放/端序合同、RTE 接口、边界值与 round-trip 测试。</x:v>
      </x:c>
      <x:c r="G429" s="144" t="str">
        <x:v>raw=0、raw=max、物理 min/max、越界/保留值、端序字节向量、pack→unpack round-trip；1457/1457 通过。</x:v>
      </x:c>
      <x:c r="H429" s="144" t="str">
        <x:v>coem/BYD_UKE/gen_bsw/Com/Com_PBcfg.c:15266; BYD_5R1V_RadarRearcorner_V2.5_AllNodes.dbc:996</x:v>
      </x:c>
    </x:row>
    <x:row r="430" ht="72" customHeight="1">
      <x:c r="A430" s="144" t="str">
        <x:v>Com-Signal</x:v>
      </x:c>
      <x:c r="B430" s="144" t="str">
        <x:v>COM-SIG-Tx-0288 / RRR_Obj02A_VxVyCoVnce</x:v>
      </x:c>
      <x:c r="C430" s="144" t="str">
        <x:v>PDU=RRR_Obj02A; startBit=288; length=12; byteOrder=Little; type=UINT16; factor=0.01; offset=0; min=0; max=30; unit=m^2/s^2; receivers=DASy</x:v>
      </x:c>
      <x:c r="D4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0" s="144" t="str">
        <x:v>M2</x:v>
      </x:c>
      <x:c r="F430" s="144" t="str">
        <x:v>Signal 级可编辑配置、数据类型/缩放/端序合同、RTE 接口、边界值与 round-trip 测试。</x:v>
      </x:c>
      <x:c r="G430" s="144" t="str">
        <x:v>raw=0、raw=max、物理 min/max、越界/保留值、端序字节向量、pack→unpack round-trip；1457/1457 通过。</x:v>
      </x:c>
      <x:c r="H430" s="144" t="str">
        <x:v>coem/BYD_UKE/gen_bsw/Com/Com_PBcfg.c:15319; BYD_5R1V_RadarRearcorner_V2.5_AllNodes.dbc:1005</x:v>
      </x:c>
    </x:row>
    <x:row r="431" ht="72" customHeight="1">
      <x:c r="A431" s="144" t="str">
        <x:v>Com-Signal</x:v>
      </x:c>
      <x:c r="B431" s="144" t="str">
        <x:v>COM-SIG-Tx-0289 / RRR_Obj02A_Vx</x:v>
      </x:c>
      <x:c r="C431" s="144" t="str">
        <x:v>PDU=RRR_Obj02A; startBit=71; length=12; byteOrder=Little; type=UINT16; factor=0.0625; offset=-128; min=-128; max=127.9375; unit=m/s; receivers=DASy</x:v>
      </x:c>
      <x:c r="D4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1" s="144" t="str">
        <x:v>M2</x:v>
      </x:c>
      <x:c r="F431" s="144" t="str">
        <x:v>Signal 级可编辑配置、数据类型/缩放/端序合同、RTE 接口、边界值与 round-trip 测试。</x:v>
      </x:c>
      <x:c r="G431" s="144" t="str">
        <x:v>raw=0、raw=max、物理 min/max、越界/保留值、端序字节向量、pack→unpack round-trip；1457/1457 通过。</x:v>
      </x:c>
      <x:c r="H431" s="144" t="str">
        <x:v>coem/BYD_UKE/gen_bsw/Com/Com_PBcfg.c:15372; BYD_5R1V_RadarRearcorner_V2.5_AllNodes.dbc:985</x:v>
      </x:c>
    </x:row>
    <x:row r="432" ht="72" customHeight="1">
      <x:c r="A432" s="144" t="str">
        <x:v>Com-Signal</x:v>
      </x:c>
      <x:c r="B432" s="144" t="str">
        <x:v>COM-SIG-Tx-0290 / RRR_Obj02A_VyAxCoVnce</x:v>
      </x:c>
      <x:c r="C432" s="144" t="str">
        <x:v>PDU=RRR_Obj02A; startBit=336; length=12; byteOrder=Little; type=UINT16; factor=0.01; offset=0; min=0; max=30; unit=m^2/s^3; receivers=DASy</x:v>
      </x:c>
      <x:c r="D4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2" s="144" t="str">
        <x:v>M2</x:v>
      </x:c>
      <x:c r="F432" s="144" t="str">
        <x:v>Signal 级可编辑配置、数据类型/缩放/端序合同、RTE 接口、边界值与 round-trip 测试。</x:v>
      </x:c>
      <x:c r="G432" s="144" t="str">
        <x:v>raw=0、raw=max、物理 min/max、越界/保留值、端序字节向量、pack→unpack round-trip；1457/1457 通过。</x:v>
      </x:c>
      <x:c r="H432" s="144" t="str">
        <x:v>coem/BYD_UKE/gen_bsw/Com/Com_PBcfg.c:15425; BYD_5R1V_RadarRearcorner_V2.5_AllNodes.dbc:1009</x:v>
      </x:c>
    </x:row>
    <x:row r="433" ht="72" customHeight="1">
      <x:c r="A433" s="144" t="str">
        <x:v>Com-Signal</x:v>
      </x:c>
      <x:c r="B433" s="144" t="str">
        <x:v>COM-SIG-Tx-0291 / RRR_Obj02A_VyAyCoVnce</x:v>
      </x:c>
      <x:c r="C433" s="144" t="str">
        <x:v>PDU=RRR_Obj02A; startBit=384; length=12; byteOrder=Little; type=UINT16; factor=0.01; offset=0; min=0; max=30; unit=m^2/s^3; receivers=DASy</x:v>
      </x:c>
      <x:c r="D4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3" s="144" t="str">
        <x:v>M2</x:v>
      </x:c>
      <x:c r="F433" s="144" t="str">
        <x:v>Signal 级可编辑配置、数据类型/缩放/端序合同、RTE 接口、边界值与 round-trip 测试。</x:v>
      </x:c>
      <x:c r="G433" s="144" t="str">
        <x:v>raw=0、raw=max、物理 min/max、越界/保留值、端序字节向量、pack→unpack round-trip；1457/1457 通过。</x:v>
      </x:c>
      <x:c r="H433" s="144" t="str">
        <x:v>coem/BYD_UKE/gen_bsw/Com/Com_PBcfg.c:15478; BYD_5R1V_RadarRearcorner_V2.5_AllNodes.dbc:1013</x:v>
      </x:c>
    </x:row>
    <x:row r="434" ht="72" customHeight="1">
      <x:c r="A434" s="144" t="str">
        <x:v>Com-Signal</x:v>
      </x:c>
      <x:c r="B434" s="144" t="str">
        <x:v>COM-SIG-Tx-0292 / RRR_Obj02A_VyVnce</x:v>
      </x:c>
      <x:c r="C434" s="144" t="str">
        <x:v>PDU=RRR_Obj02A; startBit=188; length=12; byteOrder=Little; type=UINT16; factor=0.01; offset=0; min=0; max=30; unit=m^2/s^2; receivers=DASy</x:v>
      </x:c>
      <x:c r="D4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4" s="144" t="str">
        <x:v>M2</x:v>
      </x:c>
      <x:c r="F434" s="144" t="str">
        <x:v>Signal 级可编辑配置、数据类型/缩放/端序合同、RTE 接口、边界值与 round-trip 测试。</x:v>
      </x:c>
      <x:c r="G434" s="144" t="str">
        <x:v>raw=0、raw=max、物理 min/max、越界/保留值、端序字节向量、pack→unpack round-trip；1457/1457 通过。</x:v>
      </x:c>
      <x:c r="H434" s="144" t="str">
        <x:v>coem/BYD_UKE/gen_bsw/Com/Com_PBcfg.c:15531; BYD_5R1V_RadarRearcorner_V2.5_AllNodes.dbc:997</x:v>
      </x:c>
    </x:row>
    <x:row r="435" ht="72" customHeight="1">
      <x:c r="A435" s="144" t="str">
        <x:v>Com-Signal</x:v>
      </x:c>
      <x:c r="B435" s="144" t="str">
        <x:v>COM-SIG-Tx-0293 / RRR_Obj02A_Vy</x:v>
      </x:c>
      <x:c r="C435" s="144" t="str">
        <x:v>PDU=RRR_Obj02A; startBit=83; length=10; byteOrder=Little; type=UINT16; factor=0.125; offset=-64; min=-64; max=63.875; unit=m/s; receivers=DASy</x:v>
      </x:c>
      <x:c r="D4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5" s="144" t="str">
        <x:v>M2</x:v>
      </x:c>
      <x:c r="F435" s="144" t="str">
        <x:v>Signal 级可编辑配置、数据类型/缩放/端序合同、RTE 接口、边界值与 round-trip 测试。</x:v>
      </x:c>
      <x:c r="G435" s="144" t="str">
        <x:v>raw=0、raw=max、物理 min/max、越界/保留值、端序字节向量、pack→unpack round-trip；1457/1457 通过。</x:v>
      </x:c>
      <x:c r="H435" s="144" t="str">
        <x:v>coem/BYD_UKE/gen_bsw/Com/Com_PBcfg.c:15584; BYD_5R1V_RadarRearcorner_V2.5_AllNodes.dbc:986</x:v>
      </x:c>
    </x:row>
    <x:row r="436" ht="72" customHeight="1">
      <x:c r="A436" s="144" t="str">
        <x:v>Com-Signal</x:v>
      </x:c>
      <x:c r="B436" s="144" t="str">
        <x:v>COM-SIG-Tx-0294 / RRR_Obj02A_WidthVnce</x:v>
      </x:c>
      <x:c r="C436" s="144" t="str">
        <x:v>PDU=RRR_Obj02A; startBit=432; length=12; byteOrder=Little; type=UINT16; factor=0.01; offset=0; min=0; max=30; unit=m^2; receivers=DASy</x:v>
      </x:c>
      <x:c r="D4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6" s="144" t="str">
        <x:v>M2</x:v>
      </x:c>
      <x:c r="F436" s="144" t="str">
        <x:v>Signal 级可编辑配置、数据类型/缩放/端序合同、RTE 接口、边界值与 round-trip 测试。</x:v>
      </x:c>
      <x:c r="G436" s="144" t="str">
        <x:v>raw=0、raw=max、物理 min/max、越界/保留值、端序字节向量、pack→unpack round-trip；1457/1457 通过。</x:v>
      </x:c>
      <x:c r="H436" s="144" t="str">
        <x:v>coem/BYD_UKE/gen_bsw/Com/Com_PBcfg.c:15637; BYD_5R1V_RadarRearcorner_V2.5_AllNodes.dbc:1017</x:v>
      </x:c>
    </x:row>
    <x:row r="437" ht="72" customHeight="1">
      <x:c r="A437" s="144" t="str">
        <x:v>Com-Signal</x:v>
      </x:c>
      <x:c r="B437" s="144" t="str">
        <x:v>COM-SIG-Tx-0295 / RRR_Obj02A_Width</x:v>
      </x:c>
      <x:c r="C437" s="144" t="str">
        <x:v>PDU=RRR_Obj02A; startBit=128; length=7; byteOrder=Little; type=UINT8; factor=0.125; offset=0; min=0; max=15.875; unit=m; receivers=DASy</x:v>
      </x:c>
      <x:c r="D4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7" s="144" t="str">
        <x:v>M2</x:v>
      </x:c>
      <x:c r="F437" s="144" t="str">
        <x:v>Signal 级可编辑配置、数据类型/缩放/端序合同、RTE 接口、边界值与 round-trip 测试。</x:v>
      </x:c>
      <x:c r="G437" s="144" t="str">
        <x:v>raw=0、raw=max、物理 min/max、越界/保留值、端序字节向量、pack→unpack round-trip；1457/1457 通过。</x:v>
      </x:c>
      <x:c r="H437" s="144" t="str">
        <x:v>coem/BYD_UKE/gen_bsw/Com/Com_PBcfg.c:15690; BYD_5R1V_RadarRearcorner_V2.5_AllNodes.dbc:991</x:v>
      </x:c>
    </x:row>
    <x:row r="438" ht="72" customHeight="1">
      <x:c r="A438" s="144" t="str">
        <x:v>Com-Signal</x:v>
      </x:c>
      <x:c r="B438" s="144" t="str">
        <x:v>COM-SIG-Tx-0296 / RRR_Obj02A_Type</x:v>
      </x:c>
      <x:c r="C438" s="144" t="str">
        <x:v>PDU=RRR_Obj02B; startBit=82; length=6; byteOrder=Little; type=UINT8; factor=1（Com原始值）; offset=0（Com原始值）; min=按位宽/类型; max=按位宽/类型; unit=-; receivers=-</x:v>
      </x:c>
      <x:c r="D43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38" s="144" t="str">
        <x:v>M2</x:v>
      </x:c>
      <x:c r="F438" s="144" t="str">
        <x:v>Signal 级可编辑配置、数据类型/缩放/端序合同、RTE 接口、边界值与 round-trip 测试。</x:v>
      </x:c>
      <x:c r="G438" s="144" t="str">
        <x:v>raw=0、raw=max、物理 min/max、越界/保留值、端序字节向量、pack→unpack round-trip；1457/1457 通过。</x:v>
      </x:c>
      <x:c r="H438" s="144" t="str">
        <x:v>coem/BYD_UKE/gen_bsw/Com/Com_PBcfg.c:15743</x:v>
      </x:c>
    </x:row>
    <x:row r="439" ht="72" customHeight="1">
      <x:c r="A439" s="144" t="str">
        <x:v>Com-Signal</x:v>
      </x:c>
      <x:c r="B439" s="144" t="str">
        <x:v>COM-SIG-Tx-0297 / RRR_Obj02B_AliveCtr</x:v>
      </x:c>
      <x:c r="C439" s="144" t="str">
        <x:v>PDU=RRR_Obj02B; startBit=16; length=8; byteOrder=Little; type=UINT8; factor=1; offset=0; min=0; max=255; unit=-; receivers=DASy</x:v>
      </x:c>
      <x:c r="D4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39" s="144" t="str">
        <x:v>M2</x:v>
      </x:c>
      <x:c r="F439" s="144" t="str">
        <x:v>Signal 级可编辑配置、数据类型/缩放/端序合同、RTE 接口、边界值与 round-trip 测试。</x:v>
      </x:c>
      <x:c r="G439" s="144" t="str">
        <x:v>raw=0、raw=max、物理 min/max、越界/保留值、端序字节向量、pack→unpack round-trip；1457/1457 通过。</x:v>
      </x:c>
      <x:c r="H439" s="144" t="str">
        <x:v>coem/BYD_UKE/gen_bsw/Com/Com_PBcfg.c:15796; BYD_5R1V_RadarRearcorner_V2.5_AllNodes.dbc:1029</x:v>
      </x:c>
    </x:row>
    <x:row r="440" ht="72" customHeight="1">
      <x:c r="A440" s="144" t="str">
        <x:v>Com-Signal</x:v>
      </x:c>
      <x:c r="B440" s="144" t="str">
        <x:v>COM-SIG-Tx-0298 / RRR_Obj02B_BehaviorType</x:v>
      </x:c>
      <x:c r="C440" s="144" t="str">
        <x:v>PDU=RRR_Obj02B; startBit=88; length=3; byteOrder=Little; type=UINT8; factor=1; offset=0; min=0; max=7; unit=-; receivers=DASy</x:v>
      </x:c>
      <x:c r="D4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0" s="144" t="str">
        <x:v>M2</x:v>
      </x:c>
      <x:c r="F440" s="144" t="str">
        <x:v>Signal 级可编辑配置、数据类型/缩放/端序合同、RTE 接口、边界值与 round-trip 测试。</x:v>
      </x:c>
      <x:c r="G440" s="144" t="str">
        <x:v>raw=0、raw=max、物理 min/max、越界/保留值、端序字节向量、pack→unpack round-trip；1457/1457 通过。</x:v>
      </x:c>
      <x:c r="H440" s="144" t="str">
        <x:v>coem/BYD_UKE/gen_bsw/Com/Com_PBcfg.c:15849; BYD_5R1V_RadarRearcorner_V2.5_AllNodes.dbc:1037</x:v>
      </x:c>
    </x:row>
    <x:row r="441" ht="72" customHeight="1">
      <x:c r="A441" s="144" t="str">
        <x:v>Com-Signal</x:v>
      </x:c>
      <x:c r="B441" s="144" t="str">
        <x:v>COM-SIG-Tx-0299 / RRR_Obj02B_CRC</x:v>
      </x:c>
      <x:c r="C441" s="144" t="str">
        <x:v>PDU=RRR_Obj02B; startBit=0; length=16; byteOrder=Little; type=UINT16; factor=1; offset=0; min=0; max=65535; unit=-; receivers=DASy</x:v>
      </x:c>
      <x:c r="D4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1" s="144" t="str">
        <x:v>M2</x:v>
      </x:c>
      <x:c r="F441" s="144" t="str">
        <x:v>Signal 级可编辑配置、数据类型/缩放/端序合同、RTE 接口、边界值与 round-trip 测试。</x:v>
      </x:c>
      <x:c r="G441" s="144" t="str">
        <x:v>raw=0、raw=max、物理 min/max、越界/保留值、端序字节向量、pack→unpack round-trip；1457/1457 通过。</x:v>
      </x:c>
      <x:c r="H441" s="144" t="str">
        <x:v>coem/BYD_UKE/gen_bsw/Com/Com_PBcfg.c:15902; BYD_5R1V_RadarRearcorner_V2.5_AllNodes.dbc:1028</x:v>
      </x:c>
    </x:row>
    <x:row r="442" ht="72" customHeight="1">
      <x:c r="A442" s="144" t="str">
        <x:v>Com-Signal</x:v>
      </x:c>
      <x:c r="B442" s="144" t="str">
        <x:v>COM-SIG-Tx-0300 / RRR_Obj02B_MovingProbability</x:v>
      </x:c>
      <x:c r="C442" s="144" t="str">
        <x:v>PDU=RRR_Obj02B; startBit=76; length=6; byteOrder=Little; type=UINT8; factor=2; offset=0; min=0; max=100; unit=%; receivers=DASy</x:v>
      </x:c>
      <x:c r="D4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2" s="144" t="str">
        <x:v>M2</x:v>
      </x:c>
      <x:c r="F442" s="144" t="str">
        <x:v>Signal 级可编辑配置、数据类型/缩放/端序合同、RTE 接口、边界值与 round-trip 测试。</x:v>
      </x:c>
      <x:c r="G442" s="144" t="str">
        <x:v>raw=0、raw=max、物理 min/max、越界/保留值、端序字节向量、pack→unpack round-trip；1457/1457 通过。</x:v>
      </x:c>
      <x:c r="H442" s="144" t="str">
        <x:v>coem/BYD_UKE/gen_bsw/Com/Com_PBcfg.c:15955; BYD_5R1V_RadarRearcorner_V2.5_AllNodes.dbc:1025</x:v>
      </x:c>
    </x:row>
    <x:row r="443" ht="72" customHeight="1">
      <x:c r="A443" s="144" t="str">
        <x:v>Com-Signal</x:v>
      </x:c>
      <x:c r="B443" s="144" t="str">
        <x:v>COM-SIG-Tx-0301 / RRR_Obj02B_Prob4PlusWhlCAR</x:v>
      </x:c>
      <x:c r="C443" s="144" t="str">
        <x:v>PDU=RRR_Obj02B; startBit=46; length=6; byteOrder=Little; type=UINT8; factor=2; offset=0; min=0; max=100; unit=%; receivers=DASy</x:v>
      </x:c>
      <x:c r="D4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3" s="144" t="str">
        <x:v>M2</x:v>
      </x:c>
      <x:c r="F443" s="144" t="str">
        <x:v>Signal 级可编辑配置、数据类型/缩放/端序合同、RTE 接口、边界值与 round-trip 测试。</x:v>
      </x:c>
      <x:c r="G443" s="144" t="str">
        <x:v>raw=0、raw=max、物理 min/max、越界/保留值、端序字节向量、pack→unpack round-trip；1457/1457 通过。</x:v>
      </x:c>
      <x:c r="H443" s="144" t="str">
        <x:v>coem/BYD_UKE/gen_bsw/Com/Com_PBcfg.c:16008; BYD_5R1V_RadarRearcorner_V2.5_AllNodes.dbc:1034</x:v>
      </x:c>
    </x:row>
    <x:row r="444" ht="72" customHeight="1">
      <x:c r="A444" s="144" t="str">
        <x:v>Com-Signal</x:v>
      </x:c>
      <x:c r="B444" s="144" t="str">
        <x:v>COM-SIG-Tx-0302 / RRR_Obj02B_Prob4PlusWhlbHGV</x:v>
      </x:c>
      <x:c r="C444" s="144" t="str">
        <x:v>PDU=RRR_Obj02B; startBit=52; length=6; byteOrder=Little; type=UINT8; factor=2; offset=0; min=0; max=100; unit=%; receivers=DASy</x:v>
      </x:c>
      <x:c r="D4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4" s="144" t="str">
        <x:v>M2</x:v>
      </x:c>
      <x:c r="F444" s="144" t="str">
        <x:v>Signal 级可编辑配置、数据类型/缩放/端序合同、RTE 接口、边界值与 round-trip 测试。</x:v>
      </x:c>
      <x:c r="G444" s="144" t="str">
        <x:v>raw=0、raw=max、物理 min/max、越界/保留值、端序字节向量、pack→unpack round-trip；1457/1457 通过。</x:v>
      </x:c>
      <x:c r="H444" s="144" t="str">
        <x:v>coem/BYD_UKE/gen_bsw/Com/Com_PBcfg.c:16061; BYD_5R1V_RadarRearcorner_V2.5_AllNodes.dbc:1035</x:v>
      </x:c>
    </x:row>
    <x:row r="445" ht="72" customHeight="1">
      <x:c r="A445" s="144" t="str">
        <x:v>Com-Signal</x:v>
      </x:c>
      <x:c r="B445" s="144" t="str">
        <x:v>COM-SIG-Tx-0303 / RRR_Obj02B_ProbGNDReflex</x:v>
      </x:c>
      <x:c r="C445" s="144" t="str">
        <x:v>PDU=RRR_Obj02B; startBit=58; length=6; byteOrder=Little; type=UINT8; factor=2; offset=0; min=0; max=100; unit=%; receivers=DASy</x:v>
      </x:c>
      <x:c r="D4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5" s="144" t="str">
        <x:v>M2</x:v>
      </x:c>
      <x:c r="F445" s="144" t="str">
        <x:v>Signal 级可编辑配置、数据类型/缩放/端序合同、RTE 接口、边界值与 round-trip 测试。</x:v>
      </x:c>
      <x:c r="G445" s="144" t="str">
        <x:v>raw=0、raw=max、物理 min/max、越界/保留值、端序字节向量、pack→unpack round-trip；1457/1457 通过。</x:v>
      </x:c>
      <x:c r="H445" s="144" t="str">
        <x:v>coem/BYD_UKE/gen_bsw/Com/Com_PBcfg.c:16114; BYD_5R1V_RadarRearcorner_V2.5_AllNodes.dbc:1036</x:v>
      </x:c>
    </x:row>
    <x:row r="446" ht="72" customHeight="1">
      <x:c r="A446" s="144" t="str">
        <x:v>Com-Signal</x:v>
      </x:c>
      <x:c r="B446" s="144" t="str">
        <x:v>COM-SIG-Tx-0304 / RRR_Obj02B_ProbMob2Whl</x:v>
      </x:c>
      <x:c r="C446" s="144" t="str">
        <x:v>PDU=RRR_Obj02B; startBit=34; length=6; byteOrder=Little; type=UINT8; factor=2; offset=0; min=0; max=100; unit=%; receivers=DASy</x:v>
      </x:c>
      <x:c r="D4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6" s="144" t="str">
        <x:v>M2</x:v>
      </x:c>
      <x:c r="F446" s="144" t="str">
        <x:v>Signal 级可编辑配置、数据类型/缩放/端序合同、RTE 接口、边界值与 round-trip 测试。</x:v>
      </x:c>
      <x:c r="G446" s="144" t="str">
        <x:v>raw=0、raw=max、物理 min/max、越界/保留值、端序字节向量、pack→unpack round-trip；1457/1457 通过。</x:v>
      </x:c>
      <x:c r="H446" s="144" t="str">
        <x:v>coem/BYD_UKE/gen_bsw/Com/Com_PBcfg.c:16167; BYD_5R1V_RadarRearcorner_V2.5_AllNodes.dbc:1032</x:v>
      </x:c>
    </x:row>
    <x:row r="447" ht="72" customHeight="1">
      <x:c r="A447" s="144" t="str">
        <x:v>Com-Signal</x:v>
      </x:c>
      <x:c r="B447" s="144" t="str">
        <x:v>COM-SIG-Tx-0305 / RRR_Obj02B_ProbMob4PlusWhl</x:v>
      </x:c>
      <x:c r="C447" s="144" t="str">
        <x:v>PDU=RRR_Obj02B; startBit=28; length=6; byteOrder=Little; type=UINT8; factor=2; offset=0; min=0; max=100; unit=%; receivers=DASy</x:v>
      </x:c>
      <x:c r="D4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7" s="144" t="str">
        <x:v>M2</x:v>
      </x:c>
      <x:c r="F447" s="144" t="str">
        <x:v>Signal 级可编辑配置、数据类型/缩放/端序合同、RTE 接口、边界值与 round-trip 测试。</x:v>
      </x:c>
      <x:c r="G447" s="144" t="str">
        <x:v>raw=0、raw=max、物理 min/max、越界/保留值、端序字节向量、pack→unpack round-trip；1457/1457 通过。</x:v>
      </x:c>
      <x:c r="H447" s="144" t="str">
        <x:v>coem/BYD_UKE/gen_bsw/Com/Com_PBcfg.c:16220; BYD_5R1V_RadarRearcorner_V2.5_AllNodes.dbc:1031</x:v>
      </x:c>
    </x:row>
    <x:row r="448" ht="72" customHeight="1">
      <x:c r="A448" s="144" t="str">
        <x:v>Com-Signal</x:v>
      </x:c>
      <x:c r="B448" s="144" t="str">
        <x:v>COM-SIG-Tx-0306 / RRR_Obj02B_ProbMobPed</x:v>
      </x:c>
      <x:c r="C448" s="144" t="str">
        <x:v>PDU=RRR_Obj02B; startBit=40; length=6; byteOrder=Little; type=UINT8; factor=2; offset=0; min=0; max=100; unit=%; receivers=DASy</x:v>
      </x:c>
      <x:c r="D4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8" s="144" t="str">
        <x:v>M2</x:v>
      </x:c>
      <x:c r="F448" s="144" t="str">
        <x:v>Signal 级可编辑配置、数据类型/缩放/端序合同、RTE 接口、边界值与 round-trip 测试。</x:v>
      </x:c>
      <x:c r="G448" s="144" t="str">
        <x:v>raw=0、raw=max、物理 min/max、越界/保留值、端序字节向量、pack→unpack round-trip；1457/1457 通过。</x:v>
      </x:c>
      <x:c r="H448" s="144" t="str">
        <x:v>coem/BYD_UKE/gen_bsw/Com/Com_PBcfg.c:16273; BYD_5R1V_RadarRearcorner_V2.5_AllNodes.dbc:1033</x:v>
      </x:c>
    </x:row>
    <x:row r="449" ht="72" customHeight="1">
      <x:c r="A449" s="144" t="str">
        <x:v>Com-Signal</x:v>
      </x:c>
      <x:c r="B449" s="144" t="str">
        <x:v>COM-SIG-Tx-0307 / RRR_Obj02B_ProbStatBarrier</x:v>
      </x:c>
      <x:c r="C449" s="144" t="str">
        <x:v>PDU=RRR_Obj02B; startBit=64; length=6; byteOrder=Little; type=UINT8; factor=2; offset=0; min=0; max=100; unit=%; receivers=DASy</x:v>
      </x:c>
      <x:c r="D4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49" s="144" t="str">
        <x:v>M2</x:v>
      </x:c>
      <x:c r="F449" s="144" t="str">
        <x:v>Signal 级可编辑配置、数据类型/缩放/端序合同、RTE 接口、边界值与 round-trip 测试。</x:v>
      </x:c>
      <x:c r="G449" s="144" t="str">
        <x:v>raw=0、raw=max、物理 min/max、越界/保留值、端序字节向量、pack→unpack round-trip；1457/1457 通过。</x:v>
      </x:c>
      <x:c r="H449" s="144" t="str">
        <x:v>coem/BYD_UKE/gen_bsw/Com/Com_PBcfg.c:16326; BYD_5R1V_RadarRearcorner_V2.5_AllNodes.dbc:1027</x:v>
      </x:c>
    </x:row>
    <x:row r="450" ht="72" customHeight="1">
      <x:c r="A450" s="144" t="str">
        <x:v>Com-Signal</x:v>
      </x:c>
      <x:c r="B450" s="144" t="str">
        <x:v>COM-SIG-Tx-0308 / RRR_Obj02B_ProbStatObst</x:v>
      </x:c>
      <x:c r="C450" s="144" t="str">
        <x:v>PDU=RRR_Obj02B; startBit=70; length=6; byteOrder=Little; type=UINT8; factor=2; offset=0; min=0; max=100; unit=%; receivers=DASy</x:v>
      </x:c>
      <x:c r="D4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0" s="144" t="str">
        <x:v>M2</x:v>
      </x:c>
      <x:c r="F450" s="144" t="str">
        <x:v>Signal 级可编辑配置、数据类型/缩放/端序合同、RTE 接口、边界值与 round-trip 测试。</x:v>
      </x:c>
      <x:c r="G450" s="144" t="str">
        <x:v>raw=0、raw=max、物理 min/max、越界/保留值、端序字节向量、pack→unpack round-trip；1457/1457 通过。</x:v>
      </x:c>
      <x:c r="H450" s="144" t="str">
        <x:v>coem/BYD_UKE/gen_bsw/Com/Com_PBcfg.c:16379; BYD_5R1V_RadarRearcorner_V2.5_AllNodes.dbc:1026</x:v>
      </x:c>
    </x:row>
    <x:row r="451" ht="72" customHeight="1">
      <x:c r="A451" s="144" t="str">
        <x:v>Com-Signal</x:v>
      </x:c>
      <x:c r="B451" s="144" t="str">
        <x:v>COM-SIG-Tx-0309 / RRR_Obj02B_ProtBlockCtr</x:v>
      </x:c>
      <x:c r="C451" s="144" t="str">
        <x:v>PDU=RRR_Obj02B; startBit=24; length=4; byteOrder=Little; type=UINT8; factor=1; offset=0; min=0; max=15; unit=-; receivers=DASy</x:v>
      </x:c>
      <x:c r="D4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1" s="144" t="str">
        <x:v>M2</x:v>
      </x:c>
      <x:c r="F451" s="144" t="str">
        <x:v>Signal 级可编辑配置、数据类型/缩放/端序合同、RTE 接口、边界值与 round-trip 测试。</x:v>
      </x:c>
      <x:c r="G451" s="144" t="str">
        <x:v>raw=0、raw=max、物理 min/max、越界/保留值、端序字节向量、pack→unpack round-trip；1457/1457 通过。</x:v>
      </x:c>
      <x:c r="H451" s="144" t="str">
        <x:v>coem/BYD_UKE/gen_bsw/Com/Com_PBcfg.c:16432; BYD_5R1V_RadarRearcorner_V2.5_AllNodes.dbc:1030</x:v>
      </x:c>
    </x:row>
    <x:row r="452" ht="72" customHeight="1">
      <x:c r="A452" s="144" t="str">
        <x:v>Com-Signal</x:v>
      </x:c>
      <x:c r="B452" s="144" t="str">
        <x:v>COM-SIG-Tx-0310 / RRR_Obj03A_Age</x:v>
      </x:c>
      <x:c r="C452" s="144" t="str">
        <x:v>PDU=RRR_Obj03A; startBit=228; length=12; byteOrder=Little; type=UINT16; factor=1（Com原始值）; offset=0（Com原始值）; min=按位宽/类型; max=按位宽/类型; unit=-; receivers=-</x:v>
      </x:c>
      <x:c r="D45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52" s="144" t="str">
        <x:v>M2</x:v>
      </x:c>
      <x:c r="F452" s="144" t="str">
        <x:v>Signal 级可编辑配置、数据类型/缩放/端序合同、RTE 接口、边界值与 round-trip 测试。</x:v>
      </x:c>
      <x:c r="G452" s="144" t="str">
        <x:v>raw=0、raw=max、物理 min/max、越界/保留值、端序字节向量、pack→unpack round-trip；1457/1457 通过。</x:v>
      </x:c>
      <x:c r="H452" s="144" t="str">
        <x:v>coem/BYD_UKE/gen_bsw/Com/Com_PBcfg.c:16485</x:v>
      </x:c>
    </x:row>
    <x:row r="453" ht="72" customHeight="1">
      <x:c r="A453" s="144" t="str">
        <x:v>Com-Signal</x:v>
      </x:c>
      <x:c r="B453" s="144" t="str">
        <x:v>COM-SIG-Tx-0311 / RRR_Obj03A_AliveCtr</x:v>
      </x:c>
      <x:c r="C453" s="144" t="str">
        <x:v>PDU=RRR_Obj03A; startBit=16; length=8; byteOrder=Little; type=UINT8; factor=1; offset=0; min=0; max=255; unit=-; receivers=DASy</x:v>
      </x:c>
      <x:c r="D4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3" s="144" t="str">
        <x:v>M2</x:v>
      </x:c>
      <x:c r="F453" s="144" t="str">
        <x:v>Signal 级可编辑配置、数据类型/缩放/端序合同、RTE 接口、边界值与 round-trip 测试。</x:v>
      </x:c>
      <x:c r="G453" s="144" t="str">
        <x:v>raw=0、raw=max、物理 min/max、越界/保留值、端序字节向量、pack→unpack round-trip；1457/1457 通过。</x:v>
      </x:c>
      <x:c r="H453" s="144" t="str">
        <x:v>coem/BYD_UKE/gen_bsw/Com/Com_PBcfg.c:16538; BYD_5R1V_RadarRearcorner_V2.5_AllNodes.dbc:1042</x:v>
      </x:c>
    </x:row>
    <x:row r="454" ht="72" customHeight="1">
      <x:c r="A454" s="144" t="str">
        <x:v>Com-Signal</x:v>
      </x:c>
      <x:c r="B454" s="144" t="str">
        <x:v>COM-SIG-Tx-0312 / RRR_Obj03A_AxAyCoVnce</x:v>
      </x:c>
      <x:c r="C454" s="144" t="str">
        <x:v>PDU=RRR_Obj03A; startBit=396; length=12; byteOrder=Little; type=UINT16; factor=0.01; offset=0; min=0; max=30; unit=m^2/s^4; receivers=DASy</x:v>
      </x:c>
      <x:c r="D4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4" s="144" t="str">
        <x:v>M2</x:v>
      </x:c>
      <x:c r="F454" s="144" t="str">
        <x:v>Signal 级可编辑配置、数据类型/缩放/端序合同、RTE 接口、边界值与 round-trip 测试。</x:v>
      </x:c>
      <x:c r="G454" s="144" t="str">
        <x:v>raw=0、raw=max、物理 min/max、越界/保留值、端序字节向量、pack→unpack round-trip；1457/1457 通过。</x:v>
      </x:c>
      <x:c r="H454" s="144" t="str">
        <x:v>coem/BYD_UKE/gen_bsw/Com/Com_PBcfg.c:16591; BYD_5R1V_RadarRearcorner_V2.5_AllNodes.dbc:1080</x:v>
      </x:c>
    </x:row>
    <x:row r="455" ht="72" customHeight="1">
      <x:c r="A455" s="144" t="str">
        <x:v>Com-Signal</x:v>
      </x:c>
      <x:c r="B455" s="144" t="str">
        <x:v>COM-SIG-Tx-0313 / RRR_Obj03A_AxVnce</x:v>
      </x:c>
      <x:c r="C455" s="144" t="str">
        <x:v>PDU=RRR_Obj03A; startBit=200; length=12; byteOrder=Little; type=UINT16; factor=0.01; offset=0; min=0; max=30; unit=m^2/s^4; receivers=DASy</x:v>
      </x:c>
      <x:c r="D4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5" s="144" t="str">
        <x:v>M2</x:v>
      </x:c>
      <x:c r="F455" s="144" t="str">
        <x:v>Signal 级可编辑配置、数据类型/缩放/端序合同、RTE 接口、边界值与 round-trip 测试。</x:v>
      </x:c>
      <x:c r="G455" s="144" t="str">
        <x:v>raw=0、raw=max、物理 min/max、越界/保留值、端序字节向量、pack→unpack round-trip；1457/1457 通过。</x:v>
      </x:c>
      <x:c r="H455" s="144" t="str">
        <x:v>coem/BYD_UKE/gen_bsw/Com/Com_PBcfg.c:16644; BYD_5R1V_RadarRearcorner_V2.5_AllNodes.dbc:1064</x:v>
      </x:c>
    </x:row>
    <x:row r="456" ht="72" customHeight="1">
      <x:c r="A456" s="144" t="str">
        <x:v>Com-Signal</x:v>
      </x:c>
      <x:c r="B456" s="144" t="str">
        <x:v>COM-SIG-Tx-0314 / RRR_Obj03A_Ax</x:v>
      </x:c>
      <x:c r="C456" s="144" t="str">
        <x:v>PDU=RRR_Obj03A; startBit=93; length=10; byteOrder=Little; type=UINT16; factor=0.03125; offset=-16; min=-16; max=15.96875; unit=m/s^2; receivers=DASy</x:v>
      </x:c>
      <x:c r="D4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6" s="144" t="str">
        <x:v>M2</x:v>
      </x:c>
      <x:c r="F456" s="144" t="str">
        <x:v>Signal 级可编辑配置、数据类型/缩放/端序合同、RTE 接口、边界值与 round-trip 测试。</x:v>
      </x:c>
      <x:c r="G456" s="144" t="str">
        <x:v>raw=0、raw=max、物理 min/max、越界/保留值、端序字节向量、pack→unpack round-trip；1457/1457 通过。</x:v>
      </x:c>
      <x:c r="H456" s="144" t="str">
        <x:v>coem/BYD_UKE/gen_bsw/Com/Com_PBcfg.c:16697; BYD_5R1V_RadarRearcorner_V2.5_AllNodes.dbc:1053</x:v>
      </x:c>
    </x:row>
    <x:row r="457" ht="72" customHeight="1">
      <x:c r="A457" s="144" t="str">
        <x:v>Com-Signal</x:v>
      </x:c>
      <x:c r="B457" s="144" t="str">
        <x:v>COM-SIG-Tx-0315 / RRR_Obj03A_AyVnce</x:v>
      </x:c>
      <x:c r="C457" s="144" t="str">
        <x:v>PDU=RRR_Obj03A; startBit=212; length=12; byteOrder=Little; type=UINT16; factor=0.01; offset=0; min=0; max=30; unit=m^2/s^4; receivers=DASy</x:v>
      </x:c>
      <x:c r="D4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7" s="144" t="str">
        <x:v>M2</x:v>
      </x:c>
      <x:c r="F457" s="144" t="str">
        <x:v>Signal 级可编辑配置、数据类型/缩放/端序合同、RTE 接口、边界值与 round-trip 测试。</x:v>
      </x:c>
      <x:c r="G457" s="144" t="str">
        <x:v>raw=0、raw=max、物理 min/max、越界/保留值、端序字节向量、pack→unpack round-trip；1457/1457 通过。</x:v>
      </x:c>
      <x:c r="H457" s="144" t="str">
        <x:v>coem/BYD_UKE/gen_bsw/Com/Com_PBcfg.c:16750; BYD_5R1V_RadarRearcorner_V2.5_AllNodes.dbc:1065</x:v>
      </x:c>
    </x:row>
    <x:row r="458" ht="72" customHeight="1">
      <x:c r="A458" s="144" t="str">
        <x:v>Com-Signal</x:v>
      </x:c>
      <x:c r="B458" s="144" t="str">
        <x:v>COM-SIG-Tx-0316 / RRR_Obj03A_Ay</x:v>
      </x:c>
      <x:c r="C458" s="144" t="str">
        <x:v>PDU=RRR_Obj03A; startBit=103; length=9; byteOrder=Little; type=UINT16; factor=0.0625; offset=-16; min=-16; max=15.9375; unit=m/s^2; receivers=DASy</x:v>
      </x:c>
      <x:c r="D4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8" s="144" t="str">
        <x:v>M2</x:v>
      </x:c>
      <x:c r="F458" s="144" t="str">
        <x:v>Signal 级可编辑配置、数据类型/缩放/端序合同、RTE 接口、边界值与 round-trip 测试。</x:v>
      </x:c>
      <x:c r="G458" s="144" t="str">
        <x:v>raw=0、raw=max、物理 min/max、越界/保留值、端序字节向量、pack→unpack round-trip；1457/1457 通过。</x:v>
      </x:c>
      <x:c r="H458" s="144" t="str">
        <x:v>coem/BYD_UKE/gen_bsw/Com/Com_PBcfg.c:16803; BYD_5R1V_RadarRearcorner_V2.5_AllNodes.dbc:1054</x:v>
      </x:c>
    </x:row>
    <x:row r="459" ht="72" customHeight="1">
      <x:c r="A459" s="144" t="str">
        <x:v>Com-Signal</x:v>
      </x:c>
      <x:c r="B459" s="144" t="str">
        <x:v>COM-SIG-Tx-0317 / RRR_Obj03A_CRC</x:v>
      </x:c>
      <x:c r="C459" s="144" t="str">
        <x:v>PDU=RRR_Obj03A; startBit=0; length=16; byteOrder=Little; type=UINT16; factor=1; offset=0; min=0; max=65535; unit=-; receivers=DASy</x:v>
      </x:c>
      <x:c r="D4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59" s="144" t="str">
        <x:v>M2</x:v>
      </x:c>
      <x:c r="F459" s="144" t="str">
        <x:v>Signal 级可编辑配置、数据类型/缩放/端序合同、RTE 接口、边界值与 round-trip 测试。</x:v>
      </x:c>
      <x:c r="G459" s="144" t="str">
        <x:v>raw=0、raw=max、物理 min/max、越界/保留值、端序字节向量、pack→unpack round-trip；1457/1457 通过。</x:v>
      </x:c>
      <x:c r="H459" s="144" t="str">
        <x:v>coem/BYD_UKE/gen_bsw/Com/Com_PBcfg.c:16856; BYD_5R1V_RadarRearcorner_V2.5_AllNodes.dbc:1041</x:v>
      </x:c>
    </x:row>
    <x:row r="460" ht="72" customHeight="1">
      <x:c r="A460" s="144" t="str">
        <x:v>Com-Signal</x:v>
      </x:c>
      <x:c r="B460" s="144" t="str">
        <x:v>COM-SIG-Tx-0318 / RRR_Obj03A_DxAxCoVnce</x:v>
      </x:c>
      <x:c r="C460" s="144" t="str">
        <x:v>PDU=RRR_Obj03A; startBit=300; length=12; byteOrder=Little; type=UINT16; factor=0.01; offset=0; min=0; max=30; unit=m^2/s^2; receivers=DASy</x:v>
      </x:c>
      <x:c r="D4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0" s="144" t="str">
        <x:v>M2</x:v>
      </x:c>
      <x:c r="F460" s="144" t="str">
        <x:v>Signal 级可编辑配置、数据类型/缩放/端序合同、RTE 接口、边界值与 round-trip 测试。</x:v>
      </x:c>
      <x:c r="G460" s="144" t="str">
        <x:v>raw=0、raw=max、物理 min/max、越界/保留值、端序字节向量、pack→unpack round-trip；1457/1457 通过。</x:v>
      </x:c>
      <x:c r="H460" s="144" t="str">
        <x:v>coem/BYD_UKE/gen_bsw/Com/Com_PBcfg.c:16909; BYD_5R1V_RadarRearcorner_V2.5_AllNodes.dbc:1072</x:v>
      </x:c>
    </x:row>
    <x:row r="461" ht="72" customHeight="1">
      <x:c r="A461" s="144" t="str">
        <x:v>Com-Signal</x:v>
      </x:c>
      <x:c r="B461" s="144" t="str">
        <x:v>COM-SIG-Tx-0319 / RRR_Obj03A_DxAyCoVnce</x:v>
      </x:c>
      <x:c r="C461" s="144" t="str">
        <x:v>PDU=RRR_Obj03A; startBit=348; length=12; byteOrder=Little; type=UINT16; factor=0.01; offset=0; min=0; max=30; unit=m^2/s^2; receivers=DASy</x:v>
      </x:c>
      <x:c r="D4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1" s="144" t="str">
        <x:v>M2</x:v>
      </x:c>
      <x:c r="F461" s="144" t="str">
        <x:v>Signal 级可编辑配置、数据类型/缩放/端序合同、RTE 接口、边界值与 round-trip 测试。</x:v>
      </x:c>
      <x:c r="G461" s="144" t="str">
        <x:v>raw=0、raw=max、物理 min/max、越界/保留值、端序字节向量、pack→unpack round-trip；1457/1457 通过。</x:v>
      </x:c>
      <x:c r="H461" s="144" t="str">
        <x:v>coem/BYD_UKE/gen_bsw/Com/Com_PBcfg.c:16962; BYD_5R1V_RadarRearcorner_V2.5_AllNodes.dbc:1076</x:v>
      </x:c>
    </x:row>
    <x:row r="462" ht="72" customHeight="1">
      <x:c r="A462" s="144" t="str">
        <x:v>Com-Signal</x:v>
      </x:c>
      <x:c r="B462" s="144" t="str">
        <x:v>COM-SIG-Tx-0320 / RRR_Obj03A_DxVnce</x:v>
      </x:c>
      <x:c r="C462" s="144" t="str">
        <x:v>PDU=RRR_Obj03A; startBit=142; length=12; byteOrder=Little; type=UINT16; factor=0.01; offset=0; min=0; max=30; unit=m^2; receivers=DASy</x:v>
      </x:c>
      <x:c r="D46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2" s="144" t="str">
        <x:v>M2</x:v>
      </x:c>
      <x:c r="F462" s="144" t="str">
        <x:v>Signal 级可编辑配置、数据类型/缩放/端序合同、RTE 接口、边界值与 round-trip 测试。</x:v>
      </x:c>
      <x:c r="G462" s="144" t="str">
        <x:v>raw=0、raw=max、物理 min/max、越界/保留值、端序字节向量、pack→unpack round-trip；1457/1457 通过。</x:v>
      </x:c>
      <x:c r="H462" s="144" t="str">
        <x:v>coem/BYD_UKE/gen_bsw/Com/Com_PBcfg.c:17015; BYD_5R1V_RadarRearcorner_V2.5_AllNodes.dbc:1059</x:v>
      </x:c>
    </x:row>
    <x:row r="463" ht="72" customHeight="1">
      <x:c r="A463" s="144" t="str">
        <x:v>Com-Signal</x:v>
      </x:c>
      <x:c r="B463" s="144" t="str">
        <x:v>COM-SIG-Tx-0321 / RRR_Obj03A_Dx</x:v>
      </x:c>
      <x:c r="C463" s="144" t="str">
        <x:v>PDU=RRR_Obj03A; startBit=40; length=13; byteOrder=Little; type=UINT16; factor=0.0625; offset=-256; min=-256; max=255.9375; unit=m; receivers=DASy</x:v>
      </x:c>
      <x:c r="D4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3" s="144" t="str">
        <x:v>M2</x:v>
      </x:c>
      <x:c r="F463" s="144" t="str">
        <x:v>Signal 级可编辑配置、数据类型/缩放/端序合同、RTE 接口、边界值与 round-trip 测试。</x:v>
      </x:c>
      <x:c r="G463" s="144" t="str">
        <x:v>raw=0、raw=max、物理 min/max、越界/保留值、端序字节向量、pack→unpack round-trip；1457/1457 通过。</x:v>
      </x:c>
      <x:c r="H463" s="144" t="str">
        <x:v>coem/BYD_UKE/gen_bsw/Com/Com_PBcfg.c:17068; BYD_5R1V_RadarRearcorner_V2.5_AllNodes.dbc:1048</x:v>
      </x:c>
    </x:row>
    <x:row r="464" ht="72" customHeight="1">
      <x:c r="A464" s="144" t="str">
        <x:v>Com-Signal</x:v>
      </x:c>
      <x:c r="B464" s="144" t="str">
        <x:v>COM-SIG-Tx-0322 / RRR_Obj03A_DyAxCoVnce</x:v>
      </x:c>
      <x:c r="C464" s="144" t="str">
        <x:v>PDU=RRR_Obj03A; startBit=312; length=12; byteOrder=Little; type=UINT16; factor=0.01; offset=0; min=0; max=30; unit=m^2/s^2; receivers=DASy</x:v>
      </x:c>
      <x:c r="D4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4" s="144" t="str">
        <x:v>M2</x:v>
      </x:c>
      <x:c r="F464" s="144" t="str">
        <x:v>Signal 级可编辑配置、数据类型/缩放/端序合同、RTE 接口、边界值与 round-trip 测试。</x:v>
      </x:c>
      <x:c r="G464" s="144" t="str">
        <x:v>raw=0、raw=max、物理 min/max、越界/保留值、端序字节向量、pack→unpack round-trip；1457/1457 通过。</x:v>
      </x:c>
      <x:c r="H464" s="144" t="str">
        <x:v>coem/BYD_UKE/gen_bsw/Com/Com_PBcfg.c:17121; BYD_5R1V_RadarRearcorner_V2.5_AllNodes.dbc:1073</x:v>
      </x:c>
    </x:row>
    <x:row r="465" ht="72" customHeight="1">
      <x:c r="A465" s="144" t="str">
        <x:v>Com-Signal</x:v>
      </x:c>
      <x:c r="B465" s="144" t="str">
        <x:v>COM-SIG-Tx-0323 / RRR_Obj03A_DyAyCoVnce</x:v>
      </x:c>
      <x:c r="C465" s="144" t="str">
        <x:v>PDU=RRR_Obj03A; startBit=360; length=12; byteOrder=Little; type=UINT16; factor=0.01; offset=0; min=0; max=30; unit=m^2/s^2; receivers=DASy</x:v>
      </x:c>
      <x:c r="D4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5" s="144" t="str">
        <x:v>M2</x:v>
      </x:c>
      <x:c r="F465" s="144" t="str">
        <x:v>Signal 级可编辑配置、数据类型/缩放/端序合同、RTE 接口、边界值与 round-trip 测试。</x:v>
      </x:c>
      <x:c r="G465" s="144" t="str">
        <x:v>raw=0、raw=max、物理 min/max、越界/保留值、端序字节向量、pack→unpack round-trip；1457/1457 通过。</x:v>
      </x:c>
      <x:c r="H465" s="144" t="str">
        <x:v>coem/BYD_UKE/gen_bsw/Com/Com_PBcfg.c:17174; BYD_5R1V_RadarRearcorner_V2.5_AllNodes.dbc:1077</x:v>
      </x:c>
    </x:row>
    <x:row r="466" ht="72" customHeight="1">
      <x:c r="A466" s="144" t="str">
        <x:v>Com-Signal</x:v>
      </x:c>
      <x:c r="B466" s="144" t="str">
        <x:v>COM-SIG-Tx-0324 / RRR_Obj03A_DyVnce</x:v>
      </x:c>
      <x:c r="C466" s="144" t="str">
        <x:v>PDU=RRR_Obj03A; startBit=154; length=12; byteOrder=Little; type=UINT16; factor=0.01; offset=0; min=0; max=30; unit=m^2; receivers=DASy</x:v>
      </x:c>
      <x:c r="D4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6" s="144" t="str">
        <x:v>M2</x:v>
      </x:c>
      <x:c r="F466" s="144" t="str">
        <x:v>Signal 级可编辑配置、数据类型/缩放/端序合同、RTE 接口、边界值与 round-trip 测试。</x:v>
      </x:c>
      <x:c r="G466" s="144" t="str">
        <x:v>raw=0、raw=max、物理 min/max、越界/保留值、端序字节向量、pack→unpack round-trip；1457/1457 通过。</x:v>
      </x:c>
      <x:c r="H466" s="144" t="str">
        <x:v>coem/BYD_UKE/gen_bsw/Com/Com_PBcfg.c:17227; BYD_5R1V_RadarRearcorner_V2.5_AllNodes.dbc:1060</x:v>
      </x:c>
    </x:row>
    <x:row r="467" ht="72" customHeight="1">
      <x:c r="A467" s="144" t="str">
        <x:v>Com-Signal</x:v>
      </x:c>
      <x:c r="B467" s="144" t="str">
        <x:v>COM-SIG-Tx-0325 / RRR_Obj03A_DyVyCoVnce</x:v>
      </x:c>
      <x:c r="C467" s="144" t="str">
        <x:v>PDU=RRR_Obj03A; startBit=276; length=12; byteOrder=Little; type=UINT16; factor=0.01; offset=0; min=0; max=30; unit=m^2/s; receivers=DASy</x:v>
      </x:c>
      <x:c r="D4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7" s="144" t="str">
        <x:v>M2</x:v>
      </x:c>
      <x:c r="F467" s="144" t="str">
        <x:v>Signal 级可编辑配置、数据类型/缩放/端序合同、RTE 接口、边界值与 round-trip 测试。</x:v>
      </x:c>
      <x:c r="G467" s="144" t="str">
        <x:v>raw=0、raw=max、物理 min/max、越界/保留值、端序字节向量、pack→unpack round-trip；1457/1457 通过。</x:v>
      </x:c>
      <x:c r="H467" s="144" t="str">
        <x:v>coem/BYD_UKE/gen_bsw/Com/Com_PBcfg.c:17280; BYD_5R1V_RadarRearcorner_V2.5_AllNodes.dbc:1070</x:v>
      </x:c>
    </x:row>
    <x:row r="468" ht="72" customHeight="1">
      <x:c r="A468" s="144" t="str">
        <x:v>Com-Signal</x:v>
      </x:c>
      <x:c r="B468" s="144" t="str">
        <x:v>COM-SIG-Tx-0326 / RRR_Obj03A_Dy</x:v>
      </x:c>
      <x:c r="C468" s="144" t="str">
        <x:v>PDU=RRR_Obj03A; startBit=59; length=11; byteOrder=Little; type=UINT16; factor=0.125; offset=-128; min=-128; max=127.875; unit=m; receivers=DASy</x:v>
      </x:c>
      <x:c r="D4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8" s="144" t="str">
        <x:v>M2</x:v>
      </x:c>
      <x:c r="F468" s="144" t="str">
        <x:v>Signal 级可编辑配置、数据类型/缩放/端序合同、RTE 接口、边界值与 round-trip 测试。</x:v>
      </x:c>
      <x:c r="G468" s="144" t="str">
        <x:v>raw=0、raw=max、物理 min/max、越界/保留值、端序字节向量、pack→unpack round-trip；1457/1457 通过。</x:v>
      </x:c>
      <x:c r="H468" s="144" t="str">
        <x:v>coem/BYD_UKE/gen_bsw/Com/Com_PBcfg.c:17333; BYD_5R1V_RadarRearcorner_V2.5_AllNodes.dbc:1049</x:v>
      </x:c>
    </x:row>
    <x:row r="469" ht="72" customHeight="1">
      <x:c r="A469" s="144" t="str">
        <x:v>Com-Signal</x:v>
      </x:c>
      <x:c r="B469" s="144" t="str">
        <x:v>COM-SIG-Tx-0327 / RRR_Obj03A_DzVnce</x:v>
      </x:c>
      <x:c r="C469" s="144" t="str">
        <x:v>PDU=RRR_Obj03A; startBit=166; length=10; byteOrder=Little; type=UINT16; factor=0.01; offset=0; min=0; max=10; unit=m^2; receivers=DASy</x:v>
      </x:c>
      <x:c r="D4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69" s="144" t="str">
        <x:v>M2</x:v>
      </x:c>
      <x:c r="F469" s="144" t="str">
        <x:v>Signal 级可编辑配置、数据类型/缩放/端序合同、RTE 接口、边界值与 round-trip 测试。</x:v>
      </x:c>
      <x:c r="G469" s="144" t="str">
        <x:v>raw=0、raw=max、物理 min/max、越界/保留值、端序字节向量、pack→unpack round-trip；1457/1457 通过。</x:v>
      </x:c>
      <x:c r="H469" s="144" t="str">
        <x:v>coem/BYD_UKE/gen_bsw/Com/Com_PBcfg.c:17386; BYD_5R1V_RadarRearcorner_V2.5_AllNodes.dbc:1061</x:v>
      </x:c>
    </x:row>
    <x:row r="470" ht="72" customHeight="1">
      <x:c r="A470" s="144" t="str">
        <x:v>Com-Signal</x:v>
      </x:c>
      <x:c r="B470" s="144" t="str">
        <x:v>COM-SIG-Tx-0328 / RRR_Obj03A_Dz</x:v>
      </x:c>
      <x:c r="C470" s="144" t="str">
        <x:v>PDU=RRR_Obj03A; startBit=53; length=6; byteOrder=Little; type=UINT8; factor=0.25; offset=-5; min=-5; max=10.75; unit=m; receivers=DASy</x:v>
      </x:c>
      <x:c r="D4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0" s="144" t="str">
        <x:v>M2</x:v>
      </x:c>
      <x:c r="F470" s="144" t="str">
        <x:v>Signal 级可编辑配置、数据类型/缩放/端序合同、RTE 接口、边界值与 round-trip 测试。</x:v>
      </x:c>
      <x:c r="G470" s="144" t="str">
        <x:v>raw=0、raw=max、物理 min/max、越界/保留值、端序字节向量、pack→unpack round-trip；1457/1457 通过。</x:v>
      </x:c>
      <x:c r="H470" s="144" t="str">
        <x:v>coem/BYD_UKE/gen_bsw/Com/Com_PBcfg.c:17439; BYD_5R1V_RadarRearcorner_V2.5_AllNodes.dbc:1050</x:v>
      </x:c>
    </x:row>
    <x:row r="471" ht="72" customHeight="1">
      <x:c r="A471" s="144" t="str">
        <x:v>Com-Signal</x:v>
      </x:c>
      <x:c r="B471" s="144" t="str">
        <x:v>COM-SIG-Tx-0329 / RRR_Obj03A_HeadingYawAngleVnce</x:v>
      </x:c>
      <x:c r="C471" s="144" t="str">
        <x:v>PDU=RRR_Obj03A; startBit=408; length=12; byteOrder=Little; type=UINT16; factor=0.0003; offset=0; min=0; max=1; unit=rad^2; receivers=DASy</x:v>
      </x:c>
      <x:c r="D4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1" s="144" t="str">
        <x:v>M2</x:v>
      </x:c>
      <x:c r="F471" s="144" t="str">
        <x:v>Signal 级可编辑配置、数据类型/缩放/端序合同、RTE 接口、边界值与 round-trip 测试。</x:v>
      </x:c>
      <x:c r="G471" s="144" t="str">
        <x:v>raw=0、raw=max、物理 min/max、越界/保留值、端序字节向量、pack→unpack round-trip；1457/1457 通过。</x:v>
      </x:c>
      <x:c r="H471" s="144" t="str">
        <x:v>coem/BYD_UKE/gen_bsw/Com/Com_PBcfg.c:17492; BYD_5R1V_RadarRearcorner_V2.5_AllNodes.dbc:1081</x:v>
      </x:c>
    </x:row>
    <x:row r="472" ht="72" customHeight="1">
      <x:c r="A472" s="144" t="str">
        <x:v>Com-Signal</x:v>
      </x:c>
      <x:c r="B472" s="144" t="str">
        <x:v>COM-SIG-Tx-0330 / RRR_Obj03A_HeadingYawAngle</x:v>
      </x:c>
      <x:c r="C472" s="144" t="str">
        <x:v>PDU=RRR_Obj03A; startBit=112; length=9; byteOrder=Little; type=UINT16; factor=0.0175; offset=-4.48; min=-3.15; max=3.15; unit=rad; receivers=DASy</x:v>
      </x:c>
      <x:c r="D4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2" s="144" t="str">
        <x:v>M2</x:v>
      </x:c>
      <x:c r="F472" s="144" t="str">
        <x:v>Signal 级可编辑配置、数据类型/缩放/端序合同、RTE 接口、边界值与 round-trip 测试。</x:v>
      </x:c>
      <x:c r="G472" s="144" t="str">
        <x:v>raw=0、raw=max、物理 min/max、越界/保留值、端序字节向量、pack→unpack round-trip；1457/1457 通过。</x:v>
      </x:c>
      <x:c r="H472" s="144" t="str">
        <x:v>coem/BYD_UKE/gen_bsw/Com/Com_PBcfg.c:17545; BYD_5R1V_RadarRearcorner_V2.5_AllNodes.dbc:1055</x:v>
      </x:c>
    </x:row>
    <x:row r="473" ht="72" customHeight="1">
      <x:c r="A473" s="144" t="str">
        <x:v>Com-Signal</x:v>
      </x:c>
      <x:c r="B473" s="144" t="str">
        <x:v>COM-SIG-Tx-0331 / RRR_Obj03A_HeadingYawrate</x:v>
      </x:c>
      <x:c r="C473" s="144" t="str">
        <x:v>PDU=RRR_Obj03A; startBit=240; length=12; byteOrder=Little; type=UINT16; factor=1（Com原始值）; offset=0（Com原始值）; min=按位宽/类型; max=按位宽/类型; unit=-; receivers=-</x:v>
      </x:c>
      <x:c r="D473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73" s="144" t="str">
        <x:v>M2</x:v>
      </x:c>
      <x:c r="F473" s="144" t="str">
        <x:v>Signal 级可编辑配置、数据类型/缩放/端序合同、RTE 接口、边界值与 round-trip 测试。</x:v>
      </x:c>
      <x:c r="G473" s="144" t="str">
        <x:v>raw=0、raw=max、物理 min/max、越界/保留值、端序字节向量、pack→unpack round-trip；1457/1457 通过。</x:v>
      </x:c>
      <x:c r="H473" s="144" t="str">
        <x:v>coem/BYD_UKE/gen_bsw/Com/Com_PBcfg.c:17598</x:v>
      </x:c>
    </x:row>
    <x:row r="474" ht="72" customHeight="1">
      <x:c r="A474" s="144" t="str">
        <x:v>Com-Signal</x:v>
      </x:c>
      <x:c r="B474" s="144" t="str">
        <x:v>COM-SIG-Tx-0332 / RRR_Obj03A_HeightVnce</x:v>
      </x:c>
      <x:c r="C474" s="144" t="str">
        <x:v>PDU=RRR_Obj03A; startBit=444; length=12; byteOrder=Little; type=UINT16; factor=0.01; offset=0; min=0; max=30; unit=m^2; receivers=DASy</x:v>
      </x:c>
      <x:c r="D4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4" s="144" t="str">
        <x:v>M2</x:v>
      </x:c>
      <x:c r="F474" s="144" t="str">
        <x:v>Signal 级可编辑配置、数据类型/缩放/端序合同、RTE 接口、边界值与 round-trip 测试。</x:v>
      </x:c>
      <x:c r="G474" s="144" t="str">
        <x:v>raw=0、raw=max、物理 min/max、越界/保留值、端序字节向量、pack→unpack round-trip；1457/1457 通过。</x:v>
      </x:c>
      <x:c r="H474" s="144" t="str">
        <x:v>coem/BYD_UKE/gen_bsw/Com/Com_PBcfg.c:17651; BYD_5R1V_RadarRearcorner_V2.5_AllNodes.dbc:1040</x:v>
      </x:c>
    </x:row>
    <x:row r="475" ht="72" customHeight="1">
      <x:c r="A475" s="144" t="str">
        <x:v>Com-Signal</x:v>
      </x:c>
      <x:c r="B475" s="144" t="str">
        <x:v>COM-SIG-Tx-0333 / RRR_Obj03A_Height</x:v>
      </x:c>
      <x:c r="C475" s="144" t="str">
        <x:v>PDU=RRR_Obj03A; startBit=135; length=7; byteOrder=Little; type=UINT8; factor=0.125; offset=0; min=0; max=15.875; unit=m; receivers=DASy</x:v>
      </x:c>
      <x:c r="D4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5" s="144" t="str">
        <x:v>M2</x:v>
      </x:c>
      <x:c r="F475" s="144" t="str">
        <x:v>Signal 级可编辑配置、数据类型/缩放/端序合同、RTE 接口、边界值与 round-trip 测试。</x:v>
      </x:c>
      <x:c r="G475" s="144" t="str">
        <x:v>raw=0、raw=max、物理 min/max、越界/保留值、端序字节向量、pack→unpack round-trip；1457/1457 通过。</x:v>
      </x:c>
      <x:c r="H475" s="144" t="str">
        <x:v>coem/BYD_UKE/gen_bsw/Com/Com_PBcfg.c:17704; BYD_5R1V_RadarRearcorner_V2.5_AllNodes.dbc:1058</x:v>
      </x:c>
    </x:row>
    <x:row r="476" ht="72" customHeight="1">
      <x:c r="A476" s="144" t="str">
        <x:v>Com-Signal</x:v>
      </x:c>
      <x:c r="B476" s="144" t="str">
        <x:v>COM-SIG-Tx-0334 / RRR_Obj03A_ID</x:v>
      </x:c>
      <x:c r="C476" s="144" t="str">
        <x:v>PDU=RRR_Obj03A; startBit=32; length=7; byteOrder=Little; type=UINT8; factor=1; offset=0; min=0; max=127; unit=-; receivers=DASy</x:v>
      </x:c>
      <x:c r="D4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6" s="144" t="str">
        <x:v>M2</x:v>
      </x:c>
      <x:c r="F476" s="144" t="str">
        <x:v>Signal 级可编辑配置、数据类型/缩放/端序合同、RTE 接口、边界值与 round-trip 测试。</x:v>
      </x:c>
      <x:c r="G476" s="144" t="str">
        <x:v>raw=0、raw=max、物理 min/max、越界/保留值、端序字节向量、pack→unpack round-trip；1457/1457 通过。</x:v>
      </x:c>
      <x:c r="H476" s="144" t="str">
        <x:v>coem/BYD_UKE/gen_bsw/Com/Com_PBcfg.c:17757; BYD_5R1V_RadarRearcorner_V2.5_AllNodes.dbc:1044</x:v>
      </x:c>
    </x:row>
    <x:row r="477" ht="72" customHeight="1">
      <x:c r="A477" s="144" t="str">
        <x:v>Com-Signal</x:v>
      </x:c>
      <x:c r="B477" s="144" t="str">
        <x:v>COM-SIG-Tx-0335 / RRR_Obj03A_LengthVnce</x:v>
      </x:c>
      <x:c r="C477" s="144" t="str">
        <x:v>PDU=RRR_Obj03A; startBit=420; length=12; byteOrder=Little; type=UINT16; factor=0.01; offset=0; min=0; max=30; unit=m^2; receivers=DASy</x:v>
      </x:c>
      <x:c r="D4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7" s="144" t="str">
        <x:v>M2</x:v>
      </x:c>
      <x:c r="F477" s="144" t="str">
        <x:v>Signal 级可编辑配置、数据类型/缩放/端序合同、RTE 接口、边界值与 round-trip 测试。</x:v>
      </x:c>
      <x:c r="G477" s="144" t="str">
        <x:v>raw=0、raw=max、物理 min/max、越界/保留值、端序字节向量、pack→unpack round-trip；1457/1457 通过。</x:v>
      </x:c>
      <x:c r="H477" s="144" t="str">
        <x:v>coem/BYD_UKE/gen_bsw/Com/Com_PBcfg.c:17810; BYD_5R1V_RadarRearcorner_V2.5_AllNodes.dbc:1082</x:v>
      </x:c>
    </x:row>
    <x:row r="478" ht="72" customHeight="1">
      <x:c r="A478" s="144" t="str">
        <x:v>Com-Signal</x:v>
      </x:c>
      <x:c r="B478" s="144" t="str">
        <x:v>COM-SIG-Tx-0336 / RRR_Obj03A_Length</x:v>
      </x:c>
      <x:c r="C478" s="144" t="str">
        <x:v>PDU=RRR_Obj03A; startBit=121; length=7; byteOrder=Little; type=UINT8; factor=0.125; offset=0; min=0; max=15.875; unit=m; receivers=DASy</x:v>
      </x:c>
      <x:c r="D4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8" s="144" t="str">
        <x:v>M2</x:v>
      </x:c>
      <x:c r="F478" s="144" t="str">
        <x:v>Signal 级可编辑配置、数据类型/缩放/端序合同、RTE 接口、边界值与 round-trip 测试。</x:v>
      </x:c>
      <x:c r="G478" s="144" t="str">
        <x:v>raw=0、raw=max、物理 min/max、越界/保留值、端序字节向量、pack→unpack round-trip；1457/1457 通过。</x:v>
      </x:c>
      <x:c r="H478" s="144" t="str">
        <x:v>coem/BYD_UKE/gen_bsw/Com/Com_PBcfg.c:17863; BYD_5R1V_RadarRearcorner_V2.5_AllNodes.dbc:1056</x:v>
      </x:c>
    </x:row>
    <x:row r="479" ht="72" customHeight="1">
      <x:c r="A479" s="144" t="str">
        <x:v>Com-Signal</x:v>
      </x:c>
      <x:c r="B479" s="144" t="str">
        <x:v>COM-SIG-Tx-0337 / RRR_Obj03A_Measured</x:v>
      </x:c>
      <x:c r="C479" s="144" t="str">
        <x:v>PDU=RRR_Obj03A; startBit=39; length=1; byteOrder=Little; type=UINT8; factor=1; offset=0; min=0; max=1; unit=-; receivers=DASy</x:v>
      </x:c>
      <x:c r="D4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79" s="144" t="str">
        <x:v>M2</x:v>
      </x:c>
      <x:c r="F479" s="144" t="str">
        <x:v>Signal 级可编辑配置、数据类型/缩放/端序合同、RTE 接口、边界值与 round-trip 测试。</x:v>
      </x:c>
      <x:c r="G479" s="144" t="str">
        <x:v>raw=0、raw=max、物理 min/max、越界/保留值、端序字节向量、pack→unpack round-trip；1457/1457 通过。</x:v>
      </x:c>
      <x:c r="H479" s="144" t="str">
        <x:v>coem/BYD_UKE/gen_bsw/Com/Com_PBcfg.c:17916; BYD_5R1V_RadarRearcorner_V2.5_AllNodes.dbc:1047</x:v>
      </x:c>
    </x:row>
    <x:row r="480" ht="72" customHeight="1">
      <x:c r="A480" s="144" t="str">
        <x:v>Com-Signal</x:v>
      </x:c>
      <x:c r="B480" s="144" t="str">
        <x:v>COM-SIG-Tx-0338 / RRR_Obj03A_ObjDetected</x:v>
      </x:c>
      <x:c r="C480" s="144" t="str">
        <x:v>PDU=RRR_Obj03A; startBit=264; length=12; byteOrder=Little; type=UINT16; factor=1（Com原始值）; offset=0（Com原始值）; min=按位宽/类型; max=按位宽/类型; unit=-; receivers=-</x:v>
      </x:c>
      <x:c r="D48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80" s="144" t="str">
        <x:v>M2</x:v>
      </x:c>
      <x:c r="F480" s="144" t="str">
        <x:v>Signal 级可编辑配置、数据类型/缩放/端序合同、RTE 接口、边界值与 round-trip 测试。</x:v>
      </x:c>
      <x:c r="G480" s="144" t="str">
        <x:v>raw=0、raw=max、物理 min/max、越界/保留值、端序字节向量、pack→unpack round-trip；1457/1457 通过。</x:v>
      </x:c>
      <x:c r="H480" s="144" t="str">
        <x:v>coem/BYD_UKE/gen_bsw/Com/Com_PBcfg.c:17969</x:v>
      </x:c>
    </x:row>
    <x:row r="481" ht="72" customHeight="1">
      <x:c r="A481" s="144" t="str">
        <x:v>Com-Signal</x:v>
      </x:c>
      <x:c r="B481" s="144" t="str">
        <x:v>COM-SIG-Tx-0339 / RRR_Obj03A_ProbExist</x:v>
      </x:c>
      <x:c r="C481" s="144" t="str">
        <x:v>PDU=RRR_Obj03A; startBit=456; length=6; byteOrder=Little; type=UINT8; factor=2; offset=0; min=0; max=100; unit=%; receivers=DASy</x:v>
      </x:c>
      <x:c r="D4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1" s="144" t="str">
        <x:v>M2</x:v>
      </x:c>
      <x:c r="F481" s="144" t="str">
        <x:v>Signal 级可编辑配置、数据类型/缩放/端序合同、RTE 接口、边界值与 round-trip 测试。</x:v>
      </x:c>
      <x:c r="G481" s="144" t="str">
        <x:v>raw=0、raw=max、物理 min/max、越界/保留值、端序字节向量、pack→unpack round-trip；1457/1457 通过。</x:v>
      </x:c>
      <x:c r="H481" s="144" t="str">
        <x:v>coem/BYD_UKE/gen_bsw/Com/Com_PBcfg.c:18022; BYD_5R1V_RadarRearcorner_V2.5_AllNodes.dbc:1084</x:v>
      </x:c>
    </x:row>
    <x:row r="482" ht="72" customHeight="1">
      <x:c r="A482" s="144" t="str">
        <x:v>Com-Signal</x:v>
      </x:c>
      <x:c r="B482" s="144" t="str">
        <x:v>COM-SIG-Tx-0340 / RRR_Obj03A_ProbMobileObst</x:v>
      </x:c>
      <x:c r="C482" s="144" t="str">
        <x:v>PDU=RRR_Obj03A; startBit=474; length=6; byteOrder=Little; type=UINT8; factor=2; offset=0; min=0; max=100; unit=%; receivers=DASy</x:v>
      </x:c>
      <x:c r="D4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2" s="144" t="str">
        <x:v>M2</x:v>
      </x:c>
      <x:c r="F482" s="144" t="str">
        <x:v>Signal 级可编辑配置、数据类型/缩放/端序合同、RTE 接口、边界值与 round-trip 测试。</x:v>
      </x:c>
      <x:c r="G482" s="144" t="str">
        <x:v>raw=0、raw=max、物理 min/max、越界/保留值、端序字节向量、pack→unpack round-trip；1457/1457 通过。</x:v>
      </x:c>
      <x:c r="H482" s="144" t="str">
        <x:v>coem/BYD_UKE/gen_bsw/Com/Com_PBcfg.c:18075; BYD_5R1V_RadarRearcorner_V2.5_AllNodes.dbc:1087</x:v>
      </x:c>
    </x:row>
    <x:row r="483" ht="72" customHeight="1">
      <x:c r="A483" s="144" t="str">
        <x:v>Com-Signal</x:v>
      </x:c>
      <x:c r="B483" s="144" t="str">
        <x:v>COM-SIG-Tx-0341 / RRR_Obj03A_ProbNonObstacle</x:v>
      </x:c>
      <x:c r="C483" s="144" t="str">
        <x:v>PDU=RRR_Obj03A; startBit=468; length=6; byteOrder=Little; type=UINT8; factor=2; offset=0; min=0; max=100; unit=%; receivers=DASy</x:v>
      </x:c>
      <x:c r="D4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3" s="144" t="str">
        <x:v>M2</x:v>
      </x:c>
      <x:c r="F483" s="144" t="str">
        <x:v>Signal 级可编辑配置、数据类型/缩放/端序合同、RTE 接口、边界值与 round-trip 测试。</x:v>
      </x:c>
      <x:c r="G483" s="144" t="str">
        <x:v>raw=0、raw=max、物理 min/max、越界/保留值、端序字节向量、pack→unpack round-trip；1457/1457 通过。</x:v>
      </x:c>
      <x:c r="H483" s="144" t="str">
        <x:v>coem/BYD_UKE/gen_bsw/Com/Com_PBcfg.c:18128; BYD_5R1V_RadarRearcorner_V2.5_AllNodes.dbc:1086</x:v>
      </x:c>
    </x:row>
    <x:row r="484" ht="72" customHeight="1">
      <x:c r="A484" s="144" t="str">
        <x:v>Com-Signal</x:v>
      </x:c>
      <x:c r="B484" s="144" t="str">
        <x:v>COM-SIG-Tx-0342 / RRR_Obj03A_ProbObstacle</x:v>
      </x:c>
      <x:c r="C484" s="144" t="str">
        <x:v>PDU=RRR_Obj03A; startBit=462; length=6; byteOrder=Little; type=UINT8; factor=2; offset=0; min=0; max=100; unit=%; receivers=DASy</x:v>
      </x:c>
      <x:c r="D4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4" s="144" t="str">
        <x:v>M2</x:v>
      </x:c>
      <x:c r="F484" s="144" t="str">
        <x:v>Signal 级可编辑配置、数据类型/缩放/端序合同、RTE 接口、边界值与 round-trip 测试。</x:v>
      </x:c>
      <x:c r="G484" s="144" t="str">
        <x:v>raw=0、raw=max、物理 min/max、越界/保留值、端序字节向量、pack→unpack round-trip；1457/1457 通过。</x:v>
      </x:c>
      <x:c r="H484" s="144" t="str">
        <x:v>coem/BYD_UKE/gen_bsw/Com/Com_PBcfg.c:18181; BYD_5R1V_RadarRearcorner_V2.5_AllNodes.dbc:1085</x:v>
      </x:c>
    </x:row>
    <x:row r="485" ht="72" customHeight="1">
      <x:c r="A485" s="144" t="str">
        <x:v>Com-Signal</x:v>
      </x:c>
      <x:c r="B485" s="144" t="str">
        <x:v>COM-SIG-Tx-0343 / RRR_Obj03A_ProtBlockCtr</x:v>
      </x:c>
      <x:c r="C485" s="144" t="str">
        <x:v>PDU=RRR_Obj03A; startBit=24; length=4; byteOrder=Little; type=UINT8; factor=1; offset=0; min=0; max=15; unit=-; receivers=DASy</x:v>
      </x:c>
      <x:c r="D4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5" s="144" t="str">
        <x:v>M2</x:v>
      </x:c>
      <x:c r="F485" s="144" t="str">
        <x:v>Signal 级可编辑配置、数据类型/缩放/端序合同、RTE 接口、边界值与 round-trip 测试。</x:v>
      </x:c>
      <x:c r="G485" s="144" t="str">
        <x:v>raw=0、raw=max、物理 min/max、越界/保留值、端序字节向量、pack→unpack round-trip；1457/1457 通过。</x:v>
      </x:c>
      <x:c r="H485" s="144" t="str">
        <x:v>coem/BYD_UKE/gen_bsw/Com/Com_PBcfg.c:18234; BYD_5R1V_RadarRearcorner_V2.5_AllNodes.dbc:1043</x:v>
      </x:c>
    </x:row>
    <x:row r="486" ht="72" customHeight="1">
      <x:c r="A486" s="144" t="str">
        <x:v>Com-Signal</x:v>
      </x:c>
      <x:c r="B486" s="144" t="str">
        <x:v>COM-SIG-Tx-0344 / RRR_Obj03A_RCS</x:v>
      </x:c>
      <x:c r="C486" s="144" t="str">
        <x:v>PDU=RRR_Obj03A; startBit=252; length=12; byteOrder=Little; type=UINT16; factor=1（Com原始值）; offset=0（Com原始值）; min=按位宽/类型; max=按位宽/类型; unit=-; receivers=-</x:v>
      </x:c>
      <x:c r="D48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86" s="144" t="str">
        <x:v>M2</x:v>
      </x:c>
      <x:c r="F486" s="144" t="str">
        <x:v>Signal 级可编辑配置、数据类型/缩放/端序合同、RTE 接口、边界值与 round-trip 测试。</x:v>
      </x:c>
      <x:c r="G486" s="144" t="str">
        <x:v>raw=0、raw=max、物理 min/max、越界/保留值、端序字节向量、pack→unpack round-trip；1457/1457 通过。</x:v>
      </x:c>
      <x:c r="H486" s="144" t="str">
        <x:v>coem/BYD_UKE/gen_bsw/Com/Com_PBcfg.c:18287</x:v>
      </x:c>
    </x:row>
    <x:row r="487" ht="72" customHeight="1">
      <x:c r="A487" s="144" t="str">
        <x:v>Com-Signal</x:v>
      </x:c>
      <x:c r="B487" s="144" t="str">
        <x:v>COM-SIG-Tx-0345 / RRR_Obj03A_RefPosIndex</x:v>
      </x:c>
      <x:c r="C487" s="144" t="str">
        <x:v>PDU=RRR_Obj03A; startBit=224; length=4; byteOrder=Little; type=UINT8; factor=1; offset=0; min=0; max=15; unit=-; receivers=DASy</x:v>
      </x:c>
      <x:c r="D4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7" s="144" t="str">
        <x:v>M2</x:v>
      </x:c>
      <x:c r="F487" s="144" t="str">
        <x:v>Signal 级可编辑配置、数据类型/缩放/端序合同、RTE 接口、边界值与 round-trip 测试。</x:v>
      </x:c>
      <x:c r="G487" s="144" t="str">
        <x:v>raw=0、raw=max、物理 min/max、越界/保留值、端序字节向量、pack→unpack round-trip；1457/1457 通过。</x:v>
      </x:c>
      <x:c r="H487" s="144" t="str">
        <x:v>coem/BYD_UKE/gen_bsw/Com/Com_PBcfg.c:18340; BYD_5R1V_RadarRearcorner_V2.5_AllNodes.dbc:1045</x:v>
      </x:c>
    </x:row>
    <x:row r="488" ht="72" customHeight="1">
      <x:c r="A488" s="144" t="str">
        <x:v>Com-Signal</x:v>
      </x:c>
      <x:c r="B488" s="144" t="str">
        <x:v>COM-SIG-Tx-0346 / RRR_Obj03A_Valid</x:v>
      </x:c>
      <x:c r="C488" s="144" t="str">
        <x:v>PDU=RRR_Obj03A; startBit=70; length=1; byteOrder=Little; type=UINT8; factor=1; offset=0; min=0; max=1; unit=-; receivers=DASy</x:v>
      </x:c>
      <x:c r="D4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8" s="144" t="str">
        <x:v>M2</x:v>
      </x:c>
      <x:c r="F488" s="144" t="str">
        <x:v>Signal 级可编辑配置、数据类型/缩放/端序合同、RTE 接口、边界值与 round-trip 测试。</x:v>
      </x:c>
      <x:c r="G488" s="144" t="str">
        <x:v>raw=0、raw=max、物理 min/max、越界/保留值、端序字节向量、pack→unpack round-trip；1457/1457 通过。</x:v>
      </x:c>
      <x:c r="H488" s="144" t="str">
        <x:v>coem/BYD_UKE/gen_bsw/Com/Com_PBcfg.c:18393; BYD_5R1V_RadarRearcorner_V2.5_AllNodes.dbc:1046</x:v>
      </x:c>
    </x:row>
    <x:row r="489" ht="72" customHeight="1">
      <x:c r="A489" s="144" t="str">
        <x:v>Com-Signal</x:v>
      </x:c>
      <x:c r="B489" s="144" t="str">
        <x:v>COM-SIG-Tx-0347 / RRR_Obj03A_VxAxCoVnce</x:v>
      </x:c>
      <x:c r="C489" s="144" t="str">
        <x:v>PDU=RRR_Obj03A; startBit=324; length=12; byteOrder=Little; type=UINT16; factor=0.01; offset=0; min=0; max=30; unit=m^2/s^3; receivers=DASy</x:v>
      </x:c>
      <x:c r="D4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89" s="144" t="str">
        <x:v>M2</x:v>
      </x:c>
      <x:c r="F489" s="144" t="str">
        <x:v>Signal 级可编辑配置、数据类型/缩放/端序合同、RTE 接口、边界值与 round-trip 测试。</x:v>
      </x:c>
      <x:c r="G489" s="144" t="str">
        <x:v>raw=0、raw=max、物理 min/max、越界/保留值、端序字节向量、pack→unpack round-trip；1457/1457 通过。</x:v>
      </x:c>
      <x:c r="H489" s="144" t="str">
        <x:v>coem/BYD_UKE/gen_bsw/Com/Com_PBcfg.c:18446; BYD_5R1V_RadarRearcorner_V2.5_AllNodes.dbc:1074</x:v>
      </x:c>
    </x:row>
    <x:row r="490" ht="72" customHeight="1">
      <x:c r="A490" s="144" t="str">
        <x:v>Com-Signal</x:v>
      </x:c>
      <x:c r="B490" s="144" t="str">
        <x:v>COM-SIG-Tx-0348 / RRR_Obj03A_VxAyCoVnce</x:v>
      </x:c>
      <x:c r="C490" s="144" t="str">
        <x:v>PDU=RRR_Obj03A; startBit=372; length=12; byteOrder=Little; type=UINT16; factor=0.01; offset=0; min=0; max=30; unit=m^2/s^3; receivers=DASy</x:v>
      </x:c>
      <x:c r="D4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0" s="144" t="str">
        <x:v>M2</x:v>
      </x:c>
      <x:c r="F490" s="144" t="str">
        <x:v>Signal 级可编辑配置、数据类型/缩放/端序合同、RTE 接口、边界值与 round-trip 测试。</x:v>
      </x:c>
      <x:c r="G490" s="144" t="str">
        <x:v>raw=0、raw=max、物理 min/max、越界/保留值、端序字节向量、pack→unpack round-trip；1457/1457 通过。</x:v>
      </x:c>
      <x:c r="H490" s="144" t="str">
        <x:v>coem/BYD_UKE/gen_bsw/Com/Com_PBcfg.c:18499; BYD_5R1V_RadarRearcorner_V2.5_AllNodes.dbc:1078</x:v>
      </x:c>
    </x:row>
    <x:row r="491" ht="72" customHeight="1">
      <x:c r="A491" s="144" t="str">
        <x:v>Com-Signal</x:v>
      </x:c>
      <x:c r="B491" s="144" t="str">
        <x:v>COM-SIG-Tx-0349 / RRR_Obj03A_VxVnce</x:v>
      </x:c>
      <x:c r="C491" s="144" t="str">
        <x:v>PDU=RRR_Obj03A; startBit=176; length=12; byteOrder=Little; type=UINT16; factor=0.01; offset=0; min=0; max=30; unit=m^2/s^2; receivers=DASy</x:v>
      </x:c>
      <x:c r="D4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1" s="144" t="str">
        <x:v>M2</x:v>
      </x:c>
      <x:c r="F491" s="144" t="str">
        <x:v>Signal 级可编辑配置、数据类型/缩放/端序合同、RTE 接口、边界值与 round-trip 测试。</x:v>
      </x:c>
      <x:c r="G491" s="144" t="str">
        <x:v>raw=0、raw=max、物理 min/max、越界/保留值、端序字节向量、pack→unpack round-trip；1457/1457 通过。</x:v>
      </x:c>
      <x:c r="H491" s="144" t="str">
        <x:v>coem/BYD_UKE/gen_bsw/Com/Com_PBcfg.c:18552; BYD_5R1V_RadarRearcorner_V2.5_AllNodes.dbc:1062</x:v>
      </x:c>
    </x:row>
    <x:row r="492" ht="72" customHeight="1">
      <x:c r="A492" s="144" t="str">
        <x:v>Com-Signal</x:v>
      </x:c>
      <x:c r="B492" s="144" t="str">
        <x:v>COM-SIG-Tx-0350 / RRR_Obj03A_VxVyCoVnce</x:v>
      </x:c>
      <x:c r="C492" s="144" t="str">
        <x:v>PDU=RRR_Obj03A; startBit=288; length=12; byteOrder=Little; type=UINT16; factor=0.01; offset=0; min=0; max=30; unit=m^2/s^2; receivers=DASy</x:v>
      </x:c>
      <x:c r="D4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2" s="144" t="str">
        <x:v>M2</x:v>
      </x:c>
      <x:c r="F492" s="144" t="str">
        <x:v>Signal 级可编辑配置、数据类型/缩放/端序合同、RTE 接口、边界值与 round-trip 测试。</x:v>
      </x:c>
      <x:c r="G492" s="144" t="str">
        <x:v>raw=0、raw=max、物理 min/max、越界/保留值、端序字节向量、pack→unpack round-trip；1457/1457 通过。</x:v>
      </x:c>
      <x:c r="H492" s="144" t="str">
        <x:v>coem/BYD_UKE/gen_bsw/Com/Com_PBcfg.c:18605; BYD_5R1V_RadarRearcorner_V2.5_AllNodes.dbc:1071</x:v>
      </x:c>
    </x:row>
    <x:row r="493" ht="72" customHeight="1">
      <x:c r="A493" s="144" t="str">
        <x:v>Com-Signal</x:v>
      </x:c>
      <x:c r="B493" s="144" t="str">
        <x:v>COM-SIG-Tx-0351 / RRR_Obj03A_Vx</x:v>
      </x:c>
      <x:c r="C493" s="144" t="str">
        <x:v>PDU=RRR_Obj03A; startBit=71; length=12; byteOrder=Little; type=UINT16; factor=0.0625; offset=-128; min=-128; max=127.9375; unit=m/s; receivers=DASy</x:v>
      </x:c>
      <x:c r="D4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3" s="144" t="str">
        <x:v>M2</x:v>
      </x:c>
      <x:c r="F493" s="144" t="str">
        <x:v>Signal 级可编辑配置、数据类型/缩放/端序合同、RTE 接口、边界值与 round-trip 测试。</x:v>
      </x:c>
      <x:c r="G493" s="144" t="str">
        <x:v>raw=0、raw=max、物理 min/max、越界/保留值、端序字节向量、pack→unpack round-trip；1457/1457 通过。</x:v>
      </x:c>
      <x:c r="H493" s="144" t="str">
        <x:v>coem/BYD_UKE/gen_bsw/Com/Com_PBcfg.c:18658; BYD_5R1V_RadarRearcorner_V2.5_AllNodes.dbc:1051</x:v>
      </x:c>
    </x:row>
    <x:row r="494" ht="72" customHeight="1">
      <x:c r="A494" s="144" t="str">
        <x:v>Com-Signal</x:v>
      </x:c>
      <x:c r="B494" s="144" t="str">
        <x:v>COM-SIG-Tx-0352 / RRR_Obj03A_VyAxCoVnce</x:v>
      </x:c>
      <x:c r="C494" s="144" t="str">
        <x:v>PDU=RRR_Obj03A; startBit=336; length=12; byteOrder=Little; type=UINT16; factor=0.01; offset=0; min=0; max=30; unit=m^2/s^3; receivers=DASy</x:v>
      </x:c>
      <x:c r="D4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4" s="144" t="str">
        <x:v>M2</x:v>
      </x:c>
      <x:c r="F494" s="144" t="str">
        <x:v>Signal 级可编辑配置、数据类型/缩放/端序合同、RTE 接口、边界值与 round-trip 测试。</x:v>
      </x:c>
      <x:c r="G494" s="144" t="str">
        <x:v>raw=0、raw=max、物理 min/max、越界/保留值、端序字节向量、pack→unpack round-trip；1457/1457 通过。</x:v>
      </x:c>
      <x:c r="H494" s="144" t="str">
        <x:v>coem/BYD_UKE/gen_bsw/Com/Com_PBcfg.c:18711; BYD_5R1V_RadarRearcorner_V2.5_AllNodes.dbc:1075</x:v>
      </x:c>
    </x:row>
    <x:row r="495" ht="72" customHeight="1">
      <x:c r="A495" s="144" t="str">
        <x:v>Com-Signal</x:v>
      </x:c>
      <x:c r="B495" s="144" t="str">
        <x:v>COM-SIG-Tx-0353 / RRR_Obj03A_VyAyCoVnce</x:v>
      </x:c>
      <x:c r="C495" s="144" t="str">
        <x:v>PDU=RRR_Obj03A; startBit=384; length=12; byteOrder=Little; type=UINT16; factor=0.01; offset=0; min=0; max=30; unit=m^2/s^3; receivers=DASy</x:v>
      </x:c>
      <x:c r="D4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5" s="144" t="str">
        <x:v>M2</x:v>
      </x:c>
      <x:c r="F495" s="144" t="str">
        <x:v>Signal 级可编辑配置、数据类型/缩放/端序合同、RTE 接口、边界值与 round-trip 测试。</x:v>
      </x:c>
      <x:c r="G495" s="144" t="str">
        <x:v>raw=0、raw=max、物理 min/max、越界/保留值、端序字节向量、pack→unpack round-trip；1457/1457 通过。</x:v>
      </x:c>
      <x:c r="H495" s="144" t="str">
        <x:v>coem/BYD_UKE/gen_bsw/Com/Com_PBcfg.c:18764; BYD_5R1V_RadarRearcorner_V2.5_AllNodes.dbc:1079</x:v>
      </x:c>
    </x:row>
    <x:row r="496" ht="72" customHeight="1">
      <x:c r="A496" s="144" t="str">
        <x:v>Com-Signal</x:v>
      </x:c>
      <x:c r="B496" s="144" t="str">
        <x:v>COM-SIG-Tx-0354 / RRR_Obj03A_VyVnce</x:v>
      </x:c>
      <x:c r="C496" s="144" t="str">
        <x:v>PDU=RRR_Obj03A; startBit=188; length=12; byteOrder=Little; type=UINT16; factor=0.01; offset=0; min=0; max=30; unit=m^2/s^2; receivers=DASy</x:v>
      </x:c>
      <x:c r="D4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6" s="144" t="str">
        <x:v>M2</x:v>
      </x:c>
      <x:c r="F496" s="144" t="str">
        <x:v>Signal 级可编辑配置、数据类型/缩放/端序合同、RTE 接口、边界值与 round-trip 测试。</x:v>
      </x:c>
      <x:c r="G496" s="144" t="str">
        <x:v>raw=0、raw=max、物理 min/max、越界/保留值、端序字节向量、pack→unpack round-trip；1457/1457 通过。</x:v>
      </x:c>
      <x:c r="H496" s="144" t="str">
        <x:v>coem/BYD_UKE/gen_bsw/Com/Com_PBcfg.c:18817; BYD_5R1V_RadarRearcorner_V2.5_AllNodes.dbc:1063</x:v>
      </x:c>
    </x:row>
    <x:row r="497" ht="72" customHeight="1">
      <x:c r="A497" s="144" t="str">
        <x:v>Com-Signal</x:v>
      </x:c>
      <x:c r="B497" s="144" t="str">
        <x:v>COM-SIG-Tx-0355 / RRR_Obj03A_Vy</x:v>
      </x:c>
      <x:c r="C497" s="144" t="str">
        <x:v>PDU=RRR_Obj03A; startBit=83; length=10; byteOrder=Little; type=UINT16; factor=0.125; offset=-64; min=-64; max=63.875; unit=m/s; receivers=DASy</x:v>
      </x:c>
      <x:c r="D4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7" s="144" t="str">
        <x:v>M2</x:v>
      </x:c>
      <x:c r="F497" s="144" t="str">
        <x:v>Signal 级可编辑配置、数据类型/缩放/端序合同、RTE 接口、边界值与 round-trip 测试。</x:v>
      </x:c>
      <x:c r="G497" s="144" t="str">
        <x:v>raw=0、raw=max、物理 min/max、越界/保留值、端序字节向量、pack→unpack round-trip；1457/1457 通过。</x:v>
      </x:c>
      <x:c r="H497" s="144" t="str">
        <x:v>coem/BYD_UKE/gen_bsw/Com/Com_PBcfg.c:18870; BYD_5R1V_RadarRearcorner_V2.5_AllNodes.dbc:1052</x:v>
      </x:c>
    </x:row>
    <x:row r="498" ht="72" customHeight="1">
      <x:c r="A498" s="144" t="str">
        <x:v>Com-Signal</x:v>
      </x:c>
      <x:c r="B498" s="144" t="str">
        <x:v>COM-SIG-Tx-0356 / RRR_Obj03A_WidthVnce</x:v>
      </x:c>
      <x:c r="C498" s="144" t="str">
        <x:v>PDU=RRR_Obj03A; startBit=432; length=12; byteOrder=Little; type=UINT16; factor=0.01; offset=0; min=0; max=30; unit=m^2; receivers=DASy</x:v>
      </x:c>
      <x:c r="D4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8" s="144" t="str">
        <x:v>M2</x:v>
      </x:c>
      <x:c r="F498" s="144" t="str">
        <x:v>Signal 级可编辑配置、数据类型/缩放/端序合同、RTE 接口、边界值与 round-trip 测试。</x:v>
      </x:c>
      <x:c r="G498" s="144" t="str">
        <x:v>raw=0、raw=max、物理 min/max、越界/保留值、端序字节向量、pack→unpack round-trip；1457/1457 通过。</x:v>
      </x:c>
      <x:c r="H498" s="144" t="str">
        <x:v>coem/BYD_UKE/gen_bsw/Com/Com_PBcfg.c:18923; BYD_5R1V_RadarRearcorner_V2.5_AllNodes.dbc:1083</x:v>
      </x:c>
    </x:row>
    <x:row r="499" ht="72" customHeight="1">
      <x:c r="A499" s="144" t="str">
        <x:v>Com-Signal</x:v>
      </x:c>
      <x:c r="B499" s="144" t="str">
        <x:v>COM-SIG-Tx-0357 / RRR_Obj03A_Width</x:v>
      </x:c>
      <x:c r="C499" s="144" t="str">
        <x:v>PDU=RRR_Obj03A; startBit=128; length=7; byteOrder=Little; type=UINT8; factor=0.125; offset=0; min=0; max=15.875; unit=m; receivers=DASy</x:v>
      </x:c>
      <x:c r="D4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499" s="144" t="str">
        <x:v>M2</x:v>
      </x:c>
      <x:c r="F499" s="144" t="str">
        <x:v>Signal 级可编辑配置、数据类型/缩放/端序合同、RTE 接口、边界值与 round-trip 测试。</x:v>
      </x:c>
      <x:c r="G499" s="144" t="str">
        <x:v>raw=0、raw=max、物理 min/max、越界/保留值、端序字节向量、pack→unpack round-trip；1457/1457 通过。</x:v>
      </x:c>
      <x:c r="H499" s="144" t="str">
        <x:v>coem/BYD_UKE/gen_bsw/Com/Com_PBcfg.c:18976; BYD_5R1V_RadarRearcorner_V2.5_AllNodes.dbc:1057</x:v>
      </x:c>
    </x:row>
    <x:row r="500" ht="72" customHeight="1">
      <x:c r="A500" s="144" t="str">
        <x:v>Com-Signal</x:v>
      </x:c>
      <x:c r="B500" s="144" t="str">
        <x:v>COM-SIG-Tx-0358 / RRR_Obj03A_Type</x:v>
      </x:c>
      <x:c r="C500" s="144" t="str">
        <x:v>PDU=RRR_Obj03B; startBit=82; length=6; byteOrder=Little; type=UINT8; factor=1（Com原始值）; offset=0（Com原始值）; min=按位宽/类型; max=按位宽/类型; unit=-; receivers=-</x:v>
      </x:c>
      <x:c r="D50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00" s="144" t="str">
        <x:v>M2</x:v>
      </x:c>
      <x:c r="F500" s="144" t="str">
        <x:v>Signal 级可编辑配置、数据类型/缩放/端序合同、RTE 接口、边界值与 round-trip 测试。</x:v>
      </x:c>
      <x:c r="G500" s="144" t="str">
        <x:v>raw=0、raw=max、物理 min/max、越界/保留值、端序字节向量、pack→unpack round-trip；1457/1457 通过。</x:v>
      </x:c>
      <x:c r="H500" s="144" t="str">
        <x:v>coem/BYD_UKE/gen_bsw/Com/Com_PBcfg.c:19029</x:v>
      </x:c>
    </x:row>
    <x:row r="501" ht="72" customHeight="1">
      <x:c r="A501" s="144" t="str">
        <x:v>Com-Signal</x:v>
      </x:c>
      <x:c r="B501" s="144" t="str">
        <x:v>COM-SIG-Tx-0359 / RRR_Obj03B_AliveCtr</x:v>
      </x:c>
      <x:c r="C501" s="144" t="str">
        <x:v>PDU=RRR_Obj03B; startBit=16; length=8; byteOrder=Little; type=UINT8; factor=1; offset=0; min=0; max=255; unit=-; receivers=DASy</x:v>
      </x:c>
      <x:c r="D5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1" s="144" t="str">
        <x:v>M2</x:v>
      </x:c>
      <x:c r="F501" s="144" t="str">
        <x:v>Signal 级可编辑配置、数据类型/缩放/端序合同、RTE 接口、边界值与 round-trip 测试。</x:v>
      </x:c>
      <x:c r="G501" s="144" t="str">
        <x:v>raw=0、raw=max、物理 min/max、越界/保留值、端序字节向量、pack→unpack round-trip；1457/1457 通过。</x:v>
      </x:c>
      <x:c r="H501" s="144" t="str">
        <x:v>coem/BYD_UKE/gen_bsw/Com/Com_PBcfg.c:19082; BYD_5R1V_RadarRearcorner_V2.5_AllNodes.dbc:1095</x:v>
      </x:c>
    </x:row>
    <x:row r="502" ht="72" customHeight="1">
      <x:c r="A502" s="144" t="str">
        <x:v>Com-Signal</x:v>
      </x:c>
      <x:c r="B502" s="144" t="str">
        <x:v>COM-SIG-Tx-0360 / RRR_Obj03B_BehaviorType</x:v>
      </x:c>
      <x:c r="C502" s="144" t="str">
        <x:v>PDU=RRR_Obj03B; startBit=88; length=3; byteOrder=Little; type=UINT8; factor=1; offset=0; min=0; max=7; unit=-; receivers=DASy</x:v>
      </x:c>
      <x:c r="D5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2" s="144" t="str">
        <x:v>M2</x:v>
      </x:c>
      <x:c r="F502" s="144" t="str">
        <x:v>Signal 级可编辑配置、数据类型/缩放/端序合同、RTE 接口、边界值与 round-trip 测试。</x:v>
      </x:c>
      <x:c r="G502" s="144" t="str">
        <x:v>raw=0、raw=max、物理 min/max、越界/保留值、端序字节向量、pack→unpack round-trip；1457/1457 通过。</x:v>
      </x:c>
      <x:c r="H502" s="144" t="str">
        <x:v>coem/BYD_UKE/gen_bsw/Com/Com_PBcfg.c:19135; BYD_5R1V_RadarRearcorner_V2.5_AllNodes.dbc:1103</x:v>
      </x:c>
    </x:row>
    <x:row r="503" ht="72" customHeight="1">
      <x:c r="A503" s="144" t="str">
        <x:v>Com-Signal</x:v>
      </x:c>
      <x:c r="B503" s="144" t="str">
        <x:v>COM-SIG-Tx-0361 / RRR_Obj03B_CRC</x:v>
      </x:c>
      <x:c r="C503" s="144" t="str">
        <x:v>PDU=RRR_Obj03B; startBit=0; length=16; byteOrder=Little; type=UINT16; factor=1; offset=0; min=0; max=65535; unit=-; receivers=DASy</x:v>
      </x:c>
      <x:c r="D5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3" s="144" t="str">
        <x:v>M2</x:v>
      </x:c>
      <x:c r="F503" s="144" t="str">
        <x:v>Signal 级可编辑配置、数据类型/缩放/端序合同、RTE 接口、边界值与 round-trip 测试。</x:v>
      </x:c>
      <x:c r="G503" s="144" t="str">
        <x:v>raw=0、raw=max、物理 min/max、越界/保留值、端序字节向量、pack→unpack round-trip；1457/1457 通过。</x:v>
      </x:c>
      <x:c r="H503" s="144" t="str">
        <x:v>coem/BYD_UKE/gen_bsw/Com/Com_PBcfg.c:19188; BYD_5R1V_RadarRearcorner_V2.5_AllNodes.dbc:1094</x:v>
      </x:c>
    </x:row>
    <x:row r="504" ht="72" customHeight="1">
      <x:c r="A504" s="144" t="str">
        <x:v>Com-Signal</x:v>
      </x:c>
      <x:c r="B504" s="144" t="str">
        <x:v>COM-SIG-Tx-0362 / RRR_Obj03B_MovingProbability</x:v>
      </x:c>
      <x:c r="C504" s="144" t="str">
        <x:v>PDU=RRR_Obj03B; startBit=76; length=6; byteOrder=Little; type=UINT8; factor=2; offset=0; min=0; max=100; unit=%; receivers=DASy</x:v>
      </x:c>
      <x:c r="D5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4" s="144" t="str">
        <x:v>M2</x:v>
      </x:c>
      <x:c r="F504" s="144" t="str">
        <x:v>Signal 级可编辑配置、数据类型/缩放/端序合同、RTE 接口、边界值与 round-trip 测试。</x:v>
      </x:c>
      <x:c r="G504" s="144" t="str">
        <x:v>raw=0、raw=max、物理 min/max、越界/保留值、端序字节向量、pack→unpack round-trip；1457/1457 通过。</x:v>
      </x:c>
      <x:c r="H504" s="144" t="str">
        <x:v>coem/BYD_UKE/gen_bsw/Com/Com_PBcfg.c:19241; BYD_5R1V_RadarRearcorner_V2.5_AllNodes.dbc:1091</x:v>
      </x:c>
    </x:row>
    <x:row r="505" ht="72" customHeight="1">
      <x:c r="A505" s="144" t="str">
        <x:v>Com-Signal</x:v>
      </x:c>
      <x:c r="B505" s="144" t="str">
        <x:v>COM-SIG-Tx-0363 / RRR_Obj03B_Prob4PlusWhlCAR</x:v>
      </x:c>
      <x:c r="C505" s="144" t="str">
        <x:v>PDU=RRR_Obj03B; startBit=46; length=6; byteOrder=Little; type=UINT8; factor=2; offset=0; min=0; max=100; unit=%; receivers=DASy</x:v>
      </x:c>
      <x:c r="D5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5" s="144" t="str">
        <x:v>M2</x:v>
      </x:c>
      <x:c r="F505" s="144" t="str">
        <x:v>Signal 级可编辑配置、数据类型/缩放/端序合同、RTE 接口、边界值与 round-trip 测试。</x:v>
      </x:c>
      <x:c r="G505" s="144" t="str">
        <x:v>raw=0、raw=max、物理 min/max、越界/保留值、端序字节向量、pack→unpack round-trip；1457/1457 通过。</x:v>
      </x:c>
      <x:c r="H505" s="144" t="str">
        <x:v>coem/BYD_UKE/gen_bsw/Com/Com_PBcfg.c:19294; BYD_5R1V_RadarRearcorner_V2.5_AllNodes.dbc:1100</x:v>
      </x:c>
    </x:row>
    <x:row r="506" ht="72" customHeight="1">
      <x:c r="A506" s="144" t="str">
        <x:v>Com-Signal</x:v>
      </x:c>
      <x:c r="B506" s="144" t="str">
        <x:v>COM-SIG-Tx-0364 / RRR_Obj03B_Prob4PlusWhlbHGV</x:v>
      </x:c>
      <x:c r="C506" s="144" t="str">
        <x:v>PDU=RRR_Obj03B; startBit=52; length=6; byteOrder=Little; type=UINT8; factor=2; offset=0; min=0; max=100; unit=%; receivers=DASy</x:v>
      </x:c>
      <x:c r="D5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6" s="144" t="str">
        <x:v>M2</x:v>
      </x:c>
      <x:c r="F506" s="144" t="str">
        <x:v>Signal 级可编辑配置、数据类型/缩放/端序合同、RTE 接口、边界值与 round-trip 测试。</x:v>
      </x:c>
      <x:c r="G506" s="144" t="str">
        <x:v>raw=0、raw=max、物理 min/max、越界/保留值、端序字节向量、pack→unpack round-trip；1457/1457 通过。</x:v>
      </x:c>
      <x:c r="H506" s="144" t="str">
        <x:v>coem/BYD_UKE/gen_bsw/Com/Com_PBcfg.c:19347; BYD_5R1V_RadarRearcorner_V2.5_AllNodes.dbc:1101</x:v>
      </x:c>
    </x:row>
    <x:row r="507" ht="72" customHeight="1">
      <x:c r="A507" s="144" t="str">
        <x:v>Com-Signal</x:v>
      </x:c>
      <x:c r="B507" s="144" t="str">
        <x:v>COM-SIG-Tx-0365 / RRR_Obj03B_ProbGNDReflex</x:v>
      </x:c>
      <x:c r="C507" s="144" t="str">
        <x:v>PDU=RRR_Obj03B; startBit=58; length=6; byteOrder=Little; type=UINT8; factor=2; offset=0; min=0; max=100; unit=%; receivers=DASy</x:v>
      </x:c>
      <x:c r="D5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7" s="144" t="str">
        <x:v>M2</x:v>
      </x:c>
      <x:c r="F507" s="144" t="str">
        <x:v>Signal 级可编辑配置、数据类型/缩放/端序合同、RTE 接口、边界值与 round-trip 测试。</x:v>
      </x:c>
      <x:c r="G507" s="144" t="str">
        <x:v>raw=0、raw=max、物理 min/max、越界/保留值、端序字节向量、pack→unpack round-trip；1457/1457 通过。</x:v>
      </x:c>
      <x:c r="H507" s="144" t="str">
        <x:v>coem/BYD_UKE/gen_bsw/Com/Com_PBcfg.c:19400; BYD_5R1V_RadarRearcorner_V2.5_AllNodes.dbc:1102</x:v>
      </x:c>
    </x:row>
    <x:row r="508" ht="72" customHeight="1">
      <x:c r="A508" s="144" t="str">
        <x:v>Com-Signal</x:v>
      </x:c>
      <x:c r="B508" s="144" t="str">
        <x:v>COM-SIG-Tx-0366 / RRR_Obj03B_ProbMob2Whl</x:v>
      </x:c>
      <x:c r="C508" s="144" t="str">
        <x:v>PDU=RRR_Obj03B; startBit=34; length=6; byteOrder=Little; type=UINT8; factor=2; offset=0; min=0; max=100; unit=%; receivers=DASy</x:v>
      </x:c>
      <x:c r="D5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8" s="144" t="str">
        <x:v>M2</x:v>
      </x:c>
      <x:c r="F508" s="144" t="str">
        <x:v>Signal 级可编辑配置、数据类型/缩放/端序合同、RTE 接口、边界值与 round-trip 测试。</x:v>
      </x:c>
      <x:c r="G508" s="144" t="str">
        <x:v>raw=0、raw=max、物理 min/max、越界/保留值、端序字节向量、pack→unpack round-trip；1457/1457 通过。</x:v>
      </x:c>
      <x:c r="H508" s="144" t="str">
        <x:v>coem/BYD_UKE/gen_bsw/Com/Com_PBcfg.c:19453; BYD_5R1V_RadarRearcorner_V2.5_AllNodes.dbc:1098</x:v>
      </x:c>
    </x:row>
    <x:row r="509" ht="72" customHeight="1">
      <x:c r="A509" s="144" t="str">
        <x:v>Com-Signal</x:v>
      </x:c>
      <x:c r="B509" s="144" t="str">
        <x:v>COM-SIG-Tx-0367 / RRR_Obj03B_ProbMob4PlusWhl</x:v>
      </x:c>
      <x:c r="C509" s="144" t="str">
        <x:v>PDU=RRR_Obj03B; startBit=28; length=6; byteOrder=Little; type=UINT8; factor=2; offset=0; min=0; max=100; unit=%; receivers=DASy</x:v>
      </x:c>
      <x:c r="D5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09" s="144" t="str">
        <x:v>M2</x:v>
      </x:c>
      <x:c r="F509" s="144" t="str">
        <x:v>Signal 级可编辑配置、数据类型/缩放/端序合同、RTE 接口、边界值与 round-trip 测试。</x:v>
      </x:c>
      <x:c r="G509" s="144" t="str">
        <x:v>raw=0、raw=max、物理 min/max、越界/保留值、端序字节向量、pack→unpack round-trip；1457/1457 通过。</x:v>
      </x:c>
      <x:c r="H509" s="144" t="str">
        <x:v>coem/BYD_UKE/gen_bsw/Com/Com_PBcfg.c:19506; BYD_5R1V_RadarRearcorner_V2.5_AllNodes.dbc:1097</x:v>
      </x:c>
    </x:row>
    <x:row r="510" ht="72" customHeight="1">
      <x:c r="A510" s="144" t="str">
        <x:v>Com-Signal</x:v>
      </x:c>
      <x:c r="B510" s="144" t="str">
        <x:v>COM-SIG-Tx-0368 / RRR_Obj03B_ProbMobPed</x:v>
      </x:c>
      <x:c r="C510" s="144" t="str">
        <x:v>PDU=RRR_Obj03B; startBit=40; length=6; byteOrder=Little; type=UINT8; factor=2; offset=0; min=0; max=100; unit=%; receivers=DASy</x:v>
      </x:c>
      <x:c r="D51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0" s="144" t="str">
        <x:v>M2</x:v>
      </x:c>
      <x:c r="F510" s="144" t="str">
        <x:v>Signal 级可编辑配置、数据类型/缩放/端序合同、RTE 接口、边界值与 round-trip 测试。</x:v>
      </x:c>
      <x:c r="G510" s="144" t="str">
        <x:v>raw=0、raw=max、物理 min/max、越界/保留值、端序字节向量、pack→unpack round-trip；1457/1457 通过。</x:v>
      </x:c>
      <x:c r="H510" s="144" t="str">
        <x:v>coem/BYD_UKE/gen_bsw/Com/Com_PBcfg.c:19559; BYD_5R1V_RadarRearcorner_V2.5_AllNodes.dbc:1099</x:v>
      </x:c>
    </x:row>
    <x:row r="511" ht="72" customHeight="1">
      <x:c r="A511" s="144" t="str">
        <x:v>Com-Signal</x:v>
      </x:c>
      <x:c r="B511" s="144" t="str">
        <x:v>COM-SIG-Tx-0369 / RRR_Obj03B_ProbStatBarrier</x:v>
      </x:c>
      <x:c r="C511" s="144" t="str">
        <x:v>PDU=RRR_Obj03B; startBit=64; length=6; byteOrder=Little; type=UINT8; factor=2; offset=0; min=0; max=100; unit=%; receivers=DASy</x:v>
      </x:c>
      <x:c r="D5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1" s="144" t="str">
        <x:v>M2</x:v>
      </x:c>
      <x:c r="F511" s="144" t="str">
        <x:v>Signal 级可编辑配置、数据类型/缩放/端序合同、RTE 接口、边界值与 round-trip 测试。</x:v>
      </x:c>
      <x:c r="G511" s="144" t="str">
        <x:v>raw=0、raw=max、物理 min/max、越界/保留值、端序字节向量、pack→unpack round-trip；1457/1457 通过。</x:v>
      </x:c>
      <x:c r="H511" s="144" t="str">
        <x:v>coem/BYD_UKE/gen_bsw/Com/Com_PBcfg.c:19612; BYD_5R1V_RadarRearcorner_V2.5_AllNodes.dbc:1093</x:v>
      </x:c>
    </x:row>
    <x:row r="512" ht="72" customHeight="1">
      <x:c r="A512" s="144" t="str">
        <x:v>Com-Signal</x:v>
      </x:c>
      <x:c r="B512" s="144" t="str">
        <x:v>COM-SIG-Tx-0370 / RRR_Obj03B_ProbStatObst</x:v>
      </x:c>
      <x:c r="C512" s="144" t="str">
        <x:v>PDU=RRR_Obj03B; startBit=70; length=6; byteOrder=Little; type=UINT8; factor=2; offset=0; min=0; max=100; unit=%; receivers=DASy</x:v>
      </x:c>
      <x:c r="D5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2" s="144" t="str">
        <x:v>M2</x:v>
      </x:c>
      <x:c r="F512" s="144" t="str">
        <x:v>Signal 级可编辑配置、数据类型/缩放/端序合同、RTE 接口、边界值与 round-trip 测试。</x:v>
      </x:c>
      <x:c r="G512" s="144" t="str">
        <x:v>raw=0、raw=max、物理 min/max、越界/保留值、端序字节向量、pack→unpack round-trip；1457/1457 通过。</x:v>
      </x:c>
      <x:c r="H512" s="144" t="str">
        <x:v>coem/BYD_UKE/gen_bsw/Com/Com_PBcfg.c:19665; BYD_5R1V_RadarRearcorner_V2.5_AllNodes.dbc:1092</x:v>
      </x:c>
    </x:row>
    <x:row r="513" ht="72" customHeight="1">
      <x:c r="A513" s="144" t="str">
        <x:v>Com-Signal</x:v>
      </x:c>
      <x:c r="B513" s="144" t="str">
        <x:v>COM-SIG-Tx-0371 / RRR_Obj03B_ProtBlockCtr</x:v>
      </x:c>
      <x:c r="C513" s="144" t="str">
        <x:v>PDU=RRR_Obj03B; startBit=24; length=4; byteOrder=Little; type=UINT8; factor=1; offset=0; min=0; max=15; unit=-; receivers=DASy</x:v>
      </x:c>
      <x:c r="D5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3" s="144" t="str">
        <x:v>M2</x:v>
      </x:c>
      <x:c r="F513" s="144" t="str">
        <x:v>Signal 级可编辑配置、数据类型/缩放/端序合同、RTE 接口、边界值与 round-trip 测试。</x:v>
      </x:c>
      <x:c r="G513" s="144" t="str">
        <x:v>raw=0、raw=max、物理 min/max、越界/保留值、端序字节向量、pack→unpack round-trip；1457/1457 通过。</x:v>
      </x:c>
      <x:c r="H513" s="144" t="str">
        <x:v>coem/BYD_UKE/gen_bsw/Com/Com_PBcfg.c:19718; BYD_5R1V_RadarRearcorner_V2.5_AllNodes.dbc:1096</x:v>
      </x:c>
    </x:row>
    <x:row r="514" ht="72" customHeight="1">
      <x:c r="A514" s="144" t="str">
        <x:v>Com-Signal</x:v>
      </x:c>
      <x:c r="B514" s="144" t="str">
        <x:v>COM-SIG-Tx-0372 / RRR_Obj04A_Age</x:v>
      </x:c>
      <x:c r="C514" s="144" t="str">
        <x:v>PDU=RRR_Obj04A; startBit=228; length=12; byteOrder=Little; type=UINT16; factor=1（Com原始值）; offset=0（Com原始值）; min=按位宽/类型; max=按位宽/类型; unit=-; receivers=-</x:v>
      </x:c>
      <x:c r="D51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14" s="144" t="str">
        <x:v>M2</x:v>
      </x:c>
      <x:c r="F514" s="144" t="str">
        <x:v>Signal 级可编辑配置、数据类型/缩放/端序合同、RTE 接口、边界值与 round-trip 测试。</x:v>
      </x:c>
      <x:c r="G514" s="144" t="str">
        <x:v>raw=0、raw=max、物理 min/max、越界/保留值、端序字节向量、pack→unpack round-trip；1457/1457 通过。</x:v>
      </x:c>
      <x:c r="H514" s="144" t="str">
        <x:v>coem/BYD_UKE/gen_bsw/Com/Com_PBcfg.c:19771</x:v>
      </x:c>
    </x:row>
    <x:row r="515" ht="72" customHeight="1">
      <x:c r="A515" s="144" t="str">
        <x:v>Com-Signal</x:v>
      </x:c>
      <x:c r="B515" s="144" t="str">
        <x:v>COM-SIG-Tx-0373 / RRR_Obj04A_AliveCtr</x:v>
      </x:c>
      <x:c r="C515" s="144" t="str">
        <x:v>PDU=RRR_Obj04A; startBit=16; length=8; byteOrder=Little; type=UINT8; factor=1; offset=0; min=0; max=255; unit=-; receivers=DASy</x:v>
      </x:c>
      <x:c r="D5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5" s="144" t="str">
        <x:v>M2</x:v>
      </x:c>
      <x:c r="F515" s="144" t="str">
        <x:v>Signal 级可编辑配置、数据类型/缩放/端序合同、RTE 接口、边界值与 round-trip 测试。</x:v>
      </x:c>
      <x:c r="G515" s="144" t="str">
        <x:v>raw=0、raw=max、物理 min/max、越界/保留值、端序字节向量、pack→unpack round-trip；1457/1457 通过。</x:v>
      </x:c>
      <x:c r="H515" s="144" t="str">
        <x:v>coem/BYD_UKE/gen_bsw/Com/Com_PBcfg.c:19824; BYD_5R1V_RadarRearcorner_V2.5_AllNodes.dbc:1108</x:v>
      </x:c>
    </x:row>
    <x:row r="516" ht="72" customHeight="1">
      <x:c r="A516" s="144" t="str">
        <x:v>Com-Signal</x:v>
      </x:c>
      <x:c r="B516" s="144" t="str">
        <x:v>COM-SIG-Tx-0374 / RRR_Obj04A_AxAyCoVnce</x:v>
      </x:c>
      <x:c r="C516" s="144" t="str">
        <x:v>PDU=RRR_Obj04A; startBit=396; length=12; byteOrder=Little; type=UINT16; factor=0.01; offset=0; min=0; max=30; unit=m^2/s^4; receivers=DASy</x:v>
      </x:c>
      <x:c r="D5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6" s="144" t="str">
        <x:v>M2</x:v>
      </x:c>
      <x:c r="F516" s="144" t="str">
        <x:v>Signal 级可编辑配置、数据类型/缩放/端序合同、RTE 接口、边界值与 round-trip 测试。</x:v>
      </x:c>
      <x:c r="G516" s="144" t="str">
        <x:v>raw=0、raw=max、物理 min/max、越界/保留值、端序字节向量、pack→unpack round-trip；1457/1457 通过。</x:v>
      </x:c>
      <x:c r="H516" s="144" t="str">
        <x:v>coem/BYD_UKE/gen_bsw/Com/Com_PBcfg.c:19877; BYD_5R1V_RadarRearcorner_V2.5_AllNodes.dbc:1146</x:v>
      </x:c>
    </x:row>
    <x:row r="517" ht="72" customHeight="1">
      <x:c r="A517" s="144" t="str">
        <x:v>Com-Signal</x:v>
      </x:c>
      <x:c r="B517" s="144" t="str">
        <x:v>COM-SIG-Tx-0375 / RRR_Obj04A_AxVnce</x:v>
      </x:c>
      <x:c r="C517" s="144" t="str">
        <x:v>PDU=RRR_Obj04A; startBit=200; length=12; byteOrder=Little; type=UINT16; factor=0.01; offset=0; min=0; max=30; unit=m^2/s^4; receivers=DASy</x:v>
      </x:c>
      <x:c r="D5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7" s="144" t="str">
        <x:v>M2</x:v>
      </x:c>
      <x:c r="F517" s="144" t="str">
        <x:v>Signal 级可编辑配置、数据类型/缩放/端序合同、RTE 接口、边界值与 round-trip 测试。</x:v>
      </x:c>
      <x:c r="G517" s="144" t="str">
        <x:v>raw=0、raw=max、物理 min/max、越界/保留值、端序字节向量、pack→unpack round-trip；1457/1457 通过。</x:v>
      </x:c>
      <x:c r="H517" s="144" t="str">
        <x:v>coem/BYD_UKE/gen_bsw/Com/Com_PBcfg.c:19930; BYD_5R1V_RadarRearcorner_V2.5_AllNodes.dbc:1130</x:v>
      </x:c>
    </x:row>
    <x:row r="518" ht="72" customHeight="1">
      <x:c r="A518" s="144" t="str">
        <x:v>Com-Signal</x:v>
      </x:c>
      <x:c r="B518" s="144" t="str">
        <x:v>COM-SIG-Tx-0376 / RRR_Obj04A_Ax</x:v>
      </x:c>
      <x:c r="C518" s="144" t="str">
        <x:v>PDU=RRR_Obj04A; startBit=93; length=10; byteOrder=Little; type=UINT16; factor=0.03125; offset=-16; min=-16; max=15.96875; unit=m/s^2; receivers=DASy</x:v>
      </x:c>
      <x:c r="D5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8" s="144" t="str">
        <x:v>M2</x:v>
      </x:c>
      <x:c r="F518" s="144" t="str">
        <x:v>Signal 级可编辑配置、数据类型/缩放/端序合同、RTE 接口、边界值与 round-trip 测试。</x:v>
      </x:c>
      <x:c r="G518" s="144" t="str">
        <x:v>raw=0、raw=max、物理 min/max、越界/保留值、端序字节向量、pack→unpack round-trip；1457/1457 通过。</x:v>
      </x:c>
      <x:c r="H518" s="144" t="str">
        <x:v>coem/BYD_UKE/gen_bsw/Com/Com_PBcfg.c:19983; BYD_5R1V_RadarRearcorner_V2.5_AllNodes.dbc:1119</x:v>
      </x:c>
    </x:row>
    <x:row r="519" ht="72" customHeight="1">
      <x:c r="A519" s="144" t="str">
        <x:v>Com-Signal</x:v>
      </x:c>
      <x:c r="B519" s="144" t="str">
        <x:v>COM-SIG-Tx-0377 / RRR_Obj04A_AyVnce</x:v>
      </x:c>
      <x:c r="C519" s="144" t="str">
        <x:v>PDU=RRR_Obj04A; startBit=212; length=12; byteOrder=Little; type=UINT16; factor=0.01; offset=0; min=0; max=30; unit=m^2/s^4; receivers=DASy</x:v>
      </x:c>
      <x:c r="D5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19" s="144" t="str">
        <x:v>M2</x:v>
      </x:c>
      <x:c r="F519" s="144" t="str">
        <x:v>Signal 级可编辑配置、数据类型/缩放/端序合同、RTE 接口、边界值与 round-trip 测试。</x:v>
      </x:c>
      <x:c r="G519" s="144" t="str">
        <x:v>raw=0、raw=max、物理 min/max、越界/保留值、端序字节向量、pack→unpack round-trip；1457/1457 通过。</x:v>
      </x:c>
      <x:c r="H519" s="144" t="str">
        <x:v>coem/BYD_UKE/gen_bsw/Com/Com_PBcfg.c:20036; BYD_5R1V_RadarRearcorner_V2.5_AllNodes.dbc:1131</x:v>
      </x:c>
    </x:row>
    <x:row r="520" ht="72" customHeight="1">
      <x:c r="A520" s="144" t="str">
        <x:v>Com-Signal</x:v>
      </x:c>
      <x:c r="B520" s="144" t="str">
        <x:v>COM-SIG-Tx-0378 / RRR_Obj04A_Ay</x:v>
      </x:c>
      <x:c r="C520" s="144" t="str">
        <x:v>PDU=RRR_Obj04A; startBit=103; length=9; byteOrder=Little; type=UINT16; factor=0.0625; offset=-16; min=-16; max=15.9375; unit=m/s^2; receivers=DASy</x:v>
      </x:c>
      <x:c r="D5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0" s="144" t="str">
        <x:v>M2</x:v>
      </x:c>
      <x:c r="F520" s="144" t="str">
        <x:v>Signal 级可编辑配置、数据类型/缩放/端序合同、RTE 接口、边界值与 round-trip 测试。</x:v>
      </x:c>
      <x:c r="G520" s="144" t="str">
        <x:v>raw=0、raw=max、物理 min/max、越界/保留值、端序字节向量、pack→unpack round-trip；1457/1457 通过。</x:v>
      </x:c>
      <x:c r="H520" s="144" t="str">
        <x:v>coem/BYD_UKE/gen_bsw/Com/Com_PBcfg.c:20089; BYD_5R1V_RadarRearcorner_V2.5_AllNodes.dbc:1120</x:v>
      </x:c>
    </x:row>
    <x:row r="521" ht="72" customHeight="1">
      <x:c r="A521" s="144" t="str">
        <x:v>Com-Signal</x:v>
      </x:c>
      <x:c r="B521" s="144" t="str">
        <x:v>COM-SIG-Tx-0379 / RRR_Obj04A_CRC</x:v>
      </x:c>
      <x:c r="C521" s="144" t="str">
        <x:v>PDU=RRR_Obj04A; startBit=0; length=16; byteOrder=Little; type=UINT16; factor=1; offset=0; min=0; max=65535; unit=-; receivers=DASy</x:v>
      </x:c>
      <x:c r="D5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1" s="144" t="str">
        <x:v>M2</x:v>
      </x:c>
      <x:c r="F521" s="144" t="str">
        <x:v>Signal 级可编辑配置、数据类型/缩放/端序合同、RTE 接口、边界值与 round-trip 测试。</x:v>
      </x:c>
      <x:c r="G521" s="144" t="str">
        <x:v>raw=0、raw=max、物理 min/max、越界/保留值、端序字节向量、pack→unpack round-trip；1457/1457 通过。</x:v>
      </x:c>
      <x:c r="H521" s="144" t="str">
        <x:v>coem/BYD_UKE/gen_bsw/Com/Com_PBcfg.c:20142; BYD_5R1V_RadarRearcorner_V2.5_AllNodes.dbc:1107</x:v>
      </x:c>
    </x:row>
    <x:row r="522" ht="72" customHeight="1">
      <x:c r="A522" s="144" t="str">
        <x:v>Com-Signal</x:v>
      </x:c>
      <x:c r="B522" s="144" t="str">
        <x:v>COM-SIG-Tx-0380 / RRR_Obj04A_DxAxCoVnce</x:v>
      </x:c>
      <x:c r="C522" s="144" t="str">
        <x:v>PDU=RRR_Obj04A; startBit=300; length=12; byteOrder=Little; type=UINT16; factor=0.01; offset=0; min=0; max=30; unit=m^2/s^2; receivers=DASy</x:v>
      </x:c>
      <x:c r="D5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2" s="144" t="str">
        <x:v>M2</x:v>
      </x:c>
      <x:c r="F522" s="144" t="str">
        <x:v>Signal 级可编辑配置、数据类型/缩放/端序合同、RTE 接口、边界值与 round-trip 测试。</x:v>
      </x:c>
      <x:c r="G522" s="144" t="str">
        <x:v>raw=0、raw=max、物理 min/max、越界/保留值、端序字节向量、pack→unpack round-trip；1457/1457 通过。</x:v>
      </x:c>
      <x:c r="H522" s="144" t="str">
        <x:v>coem/BYD_UKE/gen_bsw/Com/Com_PBcfg.c:20195; BYD_5R1V_RadarRearcorner_V2.5_AllNodes.dbc:1138</x:v>
      </x:c>
    </x:row>
    <x:row r="523" ht="72" customHeight="1">
      <x:c r="A523" s="144" t="str">
        <x:v>Com-Signal</x:v>
      </x:c>
      <x:c r="B523" s="144" t="str">
        <x:v>COM-SIG-Tx-0381 / RRR_Obj04A_DxAyCoVnce</x:v>
      </x:c>
      <x:c r="C523" s="144" t="str">
        <x:v>PDU=RRR_Obj04A; startBit=348; length=12; byteOrder=Little; type=UINT16; factor=0.01; offset=0; min=0; max=30; unit=m^2/s^2; receivers=DASy</x:v>
      </x:c>
      <x:c r="D5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3" s="144" t="str">
        <x:v>M2</x:v>
      </x:c>
      <x:c r="F523" s="144" t="str">
        <x:v>Signal 级可编辑配置、数据类型/缩放/端序合同、RTE 接口、边界值与 round-trip 测试。</x:v>
      </x:c>
      <x:c r="G523" s="144" t="str">
        <x:v>raw=0、raw=max、物理 min/max、越界/保留值、端序字节向量、pack→unpack round-trip；1457/1457 通过。</x:v>
      </x:c>
      <x:c r="H523" s="144" t="str">
        <x:v>coem/BYD_UKE/gen_bsw/Com/Com_PBcfg.c:20248; BYD_5R1V_RadarRearcorner_V2.5_AllNodes.dbc:1142</x:v>
      </x:c>
    </x:row>
    <x:row r="524" ht="72" customHeight="1">
      <x:c r="A524" s="144" t="str">
        <x:v>Com-Signal</x:v>
      </x:c>
      <x:c r="B524" s="144" t="str">
        <x:v>COM-SIG-Tx-0382 / RRR_Obj04A_DxVnce</x:v>
      </x:c>
      <x:c r="C524" s="144" t="str">
        <x:v>PDU=RRR_Obj04A; startBit=142; length=12; byteOrder=Little; type=UINT16; factor=0.01; offset=0; min=0; max=30; unit=m^2; receivers=DASy</x:v>
      </x:c>
      <x:c r="D52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4" s="144" t="str">
        <x:v>M2</x:v>
      </x:c>
      <x:c r="F524" s="144" t="str">
        <x:v>Signal 级可编辑配置、数据类型/缩放/端序合同、RTE 接口、边界值与 round-trip 测试。</x:v>
      </x:c>
      <x:c r="G524" s="144" t="str">
        <x:v>raw=0、raw=max、物理 min/max、越界/保留值、端序字节向量、pack→unpack round-trip；1457/1457 通过。</x:v>
      </x:c>
      <x:c r="H524" s="144" t="str">
        <x:v>coem/BYD_UKE/gen_bsw/Com/Com_PBcfg.c:20301; BYD_5R1V_RadarRearcorner_V2.5_AllNodes.dbc:1125</x:v>
      </x:c>
    </x:row>
    <x:row r="525" ht="72" customHeight="1">
      <x:c r="A525" s="144" t="str">
        <x:v>Com-Signal</x:v>
      </x:c>
      <x:c r="B525" s="144" t="str">
        <x:v>COM-SIG-Tx-0383 / RRR_Obj04A_Dx</x:v>
      </x:c>
      <x:c r="C525" s="144" t="str">
        <x:v>PDU=RRR_Obj04A; startBit=40; length=13; byteOrder=Little; type=UINT16; factor=0.0625; offset=-256; min=-256; max=255.9375; unit=m; receivers=DASy</x:v>
      </x:c>
      <x:c r="D5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5" s="144" t="str">
        <x:v>M2</x:v>
      </x:c>
      <x:c r="F525" s="144" t="str">
        <x:v>Signal 级可编辑配置、数据类型/缩放/端序合同、RTE 接口、边界值与 round-trip 测试。</x:v>
      </x:c>
      <x:c r="G525" s="144" t="str">
        <x:v>raw=0、raw=max、物理 min/max、越界/保留值、端序字节向量、pack→unpack round-trip；1457/1457 通过。</x:v>
      </x:c>
      <x:c r="H525" s="144" t="str">
        <x:v>coem/BYD_UKE/gen_bsw/Com/Com_PBcfg.c:20354; BYD_5R1V_RadarRearcorner_V2.5_AllNodes.dbc:1114</x:v>
      </x:c>
    </x:row>
    <x:row r="526" ht="72" customHeight="1">
      <x:c r="A526" s="144" t="str">
        <x:v>Com-Signal</x:v>
      </x:c>
      <x:c r="B526" s="144" t="str">
        <x:v>COM-SIG-Tx-0384 / RRR_Obj04A_DyAxCoVnce</x:v>
      </x:c>
      <x:c r="C526" s="144" t="str">
        <x:v>PDU=RRR_Obj04A; startBit=312; length=12; byteOrder=Little; type=UINT16; factor=0.01; offset=0; min=0; max=30; unit=m^2/s^2; receivers=DASy</x:v>
      </x:c>
      <x:c r="D5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6" s="144" t="str">
        <x:v>M2</x:v>
      </x:c>
      <x:c r="F526" s="144" t="str">
        <x:v>Signal 级可编辑配置、数据类型/缩放/端序合同、RTE 接口、边界值与 round-trip 测试。</x:v>
      </x:c>
      <x:c r="G526" s="144" t="str">
        <x:v>raw=0、raw=max、物理 min/max、越界/保留值、端序字节向量、pack→unpack round-trip；1457/1457 通过。</x:v>
      </x:c>
      <x:c r="H526" s="144" t="str">
        <x:v>coem/BYD_UKE/gen_bsw/Com/Com_PBcfg.c:20407; BYD_5R1V_RadarRearcorner_V2.5_AllNodes.dbc:1139</x:v>
      </x:c>
    </x:row>
    <x:row r="527" ht="72" customHeight="1">
      <x:c r="A527" s="144" t="str">
        <x:v>Com-Signal</x:v>
      </x:c>
      <x:c r="B527" s="144" t="str">
        <x:v>COM-SIG-Tx-0385 / RRR_Obj04A_DyAyCoVnce</x:v>
      </x:c>
      <x:c r="C527" s="144" t="str">
        <x:v>PDU=RRR_Obj04A; startBit=360; length=12; byteOrder=Little; type=UINT16; factor=0.01; offset=0; min=0; max=30; unit=m^2/s^2; receivers=DASy</x:v>
      </x:c>
      <x:c r="D5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7" s="144" t="str">
        <x:v>M2</x:v>
      </x:c>
      <x:c r="F527" s="144" t="str">
        <x:v>Signal 级可编辑配置、数据类型/缩放/端序合同、RTE 接口、边界值与 round-trip 测试。</x:v>
      </x:c>
      <x:c r="G527" s="144" t="str">
        <x:v>raw=0、raw=max、物理 min/max、越界/保留值、端序字节向量、pack→unpack round-trip；1457/1457 通过。</x:v>
      </x:c>
      <x:c r="H527" s="144" t="str">
        <x:v>coem/BYD_UKE/gen_bsw/Com/Com_PBcfg.c:20460; BYD_5R1V_RadarRearcorner_V2.5_AllNodes.dbc:1143</x:v>
      </x:c>
    </x:row>
    <x:row r="528" ht="72" customHeight="1">
      <x:c r="A528" s="144" t="str">
        <x:v>Com-Signal</x:v>
      </x:c>
      <x:c r="B528" s="144" t="str">
        <x:v>COM-SIG-Tx-0386 / RRR_Obj04A_DyVnce</x:v>
      </x:c>
      <x:c r="C528" s="144" t="str">
        <x:v>PDU=RRR_Obj04A; startBit=154; length=12; byteOrder=Little; type=UINT16; factor=0.01; offset=0; min=0; max=30; unit=m^2; receivers=DASy</x:v>
      </x:c>
      <x:c r="D52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8" s="144" t="str">
        <x:v>M2</x:v>
      </x:c>
      <x:c r="F528" s="144" t="str">
        <x:v>Signal 级可编辑配置、数据类型/缩放/端序合同、RTE 接口、边界值与 round-trip 测试。</x:v>
      </x:c>
      <x:c r="G528" s="144" t="str">
        <x:v>raw=0、raw=max、物理 min/max、越界/保留值、端序字节向量、pack→unpack round-trip；1457/1457 通过。</x:v>
      </x:c>
      <x:c r="H528" s="144" t="str">
        <x:v>coem/BYD_UKE/gen_bsw/Com/Com_PBcfg.c:20513; BYD_5R1V_RadarRearcorner_V2.5_AllNodes.dbc:1126</x:v>
      </x:c>
    </x:row>
    <x:row r="529" ht="72" customHeight="1">
      <x:c r="A529" s="144" t="str">
        <x:v>Com-Signal</x:v>
      </x:c>
      <x:c r="B529" s="144" t="str">
        <x:v>COM-SIG-Tx-0387 / RRR_Obj04A_DyVyCoVnce</x:v>
      </x:c>
      <x:c r="C529" s="144" t="str">
        <x:v>PDU=RRR_Obj04A; startBit=276; length=12; byteOrder=Little; type=UINT16; factor=0.01; offset=0; min=0; max=30; unit=m^2/s; receivers=DASy</x:v>
      </x:c>
      <x:c r="D5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29" s="144" t="str">
        <x:v>M2</x:v>
      </x:c>
      <x:c r="F529" s="144" t="str">
        <x:v>Signal 级可编辑配置、数据类型/缩放/端序合同、RTE 接口、边界值与 round-trip 测试。</x:v>
      </x:c>
      <x:c r="G529" s="144" t="str">
        <x:v>raw=0、raw=max、物理 min/max、越界/保留值、端序字节向量、pack→unpack round-trip；1457/1457 通过。</x:v>
      </x:c>
      <x:c r="H529" s="144" t="str">
        <x:v>coem/BYD_UKE/gen_bsw/Com/Com_PBcfg.c:20566; BYD_5R1V_RadarRearcorner_V2.5_AllNodes.dbc:1136</x:v>
      </x:c>
    </x:row>
    <x:row r="530" ht="72" customHeight="1">
      <x:c r="A530" s="144" t="str">
        <x:v>Com-Signal</x:v>
      </x:c>
      <x:c r="B530" s="144" t="str">
        <x:v>COM-SIG-Tx-0388 / RRR_Obj04A_Dy</x:v>
      </x:c>
      <x:c r="C530" s="144" t="str">
        <x:v>PDU=RRR_Obj04A; startBit=59; length=11; byteOrder=Little; type=UINT16; factor=0.125; offset=-128; min=-128; max=127.875; unit=m; receivers=DASy</x:v>
      </x:c>
      <x:c r="D5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0" s="144" t="str">
        <x:v>M2</x:v>
      </x:c>
      <x:c r="F530" s="144" t="str">
        <x:v>Signal 级可编辑配置、数据类型/缩放/端序合同、RTE 接口、边界值与 round-trip 测试。</x:v>
      </x:c>
      <x:c r="G530" s="144" t="str">
        <x:v>raw=0、raw=max、物理 min/max、越界/保留值、端序字节向量、pack→unpack round-trip；1457/1457 通过。</x:v>
      </x:c>
      <x:c r="H530" s="144" t="str">
        <x:v>coem/BYD_UKE/gen_bsw/Com/Com_PBcfg.c:20619; BYD_5R1V_RadarRearcorner_V2.5_AllNodes.dbc:1115</x:v>
      </x:c>
    </x:row>
    <x:row r="531" ht="72" customHeight="1">
      <x:c r="A531" s="144" t="str">
        <x:v>Com-Signal</x:v>
      </x:c>
      <x:c r="B531" s="144" t="str">
        <x:v>COM-SIG-Tx-0389 / RRR_Obj04A_DzVnce</x:v>
      </x:c>
      <x:c r="C531" s="144" t="str">
        <x:v>PDU=RRR_Obj04A; startBit=166; length=10; byteOrder=Little; type=UINT16; factor=0.01; offset=0; min=0; max=10; unit=m^2; receivers=DASy</x:v>
      </x:c>
      <x:c r="D5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1" s="144" t="str">
        <x:v>M2</x:v>
      </x:c>
      <x:c r="F531" s="144" t="str">
        <x:v>Signal 级可编辑配置、数据类型/缩放/端序合同、RTE 接口、边界值与 round-trip 测试。</x:v>
      </x:c>
      <x:c r="G531" s="144" t="str">
        <x:v>raw=0、raw=max、物理 min/max、越界/保留值、端序字节向量、pack→unpack round-trip；1457/1457 通过。</x:v>
      </x:c>
      <x:c r="H531" s="144" t="str">
        <x:v>coem/BYD_UKE/gen_bsw/Com/Com_PBcfg.c:20672; BYD_5R1V_RadarRearcorner_V2.5_AllNodes.dbc:1127</x:v>
      </x:c>
    </x:row>
    <x:row r="532" ht="72" customHeight="1">
      <x:c r="A532" s="144" t="str">
        <x:v>Com-Signal</x:v>
      </x:c>
      <x:c r="B532" s="144" t="str">
        <x:v>COM-SIG-Tx-0390 / RRR_Obj04A_Dz</x:v>
      </x:c>
      <x:c r="C532" s="144" t="str">
        <x:v>PDU=RRR_Obj04A; startBit=53; length=6; byteOrder=Little; type=UINT8; factor=0.25; offset=-5; min=-5; max=10.75; unit=m; receivers=DASy</x:v>
      </x:c>
      <x:c r="D5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2" s="144" t="str">
        <x:v>M2</x:v>
      </x:c>
      <x:c r="F532" s="144" t="str">
        <x:v>Signal 级可编辑配置、数据类型/缩放/端序合同、RTE 接口、边界值与 round-trip 测试。</x:v>
      </x:c>
      <x:c r="G532" s="144" t="str">
        <x:v>raw=0、raw=max、物理 min/max、越界/保留值、端序字节向量、pack→unpack round-trip；1457/1457 通过。</x:v>
      </x:c>
      <x:c r="H532" s="144" t="str">
        <x:v>coem/BYD_UKE/gen_bsw/Com/Com_PBcfg.c:20725; BYD_5R1V_RadarRearcorner_V2.5_AllNodes.dbc:1116</x:v>
      </x:c>
    </x:row>
    <x:row r="533" ht="72" customHeight="1">
      <x:c r="A533" s="144" t="str">
        <x:v>Com-Signal</x:v>
      </x:c>
      <x:c r="B533" s="144" t="str">
        <x:v>COM-SIG-Tx-0391 / RRR_Obj04A_HeadingYawAngleVnce</x:v>
      </x:c>
      <x:c r="C533" s="144" t="str">
        <x:v>PDU=RRR_Obj04A; startBit=408; length=12; byteOrder=Little; type=UINT16; factor=0.0003; offset=0; min=0; max=1; unit=rad^2; receivers=DASy</x:v>
      </x:c>
      <x:c r="D5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3" s="144" t="str">
        <x:v>M2</x:v>
      </x:c>
      <x:c r="F533" s="144" t="str">
        <x:v>Signal 级可编辑配置、数据类型/缩放/端序合同、RTE 接口、边界值与 round-trip 测试。</x:v>
      </x:c>
      <x:c r="G533" s="144" t="str">
        <x:v>raw=0、raw=max、物理 min/max、越界/保留值、端序字节向量、pack→unpack round-trip；1457/1457 通过。</x:v>
      </x:c>
      <x:c r="H533" s="144" t="str">
        <x:v>coem/BYD_UKE/gen_bsw/Com/Com_PBcfg.c:20778; BYD_5R1V_RadarRearcorner_V2.5_AllNodes.dbc:1147</x:v>
      </x:c>
    </x:row>
    <x:row r="534" ht="72" customHeight="1">
      <x:c r="A534" s="144" t="str">
        <x:v>Com-Signal</x:v>
      </x:c>
      <x:c r="B534" s="144" t="str">
        <x:v>COM-SIG-Tx-0392 / RRR_Obj04A_HeadingYawAngle</x:v>
      </x:c>
      <x:c r="C534" s="144" t="str">
        <x:v>PDU=RRR_Obj04A; startBit=112; length=9; byteOrder=Little; type=UINT16; factor=0.0175; offset=-4.48; min=-3.15; max=3.15; unit=rad; receivers=DASy</x:v>
      </x:c>
      <x:c r="D5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4" s="144" t="str">
        <x:v>M2</x:v>
      </x:c>
      <x:c r="F534" s="144" t="str">
        <x:v>Signal 级可编辑配置、数据类型/缩放/端序合同、RTE 接口、边界值与 round-trip 测试。</x:v>
      </x:c>
      <x:c r="G534" s="144" t="str">
        <x:v>raw=0、raw=max、物理 min/max、越界/保留值、端序字节向量、pack→unpack round-trip；1457/1457 通过。</x:v>
      </x:c>
      <x:c r="H534" s="144" t="str">
        <x:v>coem/BYD_UKE/gen_bsw/Com/Com_PBcfg.c:20831; BYD_5R1V_RadarRearcorner_V2.5_AllNodes.dbc:1121</x:v>
      </x:c>
    </x:row>
    <x:row r="535" ht="72" customHeight="1">
      <x:c r="A535" s="144" t="str">
        <x:v>Com-Signal</x:v>
      </x:c>
      <x:c r="B535" s="144" t="str">
        <x:v>COM-SIG-Tx-0393 / RRR_Obj04A_HeadingYawrate</x:v>
      </x:c>
      <x:c r="C535" s="144" t="str">
        <x:v>PDU=RRR_Obj04A; startBit=240; length=12; byteOrder=Little; type=UINT16; factor=1（Com原始值）; offset=0（Com原始值）; min=按位宽/类型; max=按位宽/类型; unit=-; receivers=-</x:v>
      </x:c>
      <x:c r="D535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35" s="144" t="str">
        <x:v>M2</x:v>
      </x:c>
      <x:c r="F535" s="144" t="str">
        <x:v>Signal 级可编辑配置、数据类型/缩放/端序合同、RTE 接口、边界值与 round-trip 测试。</x:v>
      </x:c>
      <x:c r="G535" s="144" t="str">
        <x:v>raw=0、raw=max、物理 min/max、越界/保留值、端序字节向量、pack→unpack round-trip；1457/1457 通过。</x:v>
      </x:c>
      <x:c r="H535" s="144" t="str">
        <x:v>coem/BYD_UKE/gen_bsw/Com/Com_PBcfg.c:20884</x:v>
      </x:c>
    </x:row>
    <x:row r="536" ht="72" customHeight="1">
      <x:c r="A536" s="144" t="str">
        <x:v>Com-Signal</x:v>
      </x:c>
      <x:c r="B536" s="144" t="str">
        <x:v>COM-SIG-Tx-0394 / RRR_Obj04A_HeightVnce</x:v>
      </x:c>
      <x:c r="C536" s="144" t="str">
        <x:v>PDU=RRR_Obj04A; startBit=444; length=12; byteOrder=Little; type=UINT16; factor=0.01; offset=0; min=0; max=30; unit=m^2; receivers=DASy</x:v>
      </x:c>
      <x:c r="D5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6" s="144" t="str">
        <x:v>M2</x:v>
      </x:c>
      <x:c r="F536" s="144" t="str">
        <x:v>Signal 级可编辑配置、数据类型/缩放/端序合同、RTE 接口、边界值与 round-trip 测试。</x:v>
      </x:c>
      <x:c r="G536" s="144" t="str">
        <x:v>raw=0、raw=max、物理 min/max、越界/保留值、端序字节向量、pack→unpack round-trip；1457/1457 通过。</x:v>
      </x:c>
      <x:c r="H536" s="144" t="str">
        <x:v>coem/BYD_UKE/gen_bsw/Com/Com_PBcfg.c:20937; BYD_5R1V_RadarRearcorner_V2.5_AllNodes.dbc:1106</x:v>
      </x:c>
    </x:row>
    <x:row r="537" ht="72" customHeight="1">
      <x:c r="A537" s="144" t="str">
        <x:v>Com-Signal</x:v>
      </x:c>
      <x:c r="B537" s="144" t="str">
        <x:v>COM-SIG-Tx-0395 / RRR_Obj04A_Height</x:v>
      </x:c>
      <x:c r="C537" s="144" t="str">
        <x:v>PDU=RRR_Obj04A; startBit=135; length=7; byteOrder=Little; type=UINT8; factor=0.125; offset=0; min=0; max=15.875; unit=m; receivers=DASy</x:v>
      </x:c>
      <x:c r="D5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7" s="144" t="str">
        <x:v>M2</x:v>
      </x:c>
      <x:c r="F537" s="144" t="str">
        <x:v>Signal 级可编辑配置、数据类型/缩放/端序合同、RTE 接口、边界值与 round-trip 测试。</x:v>
      </x:c>
      <x:c r="G537" s="144" t="str">
        <x:v>raw=0、raw=max、物理 min/max、越界/保留值、端序字节向量、pack→unpack round-trip；1457/1457 通过。</x:v>
      </x:c>
      <x:c r="H537" s="144" t="str">
        <x:v>coem/BYD_UKE/gen_bsw/Com/Com_PBcfg.c:20990; BYD_5R1V_RadarRearcorner_V2.5_AllNodes.dbc:1124</x:v>
      </x:c>
    </x:row>
    <x:row r="538" ht="72" customHeight="1">
      <x:c r="A538" s="144" t="str">
        <x:v>Com-Signal</x:v>
      </x:c>
      <x:c r="B538" s="144" t="str">
        <x:v>COM-SIG-Tx-0396 / RRR_Obj04A_ID</x:v>
      </x:c>
      <x:c r="C538" s="144" t="str">
        <x:v>PDU=RRR_Obj04A; startBit=32; length=7; byteOrder=Little; type=UINT8; factor=1; offset=0; min=0; max=127; unit=-; receivers=DASy</x:v>
      </x:c>
      <x:c r="D53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8" s="144" t="str">
        <x:v>M2</x:v>
      </x:c>
      <x:c r="F538" s="144" t="str">
        <x:v>Signal 级可编辑配置、数据类型/缩放/端序合同、RTE 接口、边界值与 round-trip 测试。</x:v>
      </x:c>
      <x:c r="G538" s="144" t="str">
        <x:v>raw=0、raw=max、物理 min/max、越界/保留值、端序字节向量、pack→unpack round-trip；1457/1457 通过。</x:v>
      </x:c>
      <x:c r="H538" s="144" t="str">
        <x:v>coem/BYD_UKE/gen_bsw/Com/Com_PBcfg.c:21043; BYD_5R1V_RadarRearcorner_V2.5_AllNodes.dbc:1110</x:v>
      </x:c>
    </x:row>
    <x:row r="539" ht="72" customHeight="1">
      <x:c r="A539" s="144" t="str">
        <x:v>Com-Signal</x:v>
      </x:c>
      <x:c r="B539" s="144" t="str">
        <x:v>COM-SIG-Tx-0397 / RRR_Obj04A_LengthVnce</x:v>
      </x:c>
      <x:c r="C539" s="144" t="str">
        <x:v>PDU=RRR_Obj04A; startBit=420; length=12; byteOrder=Little; type=UINT16; factor=0.01; offset=0; min=0; max=30; unit=m^2; receivers=DASy</x:v>
      </x:c>
      <x:c r="D5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39" s="144" t="str">
        <x:v>M2</x:v>
      </x:c>
      <x:c r="F539" s="144" t="str">
        <x:v>Signal 级可编辑配置、数据类型/缩放/端序合同、RTE 接口、边界值与 round-trip 测试。</x:v>
      </x:c>
      <x:c r="G539" s="144" t="str">
        <x:v>raw=0、raw=max、物理 min/max、越界/保留值、端序字节向量、pack→unpack round-trip；1457/1457 通过。</x:v>
      </x:c>
      <x:c r="H539" s="144" t="str">
        <x:v>coem/BYD_UKE/gen_bsw/Com/Com_PBcfg.c:21096; BYD_5R1V_RadarRearcorner_V2.5_AllNodes.dbc:1148</x:v>
      </x:c>
    </x:row>
    <x:row r="540" ht="72" customHeight="1">
      <x:c r="A540" s="144" t="str">
        <x:v>Com-Signal</x:v>
      </x:c>
      <x:c r="B540" s="144" t="str">
        <x:v>COM-SIG-Tx-0398 / RRR_Obj04A_Length</x:v>
      </x:c>
      <x:c r="C540" s="144" t="str">
        <x:v>PDU=RRR_Obj04A; startBit=121; length=7; byteOrder=Little; type=UINT8; factor=0.125; offset=0; min=0; max=15.875; unit=m; receivers=DASy</x:v>
      </x:c>
      <x:c r="D5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0" s="144" t="str">
        <x:v>M2</x:v>
      </x:c>
      <x:c r="F540" s="144" t="str">
        <x:v>Signal 级可编辑配置、数据类型/缩放/端序合同、RTE 接口、边界值与 round-trip 测试。</x:v>
      </x:c>
      <x:c r="G540" s="144" t="str">
        <x:v>raw=0、raw=max、物理 min/max、越界/保留值、端序字节向量、pack→unpack round-trip；1457/1457 通过。</x:v>
      </x:c>
      <x:c r="H540" s="144" t="str">
        <x:v>coem/BYD_UKE/gen_bsw/Com/Com_PBcfg.c:21149; BYD_5R1V_RadarRearcorner_V2.5_AllNodes.dbc:1122</x:v>
      </x:c>
    </x:row>
    <x:row r="541" ht="72" customHeight="1">
      <x:c r="A541" s="144" t="str">
        <x:v>Com-Signal</x:v>
      </x:c>
      <x:c r="B541" s="144" t="str">
        <x:v>COM-SIG-Tx-0399 / RRR_Obj04A_Measured</x:v>
      </x:c>
      <x:c r="C541" s="144" t="str">
        <x:v>PDU=RRR_Obj04A; startBit=39; length=1; byteOrder=Little; type=UINT8; factor=1; offset=0; min=0; max=1; unit=-; receivers=DASy</x:v>
      </x:c>
      <x:c r="D5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1" s="144" t="str">
        <x:v>M2</x:v>
      </x:c>
      <x:c r="F541" s="144" t="str">
        <x:v>Signal 级可编辑配置、数据类型/缩放/端序合同、RTE 接口、边界值与 round-trip 测试。</x:v>
      </x:c>
      <x:c r="G541" s="144" t="str">
        <x:v>raw=0、raw=max、物理 min/max、越界/保留值、端序字节向量、pack→unpack round-trip；1457/1457 通过。</x:v>
      </x:c>
      <x:c r="H541" s="144" t="str">
        <x:v>coem/BYD_UKE/gen_bsw/Com/Com_PBcfg.c:21202; BYD_5R1V_RadarRearcorner_V2.5_AllNodes.dbc:1113</x:v>
      </x:c>
    </x:row>
    <x:row r="542" ht="72" customHeight="1">
      <x:c r="A542" s="144" t="str">
        <x:v>Com-Signal</x:v>
      </x:c>
      <x:c r="B542" s="144" t="str">
        <x:v>COM-SIG-Tx-0400 / RRR_Obj04A_ObjDetected</x:v>
      </x:c>
      <x:c r="C542" s="144" t="str">
        <x:v>PDU=RRR_Obj04A; startBit=264; length=12; byteOrder=Little; type=UINT16; factor=1（Com原始值）; offset=0（Com原始值）; min=按位宽/类型; max=按位宽/类型; unit=-; receivers=-</x:v>
      </x:c>
      <x:c r="D54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42" s="144" t="str">
        <x:v>M2</x:v>
      </x:c>
      <x:c r="F542" s="144" t="str">
        <x:v>Signal 级可编辑配置、数据类型/缩放/端序合同、RTE 接口、边界值与 round-trip 测试。</x:v>
      </x:c>
      <x:c r="G542" s="144" t="str">
        <x:v>raw=0、raw=max、物理 min/max、越界/保留值、端序字节向量、pack→unpack round-trip；1457/1457 通过。</x:v>
      </x:c>
      <x:c r="H542" s="144" t="str">
        <x:v>coem/BYD_UKE/gen_bsw/Com/Com_PBcfg.c:21255</x:v>
      </x:c>
    </x:row>
    <x:row r="543" ht="72" customHeight="1">
      <x:c r="A543" s="144" t="str">
        <x:v>Com-Signal</x:v>
      </x:c>
      <x:c r="B543" s="144" t="str">
        <x:v>COM-SIG-Tx-0401 / RRR_Obj04A_ProbExist</x:v>
      </x:c>
      <x:c r="C543" s="144" t="str">
        <x:v>PDU=RRR_Obj04A; startBit=456; length=6; byteOrder=Little; type=UINT8; factor=2; offset=0; min=0; max=100; unit=%; receivers=DASy</x:v>
      </x:c>
      <x:c r="D5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3" s="144" t="str">
        <x:v>M2</x:v>
      </x:c>
      <x:c r="F543" s="144" t="str">
        <x:v>Signal 级可编辑配置、数据类型/缩放/端序合同、RTE 接口、边界值与 round-trip 测试。</x:v>
      </x:c>
      <x:c r="G543" s="144" t="str">
        <x:v>raw=0、raw=max、物理 min/max、越界/保留值、端序字节向量、pack→unpack round-trip；1457/1457 通过。</x:v>
      </x:c>
      <x:c r="H543" s="144" t="str">
        <x:v>coem/BYD_UKE/gen_bsw/Com/Com_PBcfg.c:21308; BYD_5R1V_RadarRearcorner_V2.5_AllNodes.dbc:1150</x:v>
      </x:c>
    </x:row>
    <x:row r="544" ht="72" customHeight="1">
      <x:c r="A544" s="144" t="str">
        <x:v>Com-Signal</x:v>
      </x:c>
      <x:c r="B544" s="144" t="str">
        <x:v>COM-SIG-Tx-0402 / RRR_Obj04A_ProbMobileObst</x:v>
      </x:c>
      <x:c r="C544" s="144" t="str">
        <x:v>PDU=RRR_Obj04A; startBit=474; length=6; byteOrder=Little; type=UINT8; factor=2; offset=0; min=0; max=100; unit=%; receivers=DASy</x:v>
      </x:c>
      <x:c r="D5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4" s="144" t="str">
        <x:v>M2</x:v>
      </x:c>
      <x:c r="F544" s="144" t="str">
        <x:v>Signal 级可编辑配置、数据类型/缩放/端序合同、RTE 接口、边界值与 round-trip 测试。</x:v>
      </x:c>
      <x:c r="G544" s="144" t="str">
        <x:v>raw=0、raw=max、物理 min/max、越界/保留值、端序字节向量、pack→unpack round-trip；1457/1457 通过。</x:v>
      </x:c>
      <x:c r="H544" s="144" t="str">
        <x:v>coem/BYD_UKE/gen_bsw/Com/Com_PBcfg.c:21361; BYD_5R1V_RadarRearcorner_V2.5_AllNodes.dbc:1153</x:v>
      </x:c>
    </x:row>
    <x:row r="545" ht="72" customHeight="1">
      <x:c r="A545" s="144" t="str">
        <x:v>Com-Signal</x:v>
      </x:c>
      <x:c r="B545" s="144" t="str">
        <x:v>COM-SIG-Tx-0403 / RRR_Obj04A_ProbNonObstacle</x:v>
      </x:c>
      <x:c r="C545" s="144" t="str">
        <x:v>PDU=RRR_Obj04A; startBit=468; length=6; byteOrder=Little; type=UINT8; factor=2; offset=0; min=0; max=100; unit=%; receivers=DASy</x:v>
      </x:c>
      <x:c r="D5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5" s="144" t="str">
        <x:v>M2</x:v>
      </x:c>
      <x:c r="F545" s="144" t="str">
        <x:v>Signal 级可编辑配置、数据类型/缩放/端序合同、RTE 接口、边界值与 round-trip 测试。</x:v>
      </x:c>
      <x:c r="G545" s="144" t="str">
        <x:v>raw=0、raw=max、物理 min/max、越界/保留值、端序字节向量、pack→unpack round-trip；1457/1457 通过。</x:v>
      </x:c>
      <x:c r="H545" s="144" t="str">
        <x:v>coem/BYD_UKE/gen_bsw/Com/Com_PBcfg.c:21414; BYD_5R1V_RadarRearcorner_V2.5_AllNodes.dbc:1152</x:v>
      </x:c>
    </x:row>
    <x:row r="546" ht="72" customHeight="1">
      <x:c r="A546" s="144" t="str">
        <x:v>Com-Signal</x:v>
      </x:c>
      <x:c r="B546" s="144" t="str">
        <x:v>COM-SIG-Tx-0404 / RRR_Obj04A_ProbObstacle</x:v>
      </x:c>
      <x:c r="C546" s="144" t="str">
        <x:v>PDU=RRR_Obj04A; startBit=462; length=6; byteOrder=Little; type=UINT8; factor=2; offset=0; min=0; max=100; unit=%; receivers=DASy</x:v>
      </x:c>
      <x:c r="D5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6" s="144" t="str">
        <x:v>M2</x:v>
      </x:c>
      <x:c r="F546" s="144" t="str">
        <x:v>Signal 级可编辑配置、数据类型/缩放/端序合同、RTE 接口、边界值与 round-trip 测试。</x:v>
      </x:c>
      <x:c r="G546" s="144" t="str">
        <x:v>raw=0、raw=max、物理 min/max、越界/保留值、端序字节向量、pack→unpack round-trip；1457/1457 通过。</x:v>
      </x:c>
      <x:c r="H546" s="144" t="str">
        <x:v>coem/BYD_UKE/gen_bsw/Com/Com_PBcfg.c:21467; BYD_5R1V_RadarRearcorner_V2.5_AllNodes.dbc:1151</x:v>
      </x:c>
    </x:row>
    <x:row r="547" ht="72" customHeight="1">
      <x:c r="A547" s="144" t="str">
        <x:v>Com-Signal</x:v>
      </x:c>
      <x:c r="B547" s="144" t="str">
        <x:v>COM-SIG-Tx-0405 / RRR_Obj04A_ProtBlockCtr</x:v>
      </x:c>
      <x:c r="C547" s="144" t="str">
        <x:v>PDU=RRR_Obj04A; startBit=24; length=4; byteOrder=Little; type=UINT8; factor=1; offset=0; min=0; max=15; unit=-; receivers=DASy</x:v>
      </x:c>
      <x:c r="D5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7" s="144" t="str">
        <x:v>M2</x:v>
      </x:c>
      <x:c r="F547" s="144" t="str">
        <x:v>Signal 级可编辑配置、数据类型/缩放/端序合同、RTE 接口、边界值与 round-trip 测试。</x:v>
      </x:c>
      <x:c r="G547" s="144" t="str">
        <x:v>raw=0、raw=max、物理 min/max、越界/保留值、端序字节向量、pack→unpack round-trip；1457/1457 通过。</x:v>
      </x:c>
      <x:c r="H547" s="144" t="str">
        <x:v>coem/BYD_UKE/gen_bsw/Com/Com_PBcfg.c:21520; BYD_5R1V_RadarRearcorner_V2.5_AllNodes.dbc:1109</x:v>
      </x:c>
    </x:row>
    <x:row r="548" ht="72" customHeight="1">
      <x:c r="A548" s="144" t="str">
        <x:v>Com-Signal</x:v>
      </x:c>
      <x:c r="B548" s="144" t="str">
        <x:v>COM-SIG-Tx-0406 / RRR_Obj04A_RCS</x:v>
      </x:c>
      <x:c r="C548" s="144" t="str">
        <x:v>PDU=RRR_Obj04A; startBit=252; length=12; byteOrder=Little; type=UINT16; factor=1（Com原始值）; offset=0（Com原始值）; min=按位宽/类型; max=按位宽/类型; unit=-; receivers=-</x:v>
      </x:c>
      <x:c r="D54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48" s="144" t="str">
        <x:v>M2</x:v>
      </x:c>
      <x:c r="F548" s="144" t="str">
        <x:v>Signal 级可编辑配置、数据类型/缩放/端序合同、RTE 接口、边界值与 round-trip 测试。</x:v>
      </x:c>
      <x:c r="G548" s="144" t="str">
        <x:v>raw=0、raw=max、物理 min/max、越界/保留值、端序字节向量、pack→unpack round-trip；1457/1457 通过。</x:v>
      </x:c>
      <x:c r="H548" s="144" t="str">
        <x:v>coem/BYD_UKE/gen_bsw/Com/Com_PBcfg.c:21573</x:v>
      </x:c>
    </x:row>
    <x:row r="549" ht="72" customHeight="1">
      <x:c r="A549" s="144" t="str">
        <x:v>Com-Signal</x:v>
      </x:c>
      <x:c r="B549" s="144" t="str">
        <x:v>COM-SIG-Tx-0407 / RRR_Obj04A_RefPosIndex</x:v>
      </x:c>
      <x:c r="C549" s="144" t="str">
        <x:v>PDU=RRR_Obj04A; startBit=224; length=4; byteOrder=Little; type=UINT8; factor=1; offset=0; min=0; max=15; unit=-; receivers=DASy</x:v>
      </x:c>
      <x:c r="D5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49" s="144" t="str">
        <x:v>M2</x:v>
      </x:c>
      <x:c r="F549" s="144" t="str">
        <x:v>Signal 级可编辑配置、数据类型/缩放/端序合同、RTE 接口、边界值与 round-trip 测试。</x:v>
      </x:c>
      <x:c r="G549" s="144" t="str">
        <x:v>raw=0、raw=max、物理 min/max、越界/保留值、端序字节向量、pack→unpack round-trip；1457/1457 通过。</x:v>
      </x:c>
      <x:c r="H549" s="144" t="str">
        <x:v>coem/BYD_UKE/gen_bsw/Com/Com_PBcfg.c:21626; BYD_5R1V_RadarRearcorner_V2.5_AllNodes.dbc:1111</x:v>
      </x:c>
    </x:row>
    <x:row r="550" ht="72" customHeight="1">
      <x:c r="A550" s="144" t="str">
        <x:v>Com-Signal</x:v>
      </x:c>
      <x:c r="B550" s="144" t="str">
        <x:v>COM-SIG-Tx-0408 / RRR_Obj04A_Valid</x:v>
      </x:c>
      <x:c r="C550" s="144" t="str">
        <x:v>PDU=RRR_Obj04A; startBit=70; length=1; byteOrder=Little; type=UINT8; factor=1; offset=0; min=0; max=1; unit=-; receivers=DASy</x:v>
      </x:c>
      <x:c r="D5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0" s="144" t="str">
        <x:v>M2</x:v>
      </x:c>
      <x:c r="F550" s="144" t="str">
        <x:v>Signal 级可编辑配置、数据类型/缩放/端序合同、RTE 接口、边界值与 round-trip 测试。</x:v>
      </x:c>
      <x:c r="G550" s="144" t="str">
        <x:v>raw=0、raw=max、物理 min/max、越界/保留值、端序字节向量、pack→unpack round-trip；1457/1457 通过。</x:v>
      </x:c>
      <x:c r="H550" s="144" t="str">
        <x:v>coem/BYD_UKE/gen_bsw/Com/Com_PBcfg.c:21679; BYD_5R1V_RadarRearcorner_V2.5_AllNodes.dbc:1112</x:v>
      </x:c>
    </x:row>
    <x:row r="551" ht="72" customHeight="1">
      <x:c r="A551" s="144" t="str">
        <x:v>Com-Signal</x:v>
      </x:c>
      <x:c r="B551" s="144" t="str">
        <x:v>COM-SIG-Tx-0409 / RRR_Obj04A_VxAxCoVnce</x:v>
      </x:c>
      <x:c r="C551" s="144" t="str">
        <x:v>PDU=RRR_Obj04A; startBit=324; length=12; byteOrder=Little; type=UINT16; factor=0.01; offset=0; min=0; max=30; unit=m^2/s^3; receivers=DASy</x:v>
      </x:c>
      <x:c r="D5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1" s="144" t="str">
        <x:v>M2</x:v>
      </x:c>
      <x:c r="F551" s="144" t="str">
        <x:v>Signal 级可编辑配置、数据类型/缩放/端序合同、RTE 接口、边界值与 round-trip 测试。</x:v>
      </x:c>
      <x:c r="G551" s="144" t="str">
        <x:v>raw=0、raw=max、物理 min/max、越界/保留值、端序字节向量、pack→unpack round-trip；1457/1457 通过。</x:v>
      </x:c>
      <x:c r="H551" s="144" t="str">
        <x:v>coem/BYD_UKE/gen_bsw/Com/Com_PBcfg.c:21732; BYD_5R1V_RadarRearcorner_V2.5_AllNodes.dbc:1140</x:v>
      </x:c>
    </x:row>
    <x:row r="552" ht="72" customHeight="1">
      <x:c r="A552" s="144" t="str">
        <x:v>Com-Signal</x:v>
      </x:c>
      <x:c r="B552" s="144" t="str">
        <x:v>COM-SIG-Tx-0410 / RRR_Obj04A_VxAyCoVnce</x:v>
      </x:c>
      <x:c r="C552" s="144" t="str">
        <x:v>PDU=RRR_Obj04A; startBit=372; length=12; byteOrder=Little; type=UINT16; factor=0.01; offset=0; min=0; max=30; unit=m^2/s^3; receivers=DASy</x:v>
      </x:c>
      <x:c r="D5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2" s="144" t="str">
        <x:v>M2</x:v>
      </x:c>
      <x:c r="F552" s="144" t="str">
        <x:v>Signal 级可编辑配置、数据类型/缩放/端序合同、RTE 接口、边界值与 round-trip 测试。</x:v>
      </x:c>
      <x:c r="G552" s="144" t="str">
        <x:v>raw=0、raw=max、物理 min/max、越界/保留值、端序字节向量、pack→unpack round-trip；1457/1457 通过。</x:v>
      </x:c>
      <x:c r="H552" s="144" t="str">
        <x:v>coem/BYD_UKE/gen_bsw/Com/Com_PBcfg.c:21785; BYD_5R1V_RadarRearcorner_V2.5_AllNodes.dbc:1144</x:v>
      </x:c>
    </x:row>
    <x:row r="553" ht="72" customHeight="1">
      <x:c r="A553" s="144" t="str">
        <x:v>Com-Signal</x:v>
      </x:c>
      <x:c r="B553" s="144" t="str">
        <x:v>COM-SIG-Tx-0411 / RRR_Obj04A_VxVnce</x:v>
      </x:c>
      <x:c r="C553" s="144" t="str">
        <x:v>PDU=RRR_Obj04A; startBit=176; length=12; byteOrder=Little; type=UINT16; factor=0.01; offset=0; min=0; max=30; unit=m^2/s^2; receivers=DASy</x:v>
      </x:c>
      <x:c r="D5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3" s="144" t="str">
        <x:v>M2</x:v>
      </x:c>
      <x:c r="F553" s="144" t="str">
        <x:v>Signal 级可编辑配置、数据类型/缩放/端序合同、RTE 接口、边界值与 round-trip 测试。</x:v>
      </x:c>
      <x:c r="G553" s="144" t="str">
        <x:v>raw=0、raw=max、物理 min/max、越界/保留值、端序字节向量、pack→unpack round-trip；1457/1457 通过。</x:v>
      </x:c>
      <x:c r="H553" s="144" t="str">
        <x:v>coem/BYD_UKE/gen_bsw/Com/Com_PBcfg.c:21838; BYD_5R1V_RadarRearcorner_V2.5_AllNodes.dbc:1128</x:v>
      </x:c>
    </x:row>
    <x:row r="554" ht="72" customHeight="1">
      <x:c r="A554" s="144" t="str">
        <x:v>Com-Signal</x:v>
      </x:c>
      <x:c r="B554" s="144" t="str">
        <x:v>COM-SIG-Tx-0412 / RRR_Obj04A_VxVyCoVnce</x:v>
      </x:c>
      <x:c r="C554" s="144" t="str">
        <x:v>PDU=RRR_Obj04A; startBit=288; length=12; byteOrder=Little; type=UINT16; factor=0.01; offset=0; min=0; max=30; unit=m^2/s^2; receivers=DASy</x:v>
      </x:c>
      <x:c r="D5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4" s="144" t="str">
        <x:v>M2</x:v>
      </x:c>
      <x:c r="F554" s="144" t="str">
        <x:v>Signal 级可编辑配置、数据类型/缩放/端序合同、RTE 接口、边界值与 round-trip 测试。</x:v>
      </x:c>
      <x:c r="G554" s="144" t="str">
        <x:v>raw=0、raw=max、物理 min/max、越界/保留值、端序字节向量、pack→unpack round-trip；1457/1457 通过。</x:v>
      </x:c>
      <x:c r="H554" s="144" t="str">
        <x:v>coem/BYD_UKE/gen_bsw/Com/Com_PBcfg.c:21891; BYD_5R1V_RadarRearcorner_V2.5_AllNodes.dbc:1137</x:v>
      </x:c>
    </x:row>
    <x:row r="555" ht="72" customHeight="1">
      <x:c r="A555" s="144" t="str">
        <x:v>Com-Signal</x:v>
      </x:c>
      <x:c r="B555" s="144" t="str">
        <x:v>COM-SIG-Tx-0413 / RRR_Obj04A_Vx</x:v>
      </x:c>
      <x:c r="C555" s="144" t="str">
        <x:v>PDU=RRR_Obj04A; startBit=71; length=12; byteOrder=Little; type=UINT16; factor=0.0625; offset=-128; min=-128; max=127.9375; unit=m/s; receivers=DASy</x:v>
      </x:c>
      <x:c r="D5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5" s="144" t="str">
        <x:v>M2</x:v>
      </x:c>
      <x:c r="F555" s="144" t="str">
        <x:v>Signal 级可编辑配置、数据类型/缩放/端序合同、RTE 接口、边界值与 round-trip 测试。</x:v>
      </x:c>
      <x:c r="G555" s="144" t="str">
        <x:v>raw=0、raw=max、物理 min/max、越界/保留值、端序字节向量、pack→unpack round-trip；1457/1457 通过。</x:v>
      </x:c>
      <x:c r="H555" s="144" t="str">
        <x:v>coem/BYD_UKE/gen_bsw/Com/Com_PBcfg.c:21944; BYD_5R1V_RadarRearcorner_V2.5_AllNodes.dbc:1117</x:v>
      </x:c>
    </x:row>
    <x:row r="556" ht="72" customHeight="1">
      <x:c r="A556" s="144" t="str">
        <x:v>Com-Signal</x:v>
      </x:c>
      <x:c r="B556" s="144" t="str">
        <x:v>COM-SIG-Tx-0414 / RRR_Obj04A_VyAxCoVnce</x:v>
      </x:c>
      <x:c r="C556" s="144" t="str">
        <x:v>PDU=RRR_Obj04A; startBit=336; length=12; byteOrder=Little; type=UINT16; factor=0.01; offset=0; min=0; max=30; unit=m^2/s^3; receivers=DASy</x:v>
      </x:c>
      <x:c r="D5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6" s="144" t="str">
        <x:v>M2</x:v>
      </x:c>
      <x:c r="F556" s="144" t="str">
        <x:v>Signal 级可编辑配置、数据类型/缩放/端序合同、RTE 接口、边界值与 round-trip 测试。</x:v>
      </x:c>
      <x:c r="G556" s="144" t="str">
        <x:v>raw=0、raw=max、物理 min/max、越界/保留值、端序字节向量、pack→unpack round-trip；1457/1457 通过。</x:v>
      </x:c>
      <x:c r="H556" s="144" t="str">
        <x:v>coem/BYD_UKE/gen_bsw/Com/Com_PBcfg.c:21997; BYD_5R1V_RadarRearcorner_V2.5_AllNodes.dbc:1141</x:v>
      </x:c>
    </x:row>
    <x:row r="557" ht="72" customHeight="1">
      <x:c r="A557" s="144" t="str">
        <x:v>Com-Signal</x:v>
      </x:c>
      <x:c r="B557" s="144" t="str">
        <x:v>COM-SIG-Tx-0415 / RRR_Obj04A_VyAyCoVnce</x:v>
      </x:c>
      <x:c r="C557" s="144" t="str">
        <x:v>PDU=RRR_Obj04A; startBit=384; length=12; byteOrder=Little; type=UINT16; factor=0.01; offset=0; min=0; max=30; unit=m^2/s^3; receivers=DASy</x:v>
      </x:c>
      <x:c r="D5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7" s="144" t="str">
        <x:v>M2</x:v>
      </x:c>
      <x:c r="F557" s="144" t="str">
        <x:v>Signal 级可编辑配置、数据类型/缩放/端序合同、RTE 接口、边界值与 round-trip 测试。</x:v>
      </x:c>
      <x:c r="G557" s="144" t="str">
        <x:v>raw=0、raw=max、物理 min/max、越界/保留值、端序字节向量、pack→unpack round-trip；1457/1457 通过。</x:v>
      </x:c>
      <x:c r="H557" s="144" t="str">
        <x:v>coem/BYD_UKE/gen_bsw/Com/Com_PBcfg.c:22050; BYD_5R1V_RadarRearcorner_V2.5_AllNodes.dbc:1145</x:v>
      </x:c>
    </x:row>
    <x:row r="558" ht="72" customHeight="1">
      <x:c r="A558" s="144" t="str">
        <x:v>Com-Signal</x:v>
      </x:c>
      <x:c r="B558" s="144" t="str">
        <x:v>COM-SIG-Tx-0416 / RRR_Obj04A_VyVnce</x:v>
      </x:c>
      <x:c r="C558" s="144" t="str">
        <x:v>PDU=RRR_Obj04A; startBit=188; length=12; byteOrder=Little; type=UINT16; factor=0.01; offset=0; min=0; max=30; unit=m^2/s^2; receivers=DASy</x:v>
      </x:c>
      <x:c r="D5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8" s="144" t="str">
        <x:v>M2</x:v>
      </x:c>
      <x:c r="F558" s="144" t="str">
        <x:v>Signal 级可编辑配置、数据类型/缩放/端序合同、RTE 接口、边界值与 round-trip 测试。</x:v>
      </x:c>
      <x:c r="G558" s="144" t="str">
        <x:v>raw=0、raw=max、物理 min/max、越界/保留值、端序字节向量、pack→unpack round-trip；1457/1457 通过。</x:v>
      </x:c>
      <x:c r="H558" s="144" t="str">
        <x:v>coem/BYD_UKE/gen_bsw/Com/Com_PBcfg.c:22103; BYD_5R1V_RadarRearcorner_V2.5_AllNodes.dbc:1129</x:v>
      </x:c>
    </x:row>
    <x:row r="559" ht="72" customHeight="1">
      <x:c r="A559" s="144" t="str">
        <x:v>Com-Signal</x:v>
      </x:c>
      <x:c r="B559" s="144" t="str">
        <x:v>COM-SIG-Tx-0417 / RRR_Obj04A_Vy</x:v>
      </x:c>
      <x:c r="C559" s="144" t="str">
        <x:v>PDU=RRR_Obj04A; startBit=83; length=10; byteOrder=Little; type=UINT16; factor=0.125; offset=-64; min=-64; max=63.875; unit=m/s; receivers=DASy</x:v>
      </x:c>
      <x:c r="D5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59" s="144" t="str">
        <x:v>M2</x:v>
      </x:c>
      <x:c r="F559" s="144" t="str">
        <x:v>Signal 级可编辑配置、数据类型/缩放/端序合同、RTE 接口、边界值与 round-trip 测试。</x:v>
      </x:c>
      <x:c r="G559" s="144" t="str">
        <x:v>raw=0、raw=max、物理 min/max、越界/保留值、端序字节向量、pack→unpack round-trip；1457/1457 通过。</x:v>
      </x:c>
      <x:c r="H559" s="144" t="str">
        <x:v>coem/BYD_UKE/gen_bsw/Com/Com_PBcfg.c:22156; BYD_5R1V_RadarRearcorner_V2.5_AllNodes.dbc:1118</x:v>
      </x:c>
    </x:row>
    <x:row r="560" ht="72" customHeight="1">
      <x:c r="A560" s="144" t="str">
        <x:v>Com-Signal</x:v>
      </x:c>
      <x:c r="B560" s="144" t="str">
        <x:v>COM-SIG-Tx-0418 / RRR_Obj04A_WidthVnce</x:v>
      </x:c>
      <x:c r="C560" s="144" t="str">
        <x:v>PDU=RRR_Obj04A; startBit=432; length=12; byteOrder=Little; type=UINT16; factor=0.01; offset=0; min=0; max=30; unit=m^2; receivers=DASy</x:v>
      </x:c>
      <x:c r="D5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0" s="144" t="str">
        <x:v>M2</x:v>
      </x:c>
      <x:c r="F560" s="144" t="str">
        <x:v>Signal 级可编辑配置、数据类型/缩放/端序合同、RTE 接口、边界值与 round-trip 测试。</x:v>
      </x:c>
      <x:c r="G560" s="144" t="str">
        <x:v>raw=0、raw=max、物理 min/max、越界/保留值、端序字节向量、pack→unpack round-trip；1457/1457 通过。</x:v>
      </x:c>
      <x:c r="H560" s="144" t="str">
        <x:v>coem/BYD_UKE/gen_bsw/Com/Com_PBcfg.c:22209; BYD_5R1V_RadarRearcorner_V2.5_AllNodes.dbc:1149</x:v>
      </x:c>
    </x:row>
    <x:row r="561" ht="72" customHeight="1">
      <x:c r="A561" s="144" t="str">
        <x:v>Com-Signal</x:v>
      </x:c>
      <x:c r="B561" s="144" t="str">
        <x:v>COM-SIG-Tx-0419 / RRR_Obj04A_Width</x:v>
      </x:c>
      <x:c r="C561" s="144" t="str">
        <x:v>PDU=RRR_Obj04A; startBit=128; length=7; byteOrder=Little; type=UINT8; factor=0.125; offset=0; min=0; max=15.875; unit=m; receivers=DASy</x:v>
      </x:c>
      <x:c r="D5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1" s="144" t="str">
        <x:v>M2</x:v>
      </x:c>
      <x:c r="F561" s="144" t="str">
        <x:v>Signal 级可编辑配置、数据类型/缩放/端序合同、RTE 接口、边界值与 round-trip 测试。</x:v>
      </x:c>
      <x:c r="G561" s="144" t="str">
        <x:v>raw=0、raw=max、物理 min/max、越界/保留值、端序字节向量、pack→unpack round-trip；1457/1457 通过。</x:v>
      </x:c>
      <x:c r="H561" s="144" t="str">
        <x:v>coem/BYD_UKE/gen_bsw/Com/Com_PBcfg.c:22262; BYD_5R1V_RadarRearcorner_V2.5_AllNodes.dbc:1123</x:v>
      </x:c>
    </x:row>
    <x:row r="562" ht="72" customHeight="1">
      <x:c r="A562" s="144" t="str">
        <x:v>Com-Signal</x:v>
      </x:c>
      <x:c r="B562" s="144" t="str">
        <x:v>COM-SIG-Tx-0420 / RRR_Obj04A_Type</x:v>
      </x:c>
      <x:c r="C562" s="144" t="str">
        <x:v>PDU=RRR_Obj04B; startBit=82; length=6; byteOrder=Little; type=UINT8; factor=1（Com原始值）; offset=0（Com原始值）; min=按位宽/类型; max=按位宽/类型; unit=-; receivers=-</x:v>
      </x:c>
      <x:c r="D56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62" s="144" t="str">
        <x:v>M2</x:v>
      </x:c>
      <x:c r="F562" s="144" t="str">
        <x:v>Signal 级可编辑配置、数据类型/缩放/端序合同、RTE 接口、边界值与 round-trip 测试。</x:v>
      </x:c>
      <x:c r="G562" s="144" t="str">
        <x:v>raw=0、raw=max、物理 min/max、越界/保留值、端序字节向量、pack→unpack round-trip；1457/1457 通过。</x:v>
      </x:c>
      <x:c r="H562" s="144" t="str">
        <x:v>coem/BYD_UKE/gen_bsw/Com/Com_PBcfg.c:22315</x:v>
      </x:c>
    </x:row>
    <x:row r="563" ht="72" customHeight="1">
      <x:c r="A563" s="144" t="str">
        <x:v>Com-Signal</x:v>
      </x:c>
      <x:c r="B563" s="144" t="str">
        <x:v>COM-SIG-Tx-0421 / RRR_Obj04B_AliveCtr</x:v>
      </x:c>
      <x:c r="C563" s="144" t="str">
        <x:v>PDU=RRR_Obj04B; startBit=16; length=8; byteOrder=Little; type=UINT8; factor=1; offset=0; min=0; max=255; unit=-; receivers=DASy</x:v>
      </x:c>
      <x:c r="D5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3" s="144" t="str">
        <x:v>M2</x:v>
      </x:c>
      <x:c r="F563" s="144" t="str">
        <x:v>Signal 级可编辑配置、数据类型/缩放/端序合同、RTE 接口、边界值与 round-trip 测试。</x:v>
      </x:c>
      <x:c r="G563" s="144" t="str">
        <x:v>raw=0、raw=max、物理 min/max、越界/保留值、端序字节向量、pack→unpack round-trip；1457/1457 通过。</x:v>
      </x:c>
      <x:c r="H563" s="144" t="str">
        <x:v>coem/BYD_UKE/gen_bsw/Com/Com_PBcfg.c:22368; BYD_5R1V_RadarRearcorner_V2.5_AllNodes.dbc:1161</x:v>
      </x:c>
    </x:row>
    <x:row r="564" ht="72" customHeight="1">
      <x:c r="A564" s="144" t="str">
        <x:v>Com-Signal</x:v>
      </x:c>
      <x:c r="B564" s="144" t="str">
        <x:v>COM-SIG-Tx-0422 / RRR_Obj04B_BehaviorType</x:v>
      </x:c>
      <x:c r="C564" s="144" t="str">
        <x:v>PDU=RRR_Obj04B; startBit=88; length=3; byteOrder=Little; type=UINT8; factor=1; offset=0; min=0; max=7; unit=-; receivers=DASy</x:v>
      </x:c>
      <x:c r="D5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4" s="144" t="str">
        <x:v>M2</x:v>
      </x:c>
      <x:c r="F564" s="144" t="str">
        <x:v>Signal 级可编辑配置、数据类型/缩放/端序合同、RTE 接口、边界值与 round-trip 测试。</x:v>
      </x:c>
      <x:c r="G564" s="144" t="str">
        <x:v>raw=0、raw=max、物理 min/max、越界/保留值、端序字节向量、pack→unpack round-trip；1457/1457 通过。</x:v>
      </x:c>
      <x:c r="H564" s="144" t="str">
        <x:v>coem/BYD_UKE/gen_bsw/Com/Com_PBcfg.c:22421; BYD_5R1V_RadarRearcorner_V2.5_AllNodes.dbc:1169</x:v>
      </x:c>
    </x:row>
    <x:row r="565" ht="72" customHeight="1">
      <x:c r="A565" s="144" t="str">
        <x:v>Com-Signal</x:v>
      </x:c>
      <x:c r="B565" s="144" t="str">
        <x:v>COM-SIG-Tx-0423 / RRR_Obj04B_CRC</x:v>
      </x:c>
      <x:c r="C565" s="144" t="str">
        <x:v>PDU=RRR_Obj04B; startBit=0; length=16; byteOrder=Little; type=UINT16; factor=1; offset=0; min=0; max=65535; unit=-; receivers=DASy</x:v>
      </x:c>
      <x:c r="D5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5" s="144" t="str">
        <x:v>M2</x:v>
      </x:c>
      <x:c r="F565" s="144" t="str">
        <x:v>Signal 级可编辑配置、数据类型/缩放/端序合同、RTE 接口、边界值与 round-trip 测试。</x:v>
      </x:c>
      <x:c r="G565" s="144" t="str">
        <x:v>raw=0、raw=max、物理 min/max、越界/保留值、端序字节向量、pack→unpack round-trip；1457/1457 通过。</x:v>
      </x:c>
      <x:c r="H565" s="144" t="str">
        <x:v>coem/BYD_UKE/gen_bsw/Com/Com_PBcfg.c:22474; BYD_5R1V_RadarRearcorner_V2.5_AllNodes.dbc:1160</x:v>
      </x:c>
    </x:row>
    <x:row r="566" ht="72" customHeight="1">
      <x:c r="A566" s="144" t="str">
        <x:v>Com-Signal</x:v>
      </x:c>
      <x:c r="B566" s="144" t="str">
        <x:v>COM-SIG-Tx-0424 / RRR_Obj04B_MovingProbability</x:v>
      </x:c>
      <x:c r="C566" s="144" t="str">
        <x:v>PDU=RRR_Obj04B; startBit=76; length=6; byteOrder=Little; type=UINT8; factor=2; offset=0; min=0; max=100; unit=%; receivers=DASy</x:v>
      </x:c>
      <x:c r="D5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6" s="144" t="str">
        <x:v>M2</x:v>
      </x:c>
      <x:c r="F566" s="144" t="str">
        <x:v>Signal 级可编辑配置、数据类型/缩放/端序合同、RTE 接口、边界值与 round-trip 测试。</x:v>
      </x:c>
      <x:c r="G566" s="144" t="str">
        <x:v>raw=0、raw=max、物理 min/max、越界/保留值、端序字节向量、pack→unpack round-trip；1457/1457 通过。</x:v>
      </x:c>
      <x:c r="H566" s="144" t="str">
        <x:v>coem/BYD_UKE/gen_bsw/Com/Com_PBcfg.c:22527; BYD_5R1V_RadarRearcorner_V2.5_AllNodes.dbc:1157</x:v>
      </x:c>
    </x:row>
    <x:row r="567" ht="72" customHeight="1">
      <x:c r="A567" s="144" t="str">
        <x:v>Com-Signal</x:v>
      </x:c>
      <x:c r="B567" s="144" t="str">
        <x:v>COM-SIG-Tx-0425 / RRR_Obj04B_Prob4PlusWhlCAR</x:v>
      </x:c>
      <x:c r="C567" s="144" t="str">
        <x:v>PDU=RRR_Obj04B; startBit=46; length=6; byteOrder=Little; type=UINT8; factor=2; offset=0; min=0; max=100; unit=%; receivers=DASy</x:v>
      </x:c>
      <x:c r="D5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7" s="144" t="str">
        <x:v>M2</x:v>
      </x:c>
      <x:c r="F567" s="144" t="str">
        <x:v>Signal 级可编辑配置、数据类型/缩放/端序合同、RTE 接口、边界值与 round-trip 测试。</x:v>
      </x:c>
      <x:c r="G567" s="144" t="str">
        <x:v>raw=0、raw=max、物理 min/max、越界/保留值、端序字节向量、pack→unpack round-trip；1457/1457 通过。</x:v>
      </x:c>
      <x:c r="H567" s="144" t="str">
        <x:v>coem/BYD_UKE/gen_bsw/Com/Com_PBcfg.c:22580; BYD_5R1V_RadarRearcorner_V2.5_AllNodes.dbc:1166</x:v>
      </x:c>
    </x:row>
    <x:row r="568" ht="72" customHeight="1">
      <x:c r="A568" s="144" t="str">
        <x:v>Com-Signal</x:v>
      </x:c>
      <x:c r="B568" s="144" t="str">
        <x:v>COM-SIG-Tx-0426 / RRR_Obj04B_Prob4PlusWhlbHGV</x:v>
      </x:c>
      <x:c r="C568" s="144" t="str">
        <x:v>PDU=RRR_Obj04B; startBit=52; length=6; byteOrder=Little; type=UINT8; factor=2; offset=0; min=0; max=100; unit=%; receivers=DASy</x:v>
      </x:c>
      <x:c r="D5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8" s="144" t="str">
        <x:v>M2</x:v>
      </x:c>
      <x:c r="F568" s="144" t="str">
        <x:v>Signal 级可编辑配置、数据类型/缩放/端序合同、RTE 接口、边界值与 round-trip 测试。</x:v>
      </x:c>
      <x:c r="G568" s="144" t="str">
        <x:v>raw=0、raw=max、物理 min/max、越界/保留值、端序字节向量、pack→unpack round-trip；1457/1457 通过。</x:v>
      </x:c>
      <x:c r="H568" s="144" t="str">
        <x:v>coem/BYD_UKE/gen_bsw/Com/Com_PBcfg.c:22633; BYD_5R1V_RadarRearcorner_V2.5_AllNodes.dbc:1167</x:v>
      </x:c>
    </x:row>
    <x:row r="569" ht="72" customHeight="1">
      <x:c r="A569" s="144" t="str">
        <x:v>Com-Signal</x:v>
      </x:c>
      <x:c r="B569" s="144" t="str">
        <x:v>COM-SIG-Tx-0427 / RRR_Obj04B_ProbGNDReflex</x:v>
      </x:c>
      <x:c r="C569" s="144" t="str">
        <x:v>PDU=RRR_Obj04B; startBit=58; length=6; byteOrder=Little; type=UINT8; factor=2; offset=0; min=0; max=100; unit=%; receivers=DASy</x:v>
      </x:c>
      <x:c r="D5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69" s="144" t="str">
        <x:v>M2</x:v>
      </x:c>
      <x:c r="F569" s="144" t="str">
        <x:v>Signal 级可编辑配置、数据类型/缩放/端序合同、RTE 接口、边界值与 round-trip 测试。</x:v>
      </x:c>
      <x:c r="G569" s="144" t="str">
        <x:v>raw=0、raw=max、物理 min/max、越界/保留值、端序字节向量、pack→unpack round-trip；1457/1457 通过。</x:v>
      </x:c>
      <x:c r="H569" s="144" t="str">
        <x:v>coem/BYD_UKE/gen_bsw/Com/Com_PBcfg.c:22686; BYD_5R1V_RadarRearcorner_V2.5_AllNodes.dbc:1168</x:v>
      </x:c>
    </x:row>
    <x:row r="570" ht="72" customHeight="1">
      <x:c r="A570" s="144" t="str">
        <x:v>Com-Signal</x:v>
      </x:c>
      <x:c r="B570" s="144" t="str">
        <x:v>COM-SIG-Tx-0428 / RRR_Obj04B_ProbMob2Whl</x:v>
      </x:c>
      <x:c r="C570" s="144" t="str">
        <x:v>PDU=RRR_Obj04B; startBit=34; length=6; byteOrder=Little; type=UINT8; factor=2; offset=0; min=0; max=100; unit=%; receivers=DASy</x:v>
      </x:c>
      <x:c r="D5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0" s="144" t="str">
        <x:v>M2</x:v>
      </x:c>
      <x:c r="F570" s="144" t="str">
        <x:v>Signal 级可编辑配置、数据类型/缩放/端序合同、RTE 接口、边界值与 round-trip 测试。</x:v>
      </x:c>
      <x:c r="G570" s="144" t="str">
        <x:v>raw=0、raw=max、物理 min/max、越界/保留值、端序字节向量、pack→unpack round-trip；1457/1457 通过。</x:v>
      </x:c>
      <x:c r="H570" s="144" t="str">
        <x:v>coem/BYD_UKE/gen_bsw/Com/Com_PBcfg.c:22739; BYD_5R1V_RadarRearcorner_V2.5_AllNodes.dbc:1164</x:v>
      </x:c>
    </x:row>
    <x:row r="571" ht="72" customHeight="1">
      <x:c r="A571" s="144" t="str">
        <x:v>Com-Signal</x:v>
      </x:c>
      <x:c r="B571" s="144" t="str">
        <x:v>COM-SIG-Tx-0429 / RRR_Obj04B_ProbMob4PlusWhl</x:v>
      </x:c>
      <x:c r="C571" s="144" t="str">
        <x:v>PDU=RRR_Obj04B; startBit=28; length=6; byteOrder=Little; type=UINT8; factor=2; offset=0; min=0; max=100; unit=%; receivers=DASy</x:v>
      </x:c>
      <x:c r="D5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1" s="144" t="str">
        <x:v>M2</x:v>
      </x:c>
      <x:c r="F571" s="144" t="str">
        <x:v>Signal 级可编辑配置、数据类型/缩放/端序合同、RTE 接口、边界值与 round-trip 测试。</x:v>
      </x:c>
      <x:c r="G571" s="144" t="str">
        <x:v>raw=0、raw=max、物理 min/max、越界/保留值、端序字节向量、pack→unpack round-trip；1457/1457 通过。</x:v>
      </x:c>
      <x:c r="H571" s="144" t="str">
        <x:v>coem/BYD_UKE/gen_bsw/Com/Com_PBcfg.c:22792; BYD_5R1V_RadarRearcorner_V2.5_AllNodes.dbc:1163</x:v>
      </x:c>
    </x:row>
    <x:row r="572" ht="72" customHeight="1">
      <x:c r="A572" s="144" t="str">
        <x:v>Com-Signal</x:v>
      </x:c>
      <x:c r="B572" s="144" t="str">
        <x:v>COM-SIG-Tx-0430 / RRR_Obj04B_ProbMobPed</x:v>
      </x:c>
      <x:c r="C572" s="144" t="str">
        <x:v>PDU=RRR_Obj04B; startBit=40; length=6; byteOrder=Little; type=UINT8; factor=2; offset=0; min=0; max=100; unit=%; receivers=DASy</x:v>
      </x:c>
      <x:c r="D5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2" s="144" t="str">
        <x:v>M2</x:v>
      </x:c>
      <x:c r="F572" s="144" t="str">
        <x:v>Signal 级可编辑配置、数据类型/缩放/端序合同、RTE 接口、边界值与 round-trip 测试。</x:v>
      </x:c>
      <x:c r="G572" s="144" t="str">
        <x:v>raw=0、raw=max、物理 min/max、越界/保留值、端序字节向量、pack→unpack round-trip；1457/1457 通过。</x:v>
      </x:c>
      <x:c r="H572" s="144" t="str">
        <x:v>coem/BYD_UKE/gen_bsw/Com/Com_PBcfg.c:22845; BYD_5R1V_RadarRearcorner_V2.5_AllNodes.dbc:1165</x:v>
      </x:c>
    </x:row>
    <x:row r="573" ht="72" customHeight="1">
      <x:c r="A573" s="144" t="str">
        <x:v>Com-Signal</x:v>
      </x:c>
      <x:c r="B573" s="144" t="str">
        <x:v>COM-SIG-Tx-0431 / RRR_Obj04B_ProbStatBarrier</x:v>
      </x:c>
      <x:c r="C573" s="144" t="str">
        <x:v>PDU=RRR_Obj04B; startBit=64; length=6; byteOrder=Little; type=UINT8; factor=2; offset=0; min=0; max=100; unit=%; receivers=DASy</x:v>
      </x:c>
      <x:c r="D5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3" s="144" t="str">
        <x:v>M2</x:v>
      </x:c>
      <x:c r="F573" s="144" t="str">
        <x:v>Signal 级可编辑配置、数据类型/缩放/端序合同、RTE 接口、边界值与 round-trip 测试。</x:v>
      </x:c>
      <x:c r="G573" s="144" t="str">
        <x:v>raw=0、raw=max、物理 min/max、越界/保留值、端序字节向量、pack→unpack round-trip；1457/1457 通过。</x:v>
      </x:c>
      <x:c r="H573" s="144" t="str">
        <x:v>coem/BYD_UKE/gen_bsw/Com/Com_PBcfg.c:22898; BYD_5R1V_RadarRearcorner_V2.5_AllNodes.dbc:1159</x:v>
      </x:c>
    </x:row>
    <x:row r="574" ht="72" customHeight="1">
      <x:c r="A574" s="144" t="str">
        <x:v>Com-Signal</x:v>
      </x:c>
      <x:c r="B574" s="144" t="str">
        <x:v>COM-SIG-Tx-0432 / RRR_Obj04B_ProbStatObst</x:v>
      </x:c>
      <x:c r="C574" s="144" t="str">
        <x:v>PDU=RRR_Obj04B; startBit=70; length=6; byteOrder=Little; type=UINT8; factor=2; offset=0; min=0; max=100; unit=%; receivers=DASy</x:v>
      </x:c>
      <x:c r="D5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4" s="144" t="str">
        <x:v>M2</x:v>
      </x:c>
      <x:c r="F574" s="144" t="str">
        <x:v>Signal 级可编辑配置、数据类型/缩放/端序合同、RTE 接口、边界值与 round-trip 测试。</x:v>
      </x:c>
      <x:c r="G574" s="144" t="str">
        <x:v>raw=0、raw=max、物理 min/max、越界/保留值、端序字节向量、pack→unpack round-trip；1457/1457 通过。</x:v>
      </x:c>
      <x:c r="H574" s="144" t="str">
        <x:v>coem/BYD_UKE/gen_bsw/Com/Com_PBcfg.c:22951; BYD_5R1V_RadarRearcorner_V2.5_AllNodes.dbc:1158</x:v>
      </x:c>
    </x:row>
    <x:row r="575" ht="72" customHeight="1">
      <x:c r="A575" s="144" t="str">
        <x:v>Com-Signal</x:v>
      </x:c>
      <x:c r="B575" s="144" t="str">
        <x:v>COM-SIG-Tx-0433 / RRR_Obj04B_ProtBlockCtr</x:v>
      </x:c>
      <x:c r="C575" s="144" t="str">
        <x:v>PDU=RRR_Obj04B; startBit=24; length=4; byteOrder=Little; type=UINT8; factor=1; offset=0; min=0; max=15; unit=-; receivers=DASy</x:v>
      </x:c>
      <x:c r="D5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5" s="144" t="str">
        <x:v>M2</x:v>
      </x:c>
      <x:c r="F575" s="144" t="str">
        <x:v>Signal 级可编辑配置、数据类型/缩放/端序合同、RTE 接口、边界值与 round-trip 测试。</x:v>
      </x:c>
      <x:c r="G575" s="144" t="str">
        <x:v>raw=0、raw=max、物理 min/max、越界/保留值、端序字节向量、pack→unpack round-trip；1457/1457 通过。</x:v>
      </x:c>
      <x:c r="H575" s="144" t="str">
        <x:v>coem/BYD_UKE/gen_bsw/Com/Com_PBcfg.c:23004; BYD_5R1V_RadarRearcorner_V2.5_AllNodes.dbc:1162</x:v>
      </x:c>
    </x:row>
    <x:row r="576" ht="72" customHeight="1">
      <x:c r="A576" s="144" t="str">
        <x:v>Com-Signal</x:v>
      </x:c>
      <x:c r="B576" s="144" t="str">
        <x:v>COM-SIG-Tx-0434 / RRR_Obj05A_Age</x:v>
      </x:c>
      <x:c r="C576" s="144" t="str">
        <x:v>PDU=RRR_Obj05A; startBit=228; length=12; byteOrder=Little; type=UINT16; factor=1（Com原始值）; offset=0（Com原始值）; min=按位宽/类型; max=按位宽/类型; unit=-; receivers=-</x:v>
      </x:c>
      <x:c r="D57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76" s="144" t="str">
        <x:v>M2</x:v>
      </x:c>
      <x:c r="F576" s="144" t="str">
        <x:v>Signal 级可编辑配置、数据类型/缩放/端序合同、RTE 接口、边界值与 round-trip 测试。</x:v>
      </x:c>
      <x:c r="G576" s="144" t="str">
        <x:v>raw=0、raw=max、物理 min/max、越界/保留值、端序字节向量、pack→unpack round-trip；1457/1457 通过。</x:v>
      </x:c>
      <x:c r="H576" s="144" t="str">
        <x:v>coem/BYD_UKE/gen_bsw/Com/Com_PBcfg.c:23057</x:v>
      </x:c>
    </x:row>
    <x:row r="577" ht="72" customHeight="1">
      <x:c r="A577" s="144" t="str">
        <x:v>Com-Signal</x:v>
      </x:c>
      <x:c r="B577" s="144" t="str">
        <x:v>COM-SIG-Tx-0435 / RRR_Obj05A_AliveCtr</x:v>
      </x:c>
      <x:c r="C577" s="144" t="str">
        <x:v>PDU=RRR_Obj05A; startBit=16; length=8; byteOrder=Little; type=UINT8; factor=1; offset=0; min=0; max=255; unit=-; receivers=DASy</x:v>
      </x:c>
      <x:c r="D5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7" s="144" t="str">
        <x:v>M2</x:v>
      </x:c>
      <x:c r="F577" s="144" t="str">
        <x:v>Signal 级可编辑配置、数据类型/缩放/端序合同、RTE 接口、边界值与 round-trip 测试。</x:v>
      </x:c>
      <x:c r="G577" s="144" t="str">
        <x:v>raw=0、raw=max、物理 min/max、越界/保留值、端序字节向量、pack→unpack round-trip；1457/1457 通过。</x:v>
      </x:c>
      <x:c r="H577" s="144" t="str">
        <x:v>coem/BYD_UKE/gen_bsw/Com/Com_PBcfg.c:23110; BYD_5R1V_RadarRearcorner_V2.5_AllNodes.dbc:1174</x:v>
      </x:c>
    </x:row>
    <x:row r="578" ht="72" customHeight="1">
      <x:c r="A578" s="144" t="str">
        <x:v>Com-Signal</x:v>
      </x:c>
      <x:c r="B578" s="144" t="str">
        <x:v>COM-SIG-Tx-0436 / RRR_Obj05A_AxAyCoVnce</x:v>
      </x:c>
      <x:c r="C578" s="144" t="str">
        <x:v>PDU=RRR_Obj05A; startBit=396; length=12; byteOrder=Little; type=UINT16; factor=0.01; offset=0; min=0; max=30; unit=m^2/s^4; receivers=DASy</x:v>
      </x:c>
      <x:c r="D5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8" s="144" t="str">
        <x:v>M2</x:v>
      </x:c>
      <x:c r="F578" s="144" t="str">
        <x:v>Signal 级可编辑配置、数据类型/缩放/端序合同、RTE 接口、边界值与 round-trip 测试。</x:v>
      </x:c>
      <x:c r="G578" s="144" t="str">
        <x:v>raw=0、raw=max、物理 min/max、越界/保留值、端序字节向量、pack→unpack round-trip；1457/1457 通过。</x:v>
      </x:c>
      <x:c r="H578" s="144" t="str">
        <x:v>coem/BYD_UKE/gen_bsw/Com/Com_PBcfg.c:23163; BYD_5R1V_RadarRearcorner_V2.5_AllNodes.dbc:1212</x:v>
      </x:c>
    </x:row>
    <x:row r="579" ht="72" customHeight="1">
      <x:c r="A579" s="144" t="str">
        <x:v>Com-Signal</x:v>
      </x:c>
      <x:c r="B579" s="144" t="str">
        <x:v>COM-SIG-Tx-0437 / RRR_Obj05A_AxVnce</x:v>
      </x:c>
      <x:c r="C579" s="144" t="str">
        <x:v>PDU=RRR_Obj05A; startBit=200; length=12; byteOrder=Little; type=UINT16; factor=0.01; offset=0; min=0; max=30; unit=m^2/s^4; receivers=DASy</x:v>
      </x:c>
      <x:c r="D5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79" s="144" t="str">
        <x:v>M2</x:v>
      </x:c>
      <x:c r="F579" s="144" t="str">
        <x:v>Signal 级可编辑配置、数据类型/缩放/端序合同、RTE 接口、边界值与 round-trip 测试。</x:v>
      </x:c>
      <x:c r="G579" s="144" t="str">
        <x:v>raw=0、raw=max、物理 min/max、越界/保留值、端序字节向量、pack→unpack round-trip；1457/1457 通过。</x:v>
      </x:c>
      <x:c r="H579" s="144" t="str">
        <x:v>coem/BYD_UKE/gen_bsw/Com/Com_PBcfg.c:23216; BYD_5R1V_RadarRearcorner_V2.5_AllNodes.dbc:1196</x:v>
      </x:c>
    </x:row>
    <x:row r="580" ht="72" customHeight="1">
      <x:c r="A580" s="144" t="str">
        <x:v>Com-Signal</x:v>
      </x:c>
      <x:c r="B580" s="144" t="str">
        <x:v>COM-SIG-Tx-0438 / RRR_Obj05A_Ax</x:v>
      </x:c>
      <x:c r="C580" s="144" t="str">
        <x:v>PDU=RRR_Obj05A; startBit=93; length=10; byteOrder=Little; type=UINT16; factor=0.03125; offset=-16; min=-16; max=15.96875; unit=m/s^2; receivers=DASy</x:v>
      </x:c>
      <x:c r="D5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0" s="144" t="str">
        <x:v>M2</x:v>
      </x:c>
      <x:c r="F580" s="144" t="str">
        <x:v>Signal 级可编辑配置、数据类型/缩放/端序合同、RTE 接口、边界值与 round-trip 测试。</x:v>
      </x:c>
      <x:c r="G580" s="144" t="str">
        <x:v>raw=0、raw=max、物理 min/max、越界/保留值、端序字节向量、pack→unpack round-trip；1457/1457 通过。</x:v>
      </x:c>
      <x:c r="H580" s="144" t="str">
        <x:v>coem/BYD_UKE/gen_bsw/Com/Com_PBcfg.c:23269; BYD_5R1V_RadarRearcorner_V2.5_AllNodes.dbc:1185</x:v>
      </x:c>
    </x:row>
    <x:row r="581" ht="72" customHeight="1">
      <x:c r="A581" s="144" t="str">
        <x:v>Com-Signal</x:v>
      </x:c>
      <x:c r="B581" s="144" t="str">
        <x:v>COM-SIG-Tx-0439 / RRR_Obj05A_AyVnce</x:v>
      </x:c>
      <x:c r="C581" s="144" t="str">
        <x:v>PDU=RRR_Obj05A; startBit=212; length=12; byteOrder=Little; type=UINT16; factor=0.01; offset=0; min=0; max=30; unit=m^2/s^4; receivers=DASy</x:v>
      </x:c>
      <x:c r="D5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1" s="144" t="str">
        <x:v>M2</x:v>
      </x:c>
      <x:c r="F581" s="144" t="str">
        <x:v>Signal 级可编辑配置、数据类型/缩放/端序合同、RTE 接口、边界值与 round-trip 测试。</x:v>
      </x:c>
      <x:c r="G581" s="144" t="str">
        <x:v>raw=0、raw=max、物理 min/max、越界/保留值、端序字节向量、pack→unpack round-trip；1457/1457 通过。</x:v>
      </x:c>
      <x:c r="H581" s="144" t="str">
        <x:v>coem/BYD_UKE/gen_bsw/Com/Com_PBcfg.c:23322; BYD_5R1V_RadarRearcorner_V2.5_AllNodes.dbc:1197</x:v>
      </x:c>
    </x:row>
    <x:row r="582" ht="72" customHeight="1">
      <x:c r="A582" s="144" t="str">
        <x:v>Com-Signal</x:v>
      </x:c>
      <x:c r="B582" s="144" t="str">
        <x:v>COM-SIG-Tx-0440 / RRR_Obj05A_Ay</x:v>
      </x:c>
      <x:c r="C582" s="144" t="str">
        <x:v>PDU=RRR_Obj05A; startBit=103; length=9; byteOrder=Little; type=UINT16; factor=0.0625; offset=-16; min=-16; max=15.9375; unit=m/s^2; receivers=DASy</x:v>
      </x:c>
      <x:c r="D5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2" s="144" t="str">
        <x:v>M2</x:v>
      </x:c>
      <x:c r="F582" s="144" t="str">
        <x:v>Signal 级可编辑配置、数据类型/缩放/端序合同、RTE 接口、边界值与 round-trip 测试。</x:v>
      </x:c>
      <x:c r="G582" s="144" t="str">
        <x:v>raw=0、raw=max、物理 min/max、越界/保留值、端序字节向量、pack→unpack round-trip；1457/1457 通过。</x:v>
      </x:c>
      <x:c r="H582" s="144" t="str">
        <x:v>coem/BYD_UKE/gen_bsw/Com/Com_PBcfg.c:23375; BYD_5R1V_RadarRearcorner_V2.5_AllNodes.dbc:1186</x:v>
      </x:c>
    </x:row>
    <x:row r="583" ht="72" customHeight="1">
      <x:c r="A583" s="144" t="str">
        <x:v>Com-Signal</x:v>
      </x:c>
      <x:c r="B583" s="144" t="str">
        <x:v>COM-SIG-Tx-0441 / RRR_Obj05A_CRC</x:v>
      </x:c>
      <x:c r="C583" s="144" t="str">
        <x:v>PDU=RRR_Obj05A; startBit=0; length=16; byteOrder=Little; type=UINT16; factor=1; offset=0; min=0; max=65535; unit=-; receivers=DASy</x:v>
      </x:c>
      <x:c r="D5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3" s="144" t="str">
        <x:v>M2</x:v>
      </x:c>
      <x:c r="F583" s="144" t="str">
        <x:v>Signal 级可编辑配置、数据类型/缩放/端序合同、RTE 接口、边界值与 round-trip 测试。</x:v>
      </x:c>
      <x:c r="G583" s="144" t="str">
        <x:v>raw=0、raw=max、物理 min/max、越界/保留值、端序字节向量、pack→unpack round-trip；1457/1457 通过。</x:v>
      </x:c>
      <x:c r="H583" s="144" t="str">
        <x:v>coem/BYD_UKE/gen_bsw/Com/Com_PBcfg.c:23428; BYD_5R1V_RadarRearcorner_V2.5_AllNodes.dbc:1173</x:v>
      </x:c>
    </x:row>
    <x:row r="584" ht="72" customHeight="1">
      <x:c r="A584" s="144" t="str">
        <x:v>Com-Signal</x:v>
      </x:c>
      <x:c r="B584" s="144" t="str">
        <x:v>COM-SIG-Tx-0442 / RRR_Obj05A_DxAxCoVnce</x:v>
      </x:c>
      <x:c r="C584" s="144" t="str">
        <x:v>PDU=RRR_Obj05A; startBit=300; length=12; byteOrder=Little; type=UINT16; factor=0.01; offset=0; min=0; max=30; unit=m^2/s^2; receivers=DASy</x:v>
      </x:c>
      <x:c r="D5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4" s="144" t="str">
        <x:v>M2</x:v>
      </x:c>
      <x:c r="F584" s="144" t="str">
        <x:v>Signal 级可编辑配置、数据类型/缩放/端序合同、RTE 接口、边界值与 round-trip 测试。</x:v>
      </x:c>
      <x:c r="G584" s="144" t="str">
        <x:v>raw=0、raw=max、物理 min/max、越界/保留值、端序字节向量、pack→unpack round-trip；1457/1457 通过。</x:v>
      </x:c>
      <x:c r="H584" s="144" t="str">
        <x:v>coem/BYD_UKE/gen_bsw/Com/Com_PBcfg.c:23481; BYD_5R1V_RadarRearcorner_V2.5_AllNodes.dbc:1204</x:v>
      </x:c>
    </x:row>
    <x:row r="585" ht="72" customHeight="1">
      <x:c r="A585" s="144" t="str">
        <x:v>Com-Signal</x:v>
      </x:c>
      <x:c r="B585" s="144" t="str">
        <x:v>COM-SIG-Tx-0443 / RRR_Obj05A_DxAyCoVnce</x:v>
      </x:c>
      <x:c r="C585" s="144" t="str">
        <x:v>PDU=RRR_Obj05A; startBit=348; length=12; byteOrder=Little; type=UINT16; factor=0.01; offset=0; min=0; max=30; unit=m^2/s^2; receivers=DASy</x:v>
      </x:c>
      <x:c r="D5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5" s="144" t="str">
        <x:v>M2</x:v>
      </x:c>
      <x:c r="F585" s="144" t="str">
        <x:v>Signal 级可编辑配置、数据类型/缩放/端序合同、RTE 接口、边界值与 round-trip 测试。</x:v>
      </x:c>
      <x:c r="G585" s="144" t="str">
        <x:v>raw=0、raw=max、物理 min/max、越界/保留值、端序字节向量、pack→unpack round-trip；1457/1457 通过。</x:v>
      </x:c>
      <x:c r="H585" s="144" t="str">
        <x:v>coem/BYD_UKE/gen_bsw/Com/Com_PBcfg.c:23534; BYD_5R1V_RadarRearcorner_V2.5_AllNodes.dbc:1208</x:v>
      </x:c>
    </x:row>
    <x:row r="586" ht="72" customHeight="1">
      <x:c r="A586" s="144" t="str">
        <x:v>Com-Signal</x:v>
      </x:c>
      <x:c r="B586" s="144" t="str">
        <x:v>COM-SIG-Tx-0444 / RRR_Obj05A_DxVnce</x:v>
      </x:c>
      <x:c r="C586" s="144" t="str">
        <x:v>PDU=RRR_Obj05A; startBit=142; length=12; byteOrder=Little; type=UINT16; factor=0.01; offset=0; min=0; max=30; unit=m^2; receivers=DASy</x:v>
      </x:c>
      <x:c r="D5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6" s="144" t="str">
        <x:v>M2</x:v>
      </x:c>
      <x:c r="F586" s="144" t="str">
        <x:v>Signal 级可编辑配置、数据类型/缩放/端序合同、RTE 接口、边界值与 round-trip 测试。</x:v>
      </x:c>
      <x:c r="G586" s="144" t="str">
        <x:v>raw=0、raw=max、物理 min/max、越界/保留值、端序字节向量、pack→unpack round-trip；1457/1457 通过。</x:v>
      </x:c>
      <x:c r="H586" s="144" t="str">
        <x:v>coem/BYD_UKE/gen_bsw/Com/Com_PBcfg.c:23587; BYD_5R1V_RadarRearcorner_V2.5_AllNodes.dbc:1191</x:v>
      </x:c>
    </x:row>
    <x:row r="587" ht="72" customHeight="1">
      <x:c r="A587" s="144" t="str">
        <x:v>Com-Signal</x:v>
      </x:c>
      <x:c r="B587" s="144" t="str">
        <x:v>COM-SIG-Tx-0445 / RRR_Obj05A_Dx</x:v>
      </x:c>
      <x:c r="C587" s="144" t="str">
        <x:v>PDU=RRR_Obj05A; startBit=40; length=13; byteOrder=Little; type=UINT16; factor=0.0625; offset=-256; min=-256; max=255.9375; unit=m; receivers=DASy</x:v>
      </x:c>
      <x:c r="D5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7" s="144" t="str">
        <x:v>M2</x:v>
      </x:c>
      <x:c r="F587" s="144" t="str">
        <x:v>Signal 级可编辑配置、数据类型/缩放/端序合同、RTE 接口、边界值与 round-trip 测试。</x:v>
      </x:c>
      <x:c r="G587" s="144" t="str">
        <x:v>raw=0、raw=max、物理 min/max、越界/保留值、端序字节向量、pack→unpack round-trip；1457/1457 通过。</x:v>
      </x:c>
      <x:c r="H587" s="144" t="str">
        <x:v>coem/BYD_UKE/gen_bsw/Com/Com_PBcfg.c:23640; BYD_5R1V_RadarRearcorner_V2.5_AllNodes.dbc:1180</x:v>
      </x:c>
    </x:row>
    <x:row r="588" ht="72" customHeight="1">
      <x:c r="A588" s="144" t="str">
        <x:v>Com-Signal</x:v>
      </x:c>
      <x:c r="B588" s="144" t="str">
        <x:v>COM-SIG-Tx-0446 / RRR_Obj05A_DyAxCoVnce</x:v>
      </x:c>
      <x:c r="C588" s="144" t="str">
        <x:v>PDU=RRR_Obj05A; startBit=312; length=12; byteOrder=Little; type=UINT16; factor=0.01; offset=0; min=0; max=30; unit=m^2/s^2; receivers=DASy</x:v>
      </x:c>
      <x:c r="D5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8" s="144" t="str">
        <x:v>M2</x:v>
      </x:c>
      <x:c r="F588" s="144" t="str">
        <x:v>Signal 级可编辑配置、数据类型/缩放/端序合同、RTE 接口、边界值与 round-trip 测试。</x:v>
      </x:c>
      <x:c r="G588" s="144" t="str">
        <x:v>raw=0、raw=max、物理 min/max、越界/保留值、端序字节向量、pack→unpack round-trip；1457/1457 通过。</x:v>
      </x:c>
      <x:c r="H588" s="144" t="str">
        <x:v>coem/BYD_UKE/gen_bsw/Com/Com_PBcfg.c:23693; BYD_5R1V_RadarRearcorner_V2.5_AllNodes.dbc:1205</x:v>
      </x:c>
    </x:row>
    <x:row r="589" ht="72" customHeight="1">
      <x:c r="A589" s="144" t="str">
        <x:v>Com-Signal</x:v>
      </x:c>
      <x:c r="B589" s="144" t="str">
        <x:v>COM-SIG-Tx-0447 / RRR_Obj05A_DyAyCoVnce</x:v>
      </x:c>
      <x:c r="C589" s="144" t="str">
        <x:v>PDU=RRR_Obj05A; startBit=360; length=12; byteOrder=Little; type=UINT16; factor=0.01; offset=0; min=0; max=30; unit=m^2/s^2; receivers=DASy</x:v>
      </x:c>
      <x:c r="D5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89" s="144" t="str">
        <x:v>M2</x:v>
      </x:c>
      <x:c r="F589" s="144" t="str">
        <x:v>Signal 级可编辑配置、数据类型/缩放/端序合同、RTE 接口、边界值与 round-trip 测试。</x:v>
      </x:c>
      <x:c r="G589" s="144" t="str">
        <x:v>raw=0、raw=max、物理 min/max、越界/保留值、端序字节向量、pack→unpack round-trip；1457/1457 通过。</x:v>
      </x:c>
      <x:c r="H589" s="144" t="str">
        <x:v>coem/BYD_UKE/gen_bsw/Com/Com_PBcfg.c:23746; BYD_5R1V_RadarRearcorner_V2.5_AllNodes.dbc:1209</x:v>
      </x:c>
    </x:row>
    <x:row r="590" ht="72" customHeight="1">
      <x:c r="A590" s="144" t="str">
        <x:v>Com-Signal</x:v>
      </x:c>
      <x:c r="B590" s="144" t="str">
        <x:v>COM-SIG-Tx-0448 / RRR_Obj05A_DyVnce</x:v>
      </x:c>
      <x:c r="C590" s="144" t="str">
        <x:v>PDU=RRR_Obj05A; startBit=154; length=12; byteOrder=Little; type=UINT16; factor=0.01; offset=0; min=0; max=30; unit=m^2; receivers=DASy</x:v>
      </x:c>
      <x:c r="D5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0" s="144" t="str">
        <x:v>M2</x:v>
      </x:c>
      <x:c r="F590" s="144" t="str">
        <x:v>Signal 级可编辑配置、数据类型/缩放/端序合同、RTE 接口、边界值与 round-trip 测试。</x:v>
      </x:c>
      <x:c r="G590" s="144" t="str">
        <x:v>raw=0、raw=max、物理 min/max、越界/保留值、端序字节向量、pack→unpack round-trip；1457/1457 通过。</x:v>
      </x:c>
      <x:c r="H590" s="144" t="str">
        <x:v>coem/BYD_UKE/gen_bsw/Com/Com_PBcfg.c:23799; BYD_5R1V_RadarRearcorner_V2.5_AllNodes.dbc:1192</x:v>
      </x:c>
    </x:row>
    <x:row r="591" ht="72" customHeight="1">
      <x:c r="A591" s="144" t="str">
        <x:v>Com-Signal</x:v>
      </x:c>
      <x:c r="B591" s="144" t="str">
        <x:v>COM-SIG-Tx-0449 / RRR_Obj05A_DyVyCoVnce</x:v>
      </x:c>
      <x:c r="C591" s="144" t="str">
        <x:v>PDU=RRR_Obj05A; startBit=276; length=12; byteOrder=Little; type=UINT16; factor=0.01; offset=0; min=0; max=30; unit=m^2/s; receivers=DASy</x:v>
      </x:c>
      <x:c r="D5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1" s="144" t="str">
        <x:v>M2</x:v>
      </x:c>
      <x:c r="F591" s="144" t="str">
        <x:v>Signal 级可编辑配置、数据类型/缩放/端序合同、RTE 接口、边界值与 round-trip 测试。</x:v>
      </x:c>
      <x:c r="G591" s="144" t="str">
        <x:v>raw=0、raw=max、物理 min/max、越界/保留值、端序字节向量、pack→unpack round-trip；1457/1457 通过。</x:v>
      </x:c>
      <x:c r="H591" s="144" t="str">
        <x:v>coem/BYD_UKE/gen_bsw/Com/Com_PBcfg.c:23852; BYD_5R1V_RadarRearcorner_V2.5_AllNodes.dbc:1202</x:v>
      </x:c>
    </x:row>
    <x:row r="592" ht="72" customHeight="1">
      <x:c r="A592" s="144" t="str">
        <x:v>Com-Signal</x:v>
      </x:c>
      <x:c r="B592" s="144" t="str">
        <x:v>COM-SIG-Tx-0450 / RRR_Obj05A_Dy</x:v>
      </x:c>
      <x:c r="C592" s="144" t="str">
        <x:v>PDU=RRR_Obj05A; startBit=59; length=11; byteOrder=Little; type=UINT16; factor=0.125; offset=-128; min=-128; max=127.875; unit=m; receivers=DASy</x:v>
      </x:c>
      <x:c r="D5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2" s="144" t="str">
        <x:v>M2</x:v>
      </x:c>
      <x:c r="F592" s="144" t="str">
        <x:v>Signal 级可编辑配置、数据类型/缩放/端序合同、RTE 接口、边界值与 round-trip 测试。</x:v>
      </x:c>
      <x:c r="G592" s="144" t="str">
        <x:v>raw=0、raw=max、物理 min/max、越界/保留值、端序字节向量、pack→unpack round-trip；1457/1457 通过。</x:v>
      </x:c>
      <x:c r="H592" s="144" t="str">
        <x:v>coem/BYD_UKE/gen_bsw/Com/Com_PBcfg.c:23905; BYD_5R1V_RadarRearcorner_V2.5_AllNodes.dbc:1181</x:v>
      </x:c>
    </x:row>
    <x:row r="593" ht="72" customHeight="1">
      <x:c r="A593" s="144" t="str">
        <x:v>Com-Signal</x:v>
      </x:c>
      <x:c r="B593" s="144" t="str">
        <x:v>COM-SIG-Tx-0451 / RRR_Obj05A_DzVnce</x:v>
      </x:c>
      <x:c r="C593" s="144" t="str">
        <x:v>PDU=RRR_Obj05A; startBit=166; length=10; byteOrder=Little; type=UINT16; factor=0.01; offset=0; min=0; max=10; unit=m^2; receivers=DASy</x:v>
      </x:c>
      <x:c r="D5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3" s="144" t="str">
        <x:v>M2</x:v>
      </x:c>
      <x:c r="F593" s="144" t="str">
        <x:v>Signal 级可编辑配置、数据类型/缩放/端序合同、RTE 接口、边界值与 round-trip 测试。</x:v>
      </x:c>
      <x:c r="G593" s="144" t="str">
        <x:v>raw=0、raw=max、物理 min/max、越界/保留值、端序字节向量、pack→unpack round-trip；1457/1457 通过。</x:v>
      </x:c>
      <x:c r="H593" s="144" t="str">
        <x:v>coem/BYD_UKE/gen_bsw/Com/Com_PBcfg.c:23958; BYD_5R1V_RadarRearcorner_V2.5_AllNodes.dbc:1193</x:v>
      </x:c>
    </x:row>
    <x:row r="594" ht="72" customHeight="1">
      <x:c r="A594" s="144" t="str">
        <x:v>Com-Signal</x:v>
      </x:c>
      <x:c r="B594" s="144" t="str">
        <x:v>COM-SIG-Tx-0452 / RRR_Obj05A_Dz</x:v>
      </x:c>
      <x:c r="C594" s="144" t="str">
        <x:v>PDU=RRR_Obj05A; startBit=53; length=6; byteOrder=Little; type=UINT8; factor=0.25; offset=-5; min=-5; max=10.75; unit=m; receivers=DASy</x:v>
      </x:c>
      <x:c r="D5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4" s="144" t="str">
        <x:v>M2</x:v>
      </x:c>
      <x:c r="F594" s="144" t="str">
        <x:v>Signal 级可编辑配置、数据类型/缩放/端序合同、RTE 接口、边界值与 round-trip 测试。</x:v>
      </x:c>
      <x:c r="G594" s="144" t="str">
        <x:v>raw=0、raw=max、物理 min/max、越界/保留值、端序字节向量、pack→unpack round-trip；1457/1457 通过。</x:v>
      </x:c>
      <x:c r="H594" s="144" t="str">
        <x:v>coem/BYD_UKE/gen_bsw/Com/Com_PBcfg.c:24011; BYD_5R1V_RadarRearcorner_V2.5_AllNodes.dbc:1182</x:v>
      </x:c>
    </x:row>
    <x:row r="595" ht="72" customHeight="1">
      <x:c r="A595" s="144" t="str">
        <x:v>Com-Signal</x:v>
      </x:c>
      <x:c r="B595" s="144" t="str">
        <x:v>COM-SIG-Tx-0453 / RRR_Obj05A_HeadingYawAngleVnce</x:v>
      </x:c>
      <x:c r="C595" s="144" t="str">
        <x:v>PDU=RRR_Obj05A; startBit=408; length=12; byteOrder=Little; type=UINT16; factor=0.0003; offset=0; min=0; max=1; unit=rad^2; receivers=DASy</x:v>
      </x:c>
      <x:c r="D5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5" s="144" t="str">
        <x:v>M2</x:v>
      </x:c>
      <x:c r="F595" s="144" t="str">
        <x:v>Signal 级可编辑配置、数据类型/缩放/端序合同、RTE 接口、边界值与 round-trip 测试。</x:v>
      </x:c>
      <x:c r="G595" s="144" t="str">
        <x:v>raw=0、raw=max、物理 min/max、越界/保留值、端序字节向量、pack→unpack round-trip；1457/1457 通过。</x:v>
      </x:c>
      <x:c r="H595" s="144" t="str">
        <x:v>coem/BYD_UKE/gen_bsw/Com/Com_PBcfg.c:24064; BYD_5R1V_RadarRearcorner_V2.5_AllNodes.dbc:1213</x:v>
      </x:c>
    </x:row>
    <x:row r="596" ht="72" customHeight="1">
      <x:c r="A596" s="144" t="str">
        <x:v>Com-Signal</x:v>
      </x:c>
      <x:c r="B596" s="144" t="str">
        <x:v>COM-SIG-Tx-0454 / RRR_Obj05A_HeadingYawAngle</x:v>
      </x:c>
      <x:c r="C596" s="144" t="str">
        <x:v>PDU=RRR_Obj05A; startBit=112; length=9; byteOrder=Little; type=UINT16; factor=0.0175; offset=-4.48; min=-3.15; max=3.15; unit=rad; receivers=DASy</x:v>
      </x:c>
      <x:c r="D5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6" s="144" t="str">
        <x:v>M2</x:v>
      </x:c>
      <x:c r="F596" s="144" t="str">
        <x:v>Signal 级可编辑配置、数据类型/缩放/端序合同、RTE 接口、边界值与 round-trip 测试。</x:v>
      </x:c>
      <x:c r="G596" s="144" t="str">
        <x:v>raw=0、raw=max、物理 min/max、越界/保留值、端序字节向量、pack→unpack round-trip；1457/1457 通过。</x:v>
      </x:c>
      <x:c r="H596" s="144" t="str">
        <x:v>coem/BYD_UKE/gen_bsw/Com/Com_PBcfg.c:24117; BYD_5R1V_RadarRearcorner_V2.5_AllNodes.dbc:1187</x:v>
      </x:c>
    </x:row>
    <x:row r="597" ht="72" customHeight="1">
      <x:c r="A597" s="144" t="str">
        <x:v>Com-Signal</x:v>
      </x:c>
      <x:c r="B597" s="144" t="str">
        <x:v>COM-SIG-Tx-0455 / RRR_Obj05A_HeadingYawrate</x:v>
      </x:c>
      <x:c r="C597" s="144" t="str">
        <x:v>PDU=RRR_Obj05A; startBit=240; length=12; byteOrder=Little; type=UINT16; factor=1（Com原始值）; offset=0（Com原始值）; min=按位宽/类型; max=按位宽/类型; unit=-; receivers=-</x:v>
      </x:c>
      <x:c r="D597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97" s="144" t="str">
        <x:v>M2</x:v>
      </x:c>
      <x:c r="F597" s="144" t="str">
        <x:v>Signal 级可编辑配置、数据类型/缩放/端序合同、RTE 接口、边界值与 round-trip 测试。</x:v>
      </x:c>
      <x:c r="G597" s="144" t="str">
        <x:v>raw=0、raw=max、物理 min/max、越界/保留值、端序字节向量、pack→unpack round-trip；1457/1457 通过。</x:v>
      </x:c>
      <x:c r="H597" s="144" t="str">
        <x:v>coem/BYD_UKE/gen_bsw/Com/Com_PBcfg.c:24170</x:v>
      </x:c>
    </x:row>
    <x:row r="598" ht="72" customHeight="1">
      <x:c r="A598" s="144" t="str">
        <x:v>Com-Signal</x:v>
      </x:c>
      <x:c r="B598" s="144" t="str">
        <x:v>COM-SIG-Tx-0456 / RRR_Obj05A_HeightVnce</x:v>
      </x:c>
      <x:c r="C598" s="144" t="str">
        <x:v>PDU=RRR_Obj05A; startBit=444; length=12; byteOrder=Little; type=UINT16; factor=0.01; offset=0; min=0; max=30; unit=m^2; receivers=DASy</x:v>
      </x:c>
      <x:c r="D5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8" s="144" t="str">
        <x:v>M2</x:v>
      </x:c>
      <x:c r="F598" s="144" t="str">
        <x:v>Signal 级可编辑配置、数据类型/缩放/端序合同、RTE 接口、边界值与 round-trip 测试。</x:v>
      </x:c>
      <x:c r="G598" s="144" t="str">
        <x:v>raw=0、raw=max、物理 min/max、越界/保留值、端序字节向量、pack→unpack round-trip；1457/1457 通过。</x:v>
      </x:c>
      <x:c r="H598" s="144" t="str">
        <x:v>coem/BYD_UKE/gen_bsw/Com/Com_PBcfg.c:24223; BYD_5R1V_RadarRearcorner_V2.5_AllNodes.dbc:1172</x:v>
      </x:c>
    </x:row>
    <x:row r="599" ht="72" customHeight="1">
      <x:c r="A599" s="144" t="str">
        <x:v>Com-Signal</x:v>
      </x:c>
      <x:c r="B599" s="144" t="str">
        <x:v>COM-SIG-Tx-0457 / RRR_Obj05A_Height</x:v>
      </x:c>
      <x:c r="C599" s="144" t="str">
        <x:v>PDU=RRR_Obj05A; startBit=135; length=7; byteOrder=Little; type=UINT8; factor=0.125; offset=0; min=0; max=15.875; unit=m; receivers=DASy</x:v>
      </x:c>
      <x:c r="D5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599" s="144" t="str">
        <x:v>M2</x:v>
      </x:c>
      <x:c r="F599" s="144" t="str">
        <x:v>Signal 级可编辑配置、数据类型/缩放/端序合同、RTE 接口、边界值与 round-trip 测试。</x:v>
      </x:c>
      <x:c r="G599" s="144" t="str">
        <x:v>raw=0、raw=max、物理 min/max、越界/保留值、端序字节向量、pack→unpack round-trip；1457/1457 通过。</x:v>
      </x:c>
      <x:c r="H599" s="144" t="str">
        <x:v>coem/BYD_UKE/gen_bsw/Com/Com_PBcfg.c:24276; BYD_5R1V_RadarRearcorner_V2.5_AllNodes.dbc:1190</x:v>
      </x:c>
    </x:row>
    <x:row r="600" ht="72" customHeight="1">
      <x:c r="A600" s="144" t="str">
        <x:v>Com-Signal</x:v>
      </x:c>
      <x:c r="B600" s="144" t="str">
        <x:v>COM-SIG-Tx-0458 / RRR_Obj05A_ID</x:v>
      </x:c>
      <x:c r="C600" s="144" t="str">
        <x:v>PDU=RRR_Obj05A; startBit=32; length=7; byteOrder=Little; type=UINT8; factor=1; offset=0; min=0; max=127; unit=-; receivers=DASy</x:v>
      </x:c>
      <x:c r="D60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0" s="144" t="str">
        <x:v>M2</x:v>
      </x:c>
      <x:c r="F600" s="144" t="str">
        <x:v>Signal 级可编辑配置、数据类型/缩放/端序合同、RTE 接口、边界值与 round-trip 测试。</x:v>
      </x:c>
      <x:c r="G600" s="144" t="str">
        <x:v>raw=0、raw=max、物理 min/max、越界/保留值、端序字节向量、pack→unpack round-trip；1457/1457 通过。</x:v>
      </x:c>
      <x:c r="H600" s="144" t="str">
        <x:v>coem/BYD_UKE/gen_bsw/Com/Com_PBcfg.c:24329; BYD_5R1V_RadarRearcorner_V2.5_AllNodes.dbc:1176</x:v>
      </x:c>
    </x:row>
    <x:row r="601" ht="72" customHeight="1">
      <x:c r="A601" s="144" t="str">
        <x:v>Com-Signal</x:v>
      </x:c>
      <x:c r="B601" s="144" t="str">
        <x:v>COM-SIG-Tx-0459 / RRR_Obj05A_LengthVnce</x:v>
      </x:c>
      <x:c r="C601" s="144" t="str">
        <x:v>PDU=RRR_Obj05A; startBit=420; length=12; byteOrder=Little; type=UINT16; factor=0.01; offset=0; min=0; max=30; unit=m^2; receivers=DASy</x:v>
      </x:c>
      <x:c r="D6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1" s="144" t="str">
        <x:v>M2</x:v>
      </x:c>
      <x:c r="F601" s="144" t="str">
        <x:v>Signal 级可编辑配置、数据类型/缩放/端序合同、RTE 接口、边界值与 round-trip 测试。</x:v>
      </x:c>
      <x:c r="G601" s="144" t="str">
        <x:v>raw=0、raw=max、物理 min/max、越界/保留值、端序字节向量、pack→unpack round-trip；1457/1457 通过。</x:v>
      </x:c>
      <x:c r="H601" s="144" t="str">
        <x:v>coem/BYD_UKE/gen_bsw/Com/Com_PBcfg.c:24382; BYD_5R1V_RadarRearcorner_V2.5_AllNodes.dbc:1214</x:v>
      </x:c>
    </x:row>
    <x:row r="602" ht="72" customHeight="1">
      <x:c r="A602" s="144" t="str">
        <x:v>Com-Signal</x:v>
      </x:c>
      <x:c r="B602" s="144" t="str">
        <x:v>COM-SIG-Tx-0460 / RRR_Obj05A_Length</x:v>
      </x:c>
      <x:c r="C602" s="144" t="str">
        <x:v>PDU=RRR_Obj05A; startBit=121; length=7; byteOrder=Little; type=UINT8; factor=0.125; offset=0; min=0; max=15.875; unit=m; receivers=DASy</x:v>
      </x:c>
      <x:c r="D6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2" s="144" t="str">
        <x:v>M2</x:v>
      </x:c>
      <x:c r="F602" s="144" t="str">
        <x:v>Signal 级可编辑配置、数据类型/缩放/端序合同、RTE 接口、边界值与 round-trip 测试。</x:v>
      </x:c>
      <x:c r="G602" s="144" t="str">
        <x:v>raw=0、raw=max、物理 min/max、越界/保留值、端序字节向量、pack→unpack round-trip；1457/1457 通过。</x:v>
      </x:c>
      <x:c r="H602" s="144" t="str">
        <x:v>coem/BYD_UKE/gen_bsw/Com/Com_PBcfg.c:24435; BYD_5R1V_RadarRearcorner_V2.5_AllNodes.dbc:1188</x:v>
      </x:c>
    </x:row>
    <x:row r="603" ht="72" customHeight="1">
      <x:c r="A603" s="144" t="str">
        <x:v>Com-Signal</x:v>
      </x:c>
      <x:c r="B603" s="144" t="str">
        <x:v>COM-SIG-Tx-0461 / RRR_Obj05A_Measured</x:v>
      </x:c>
      <x:c r="C603" s="144" t="str">
        <x:v>PDU=RRR_Obj05A; startBit=39; length=1; byteOrder=Little; type=UINT8; factor=1; offset=0; min=0; max=1; unit=-; receivers=DASy</x:v>
      </x:c>
      <x:c r="D6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3" s="144" t="str">
        <x:v>M2</x:v>
      </x:c>
      <x:c r="F603" s="144" t="str">
        <x:v>Signal 级可编辑配置、数据类型/缩放/端序合同、RTE 接口、边界值与 round-trip 测试。</x:v>
      </x:c>
      <x:c r="G603" s="144" t="str">
        <x:v>raw=0、raw=max、物理 min/max、越界/保留值、端序字节向量、pack→unpack round-trip；1457/1457 通过。</x:v>
      </x:c>
      <x:c r="H603" s="144" t="str">
        <x:v>coem/BYD_UKE/gen_bsw/Com/Com_PBcfg.c:24488; BYD_5R1V_RadarRearcorner_V2.5_AllNodes.dbc:1179</x:v>
      </x:c>
    </x:row>
    <x:row r="604" ht="72" customHeight="1">
      <x:c r="A604" s="144" t="str">
        <x:v>Com-Signal</x:v>
      </x:c>
      <x:c r="B604" s="144" t="str">
        <x:v>COM-SIG-Tx-0462 / RRR_Obj05A_ObjDetected</x:v>
      </x:c>
      <x:c r="C604" s="144" t="str">
        <x:v>PDU=RRR_Obj05A; startBit=264; length=12; byteOrder=Little; type=UINT16; factor=1（Com原始值）; offset=0（Com原始值）; min=按位宽/类型; max=按位宽/类型; unit=-; receivers=-</x:v>
      </x:c>
      <x:c r="D60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04" s="144" t="str">
        <x:v>M2</x:v>
      </x:c>
      <x:c r="F604" s="144" t="str">
        <x:v>Signal 级可编辑配置、数据类型/缩放/端序合同、RTE 接口、边界值与 round-trip 测试。</x:v>
      </x:c>
      <x:c r="G604" s="144" t="str">
        <x:v>raw=0、raw=max、物理 min/max、越界/保留值、端序字节向量、pack→unpack round-trip；1457/1457 通过。</x:v>
      </x:c>
      <x:c r="H604" s="144" t="str">
        <x:v>coem/BYD_UKE/gen_bsw/Com/Com_PBcfg.c:24541</x:v>
      </x:c>
    </x:row>
    <x:row r="605" ht="72" customHeight="1">
      <x:c r="A605" s="144" t="str">
        <x:v>Com-Signal</x:v>
      </x:c>
      <x:c r="B605" s="144" t="str">
        <x:v>COM-SIG-Tx-0463 / RRR_Obj05A_ProbExist</x:v>
      </x:c>
      <x:c r="C605" s="144" t="str">
        <x:v>PDU=RRR_Obj05A; startBit=456; length=6; byteOrder=Little; type=UINT8; factor=2; offset=0; min=0; max=100; unit=%; receivers=DASy</x:v>
      </x:c>
      <x:c r="D6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5" s="144" t="str">
        <x:v>M2</x:v>
      </x:c>
      <x:c r="F605" s="144" t="str">
        <x:v>Signal 级可编辑配置、数据类型/缩放/端序合同、RTE 接口、边界值与 round-trip 测试。</x:v>
      </x:c>
      <x:c r="G605" s="144" t="str">
        <x:v>raw=0、raw=max、物理 min/max、越界/保留值、端序字节向量、pack→unpack round-trip；1457/1457 通过。</x:v>
      </x:c>
      <x:c r="H605" s="144" t="str">
        <x:v>coem/BYD_UKE/gen_bsw/Com/Com_PBcfg.c:24594; BYD_5R1V_RadarRearcorner_V2.5_AllNodes.dbc:1216</x:v>
      </x:c>
    </x:row>
    <x:row r="606" ht="72" customHeight="1">
      <x:c r="A606" s="144" t="str">
        <x:v>Com-Signal</x:v>
      </x:c>
      <x:c r="B606" s="144" t="str">
        <x:v>COM-SIG-Tx-0464 / RRR_Obj05A_ProbMobileObst</x:v>
      </x:c>
      <x:c r="C606" s="144" t="str">
        <x:v>PDU=RRR_Obj05A; startBit=474; length=6; byteOrder=Little; type=UINT8; factor=2; offset=0; min=0; max=100; unit=%; receivers=DASy</x:v>
      </x:c>
      <x:c r="D6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6" s="144" t="str">
        <x:v>M2</x:v>
      </x:c>
      <x:c r="F606" s="144" t="str">
        <x:v>Signal 级可编辑配置、数据类型/缩放/端序合同、RTE 接口、边界值与 round-trip 测试。</x:v>
      </x:c>
      <x:c r="G606" s="144" t="str">
        <x:v>raw=0、raw=max、物理 min/max、越界/保留值、端序字节向量、pack→unpack round-trip；1457/1457 通过。</x:v>
      </x:c>
      <x:c r="H606" s="144" t="str">
        <x:v>coem/BYD_UKE/gen_bsw/Com/Com_PBcfg.c:24647; BYD_5R1V_RadarRearcorner_V2.5_AllNodes.dbc:1219</x:v>
      </x:c>
    </x:row>
    <x:row r="607" ht="72" customHeight="1">
      <x:c r="A607" s="144" t="str">
        <x:v>Com-Signal</x:v>
      </x:c>
      <x:c r="B607" s="144" t="str">
        <x:v>COM-SIG-Tx-0465 / RRR_Obj05A_ProbNonObstacle</x:v>
      </x:c>
      <x:c r="C607" s="144" t="str">
        <x:v>PDU=RRR_Obj05A; startBit=468; length=6; byteOrder=Little; type=UINT8; factor=2; offset=0; min=0; max=100; unit=%; receivers=DASy</x:v>
      </x:c>
      <x:c r="D6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7" s="144" t="str">
        <x:v>M2</x:v>
      </x:c>
      <x:c r="F607" s="144" t="str">
        <x:v>Signal 级可编辑配置、数据类型/缩放/端序合同、RTE 接口、边界值与 round-trip 测试。</x:v>
      </x:c>
      <x:c r="G607" s="144" t="str">
        <x:v>raw=0、raw=max、物理 min/max、越界/保留值、端序字节向量、pack→unpack round-trip；1457/1457 通过。</x:v>
      </x:c>
      <x:c r="H607" s="144" t="str">
        <x:v>coem/BYD_UKE/gen_bsw/Com/Com_PBcfg.c:24700; BYD_5R1V_RadarRearcorner_V2.5_AllNodes.dbc:1218</x:v>
      </x:c>
    </x:row>
    <x:row r="608" ht="72" customHeight="1">
      <x:c r="A608" s="144" t="str">
        <x:v>Com-Signal</x:v>
      </x:c>
      <x:c r="B608" s="144" t="str">
        <x:v>COM-SIG-Tx-0466 / RRR_Obj05A_ProbObstacle</x:v>
      </x:c>
      <x:c r="C608" s="144" t="str">
        <x:v>PDU=RRR_Obj05A; startBit=462; length=6; byteOrder=Little; type=UINT8; factor=2; offset=0; min=0; max=100; unit=%; receivers=DASy</x:v>
      </x:c>
      <x:c r="D6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8" s="144" t="str">
        <x:v>M2</x:v>
      </x:c>
      <x:c r="F608" s="144" t="str">
        <x:v>Signal 级可编辑配置、数据类型/缩放/端序合同、RTE 接口、边界值与 round-trip 测试。</x:v>
      </x:c>
      <x:c r="G608" s="144" t="str">
        <x:v>raw=0、raw=max、物理 min/max、越界/保留值、端序字节向量、pack→unpack round-trip；1457/1457 通过。</x:v>
      </x:c>
      <x:c r="H608" s="144" t="str">
        <x:v>coem/BYD_UKE/gen_bsw/Com/Com_PBcfg.c:24753; BYD_5R1V_RadarRearcorner_V2.5_AllNodes.dbc:1217</x:v>
      </x:c>
    </x:row>
    <x:row r="609" ht="72" customHeight="1">
      <x:c r="A609" s="144" t="str">
        <x:v>Com-Signal</x:v>
      </x:c>
      <x:c r="B609" s="144" t="str">
        <x:v>COM-SIG-Tx-0467 / RRR_Obj05A_ProtBlockCtr</x:v>
      </x:c>
      <x:c r="C609" s="144" t="str">
        <x:v>PDU=RRR_Obj05A; startBit=24; length=4; byteOrder=Little; type=UINT8; factor=1; offset=0; min=0; max=15; unit=-; receivers=DASy</x:v>
      </x:c>
      <x:c r="D6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09" s="144" t="str">
        <x:v>M2</x:v>
      </x:c>
      <x:c r="F609" s="144" t="str">
        <x:v>Signal 级可编辑配置、数据类型/缩放/端序合同、RTE 接口、边界值与 round-trip 测试。</x:v>
      </x:c>
      <x:c r="G609" s="144" t="str">
        <x:v>raw=0、raw=max、物理 min/max、越界/保留值、端序字节向量、pack→unpack round-trip；1457/1457 通过。</x:v>
      </x:c>
      <x:c r="H609" s="144" t="str">
        <x:v>coem/BYD_UKE/gen_bsw/Com/Com_PBcfg.c:24806; BYD_5R1V_RadarRearcorner_V2.5_AllNodes.dbc:1175</x:v>
      </x:c>
    </x:row>
    <x:row r="610" ht="72" customHeight="1">
      <x:c r="A610" s="144" t="str">
        <x:v>Com-Signal</x:v>
      </x:c>
      <x:c r="B610" s="144" t="str">
        <x:v>COM-SIG-Tx-0468 / RRR_Obj05A_RCS</x:v>
      </x:c>
      <x:c r="C610" s="144" t="str">
        <x:v>PDU=RRR_Obj05A; startBit=252; length=12; byteOrder=Little; type=UINT16; factor=1（Com原始值）; offset=0（Com原始值）; min=按位宽/类型; max=按位宽/类型; unit=-; receivers=-</x:v>
      </x:c>
      <x:c r="D61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10" s="144" t="str">
        <x:v>M2</x:v>
      </x:c>
      <x:c r="F610" s="144" t="str">
        <x:v>Signal 级可编辑配置、数据类型/缩放/端序合同、RTE 接口、边界值与 round-trip 测试。</x:v>
      </x:c>
      <x:c r="G610" s="144" t="str">
        <x:v>raw=0、raw=max、物理 min/max、越界/保留值、端序字节向量、pack→unpack round-trip；1457/1457 通过。</x:v>
      </x:c>
      <x:c r="H610" s="144" t="str">
        <x:v>coem/BYD_UKE/gen_bsw/Com/Com_PBcfg.c:24859</x:v>
      </x:c>
    </x:row>
    <x:row r="611" ht="72" customHeight="1">
      <x:c r="A611" s="144" t="str">
        <x:v>Com-Signal</x:v>
      </x:c>
      <x:c r="B611" s="144" t="str">
        <x:v>COM-SIG-Tx-0469 / RRR_Obj05A_RefPosIndex</x:v>
      </x:c>
      <x:c r="C611" s="144" t="str">
        <x:v>PDU=RRR_Obj05A; startBit=224; length=4; byteOrder=Little; type=UINT8; factor=1; offset=0; min=0; max=15; unit=-; receivers=DASy</x:v>
      </x:c>
      <x:c r="D6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1" s="144" t="str">
        <x:v>M2</x:v>
      </x:c>
      <x:c r="F611" s="144" t="str">
        <x:v>Signal 级可编辑配置、数据类型/缩放/端序合同、RTE 接口、边界值与 round-trip 测试。</x:v>
      </x:c>
      <x:c r="G611" s="144" t="str">
        <x:v>raw=0、raw=max、物理 min/max、越界/保留值、端序字节向量、pack→unpack round-trip；1457/1457 通过。</x:v>
      </x:c>
      <x:c r="H611" s="144" t="str">
        <x:v>coem/BYD_UKE/gen_bsw/Com/Com_PBcfg.c:24912; BYD_5R1V_RadarRearcorner_V2.5_AllNodes.dbc:1177</x:v>
      </x:c>
    </x:row>
    <x:row r="612" ht="72" customHeight="1">
      <x:c r="A612" s="144" t="str">
        <x:v>Com-Signal</x:v>
      </x:c>
      <x:c r="B612" s="144" t="str">
        <x:v>COM-SIG-Tx-0470 / RRR_Obj05A_Valid</x:v>
      </x:c>
      <x:c r="C612" s="144" t="str">
        <x:v>PDU=RRR_Obj05A; startBit=70; length=1; byteOrder=Little; type=UINT8; factor=1; offset=0; min=0; max=1; unit=-; receivers=DASy</x:v>
      </x:c>
      <x:c r="D6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2" s="144" t="str">
        <x:v>M2</x:v>
      </x:c>
      <x:c r="F612" s="144" t="str">
        <x:v>Signal 级可编辑配置、数据类型/缩放/端序合同、RTE 接口、边界值与 round-trip 测试。</x:v>
      </x:c>
      <x:c r="G612" s="144" t="str">
        <x:v>raw=0、raw=max、物理 min/max、越界/保留值、端序字节向量、pack→unpack round-trip；1457/1457 通过。</x:v>
      </x:c>
      <x:c r="H612" s="144" t="str">
        <x:v>coem/BYD_UKE/gen_bsw/Com/Com_PBcfg.c:24965; BYD_5R1V_RadarRearcorner_V2.5_AllNodes.dbc:1178</x:v>
      </x:c>
    </x:row>
    <x:row r="613" ht="72" customHeight="1">
      <x:c r="A613" s="144" t="str">
        <x:v>Com-Signal</x:v>
      </x:c>
      <x:c r="B613" s="144" t="str">
        <x:v>COM-SIG-Tx-0471 / RRR_Obj05A_VxAxCoVnce</x:v>
      </x:c>
      <x:c r="C613" s="144" t="str">
        <x:v>PDU=RRR_Obj05A; startBit=324; length=12; byteOrder=Little; type=UINT16; factor=0.01; offset=0; min=0; max=30; unit=m^2/s^3; receivers=DASy</x:v>
      </x:c>
      <x:c r="D6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3" s="144" t="str">
        <x:v>M2</x:v>
      </x:c>
      <x:c r="F613" s="144" t="str">
        <x:v>Signal 级可编辑配置、数据类型/缩放/端序合同、RTE 接口、边界值与 round-trip 测试。</x:v>
      </x:c>
      <x:c r="G613" s="144" t="str">
        <x:v>raw=0、raw=max、物理 min/max、越界/保留值、端序字节向量、pack→unpack round-trip；1457/1457 通过。</x:v>
      </x:c>
      <x:c r="H613" s="144" t="str">
        <x:v>coem/BYD_UKE/gen_bsw/Com/Com_PBcfg.c:25018; BYD_5R1V_RadarRearcorner_V2.5_AllNodes.dbc:1206</x:v>
      </x:c>
    </x:row>
    <x:row r="614" ht="72" customHeight="1">
      <x:c r="A614" s="144" t="str">
        <x:v>Com-Signal</x:v>
      </x:c>
      <x:c r="B614" s="144" t="str">
        <x:v>COM-SIG-Tx-0472 / RRR_Obj05A_VxAyCoVnce</x:v>
      </x:c>
      <x:c r="C614" s="144" t="str">
        <x:v>PDU=RRR_Obj05A; startBit=372; length=12; byteOrder=Little; type=UINT16; factor=0.01; offset=0; min=0; max=30; unit=m^2/s^3; receivers=DASy</x:v>
      </x:c>
      <x:c r="D61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4" s="144" t="str">
        <x:v>M2</x:v>
      </x:c>
      <x:c r="F614" s="144" t="str">
        <x:v>Signal 级可编辑配置、数据类型/缩放/端序合同、RTE 接口、边界值与 round-trip 测试。</x:v>
      </x:c>
      <x:c r="G614" s="144" t="str">
        <x:v>raw=0、raw=max、物理 min/max、越界/保留值、端序字节向量、pack→unpack round-trip；1457/1457 通过。</x:v>
      </x:c>
      <x:c r="H614" s="144" t="str">
        <x:v>coem/BYD_UKE/gen_bsw/Com/Com_PBcfg.c:25071; BYD_5R1V_RadarRearcorner_V2.5_AllNodes.dbc:1210</x:v>
      </x:c>
    </x:row>
    <x:row r="615" ht="72" customHeight="1">
      <x:c r="A615" s="144" t="str">
        <x:v>Com-Signal</x:v>
      </x:c>
      <x:c r="B615" s="144" t="str">
        <x:v>COM-SIG-Tx-0473 / RRR_Obj05A_VxVnce</x:v>
      </x:c>
      <x:c r="C615" s="144" t="str">
        <x:v>PDU=RRR_Obj05A; startBit=176; length=12; byteOrder=Little; type=UINT16; factor=0.01; offset=0; min=0; max=30; unit=m^2/s^2; receivers=DASy</x:v>
      </x:c>
      <x:c r="D6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5" s="144" t="str">
        <x:v>M2</x:v>
      </x:c>
      <x:c r="F615" s="144" t="str">
        <x:v>Signal 级可编辑配置、数据类型/缩放/端序合同、RTE 接口、边界值与 round-trip 测试。</x:v>
      </x:c>
      <x:c r="G615" s="144" t="str">
        <x:v>raw=0、raw=max、物理 min/max、越界/保留值、端序字节向量、pack→unpack round-trip；1457/1457 通过。</x:v>
      </x:c>
      <x:c r="H615" s="144" t="str">
        <x:v>coem/BYD_UKE/gen_bsw/Com/Com_PBcfg.c:25124; BYD_5R1V_RadarRearcorner_V2.5_AllNodes.dbc:1194</x:v>
      </x:c>
    </x:row>
    <x:row r="616" ht="72" customHeight="1">
      <x:c r="A616" s="144" t="str">
        <x:v>Com-Signal</x:v>
      </x:c>
      <x:c r="B616" s="144" t="str">
        <x:v>COM-SIG-Tx-0474 / RRR_Obj05A_VxVyCoVnce</x:v>
      </x:c>
      <x:c r="C616" s="144" t="str">
        <x:v>PDU=RRR_Obj05A; startBit=288; length=12; byteOrder=Little; type=UINT16; factor=0.01; offset=0; min=0; max=30; unit=m^2/s^2; receivers=DASy</x:v>
      </x:c>
      <x:c r="D6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6" s="144" t="str">
        <x:v>M2</x:v>
      </x:c>
      <x:c r="F616" s="144" t="str">
        <x:v>Signal 级可编辑配置、数据类型/缩放/端序合同、RTE 接口、边界值与 round-trip 测试。</x:v>
      </x:c>
      <x:c r="G616" s="144" t="str">
        <x:v>raw=0、raw=max、物理 min/max、越界/保留值、端序字节向量、pack→unpack round-trip；1457/1457 通过。</x:v>
      </x:c>
      <x:c r="H616" s="144" t="str">
        <x:v>coem/BYD_UKE/gen_bsw/Com/Com_PBcfg.c:25177; BYD_5R1V_RadarRearcorner_V2.5_AllNodes.dbc:1203</x:v>
      </x:c>
    </x:row>
    <x:row r="617" ht="72" customHeight="1">
      <x:c r="A617" s="144" t="str">
        <x:v>Com-Signal</x:v>
      </x:c>
      <x:c r="B617" s="144" t="str">
        <x:v>COM-SIG-Tx-0475 / RRR_Obj05A_Vx</x:v>
      </x:c>
      <x:c r="C617" s="144" t="str">
        <x:v>PDU=RRR_Obj05A; startBit=71; length=12; byteOrder=Little; type=UINT16; factor=0.0625; offset=-128; min=-128; max=127.9375; unit=m/s; receivers=DASy</x:v>
      </x:c>
      <x:c r="D6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7" s="144" t="str">
        <x:v>M2</x:v>
      </x:c>
      <x:c r="F617" s="144" t="str">
        <x:v>Signal 级可编辑配置、数据类型/缩放/端序合同、RTE 接口、边界值与 round-trip 测试。</x:v>
      </x:c>
      <x:c r="G617" s="144" t="str">
        <x:v>raw=0、raw=max、物理 min/max、越界/保留值、端序字节向量、pack→unpack round-trip；1457/1457 通过。</x:v>
      </x:c>
      <x:c r="H617" s="144" t="str">
        <x:v>coem/BYD_UKE/gen_bsw/Com/Com_PBcfg.c:25230; BYD_5R1V_RadarRearcorner_V2.5_AllNodes.dbc:1183</x:v>
      </x:c>
    </x:row>
    <x:row r="618" ht="72" customHeight="1">
      <x:c r="A618" s="144" t="str">
        <x:v>Com-Signal</x:v>
      </x:c>
      <x:c r="B618" s="144" t="str">
        <x:v>COM-SIG-Tx-0476 / RRR_Obj05A_VyAxCoVnce</x:v>
      </x:c>
      <x:c r="C618" s="144" t="str">
        <x:v>PDU=RRR_Obj05A; startBit=336; length=12; byteOrder=Little; type=UINT16; factor=0.01; offset=0; min=0; max=30; unit=m^2/s^3; receivers=DASy</x:v>
      </x:c>
      <x:c r="D6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8" s="144" t="str">
        <x:v>M2</x:v>
      </x:c>
      <x:c r="F618" s="144" t="str">
        <x:v>Signal 级可编辑配置、数据类型/缩放/端序合同、RTE 接口、边界值与 round-trip 测试。</x:v>
      </x:c>
      <x:c r="G618" s="144" t="str">
        <x:v>raw=0、raw=max、物理 min/max、越界/保留值、端序字节向量、pack→unpack round-trip；1457/1457 通过。</x:v>
      </x:c>
      <x:c r="H618" s="144" t="str">
        <x:v>coem/BYD_UKE/gen_bsw/Com/Com_PBcfg.c:25283; BYD_5R1V_RadarRearcorner_V2.5_AllNodes.dbc:1207</x:v>
      </x:c>
    </x:row>
    <x:row r="619" ht="72" customHeight="1">
      <x:c r="A619" s="144" t="str">
        <x:v>Com-Signal</x:v>
      </x:c>
      <x:c r="B619" s="144" t="str">
        <x:v>COM-SIG-Tx-0477 / RRR_Obj05A_VyAyCoVnce</x:v>
      </x:c>
      <x:c r="C619" s="144" t="str">
        <x:v>PDU=RRR_Obj05A; startBit=384; length=12; byteOrder=Little; type=UINT16; factor=0.01; offset=0; min=0; max=30; unit=m^2/s^3; receivers=DASy</x:v>
      </x:c>
      <x:c r="D6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19" s="144" t="str">
        <x:v>M2</x:v>
      </x:c>
      <x:c r="F619" s="144" t="str">
        <x:v>Signal 级可编辑配置、数据类型/缩放/端序合同、RTE 接口、边界值与 round-trip 测试。</x:v>
      </x:c>
      <x:c r="G619" s="144" t="str">
        <x:v>raw=0、raw=max、物理 min/max、越界/保留值、端序字节向量、pack→unpack round-trip；1457/1457 通过。</x:v>
      </x:c>
      <x:c r="H619" s="144" t="str">
        <x:v>coem/BYD_UKE/gen_bsw/Com/Com_PBcfg.c:25336; BYD_5R1V_RadarRearcorner_V2.5_AllNodes.dbc:1211</x:v>
      </x:c>
    </x:row>
    <x:row r="620" ht="72" customHeight="1">
      <x:c r="A620" s="144" t="str">
        <x:v>Com-Signal</x:v>
      </x:c>
      <x:c r="B620" s="144" t="str">
        <x:v>COM-SIG-Tx-0478 / RRR_Obj05A_VyVnce</x:v>
      </x:c>
      <x:c r="C620" s="144" t="str">
        <x:v>PDU=RRR_Obj05A; startBit=188; length=12; byteOrder=Little; type=UINT16; factor=0.01; offset=0; min=0; max=30; unit=m^2/s^2; receivers=DASy</x:v>
      </x:c>
      <x:c r="D6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0" s="144" t="str">
        <x:v>M2</x:v>
      </x:c>
      <x:c r="F620" s="144" t="str">
        <x:v>Signal 级可编辑配置、数据类型/缩放/端序合同、RTE 接口、边界值与 round-trip 测试。</x:v>
      </x:c>
      <x:c r="G620" s="144" t="str">
        <x:v>raw=0、raw=max、物理 min/max、越界/保留值、端序字节向量、pack→unpack round-trip；1457/1457 通过。</x:v>
      </x:c>
      <x:c r="H620" s="144" t="str">
        <x:v>coem/BYD_UKE/gen_bsw/Com/Com_PBcfg.c:25389; BYD_5R1V_RadarRearcorner_V2.5_AllNodes.dbc:1195</x:v>
      </x:c>
    </x:row>
    <x:row r="621" ht="72" customHeight="1">
      <x:c r="A621" s="144" t="str">
        <x:v>Com-Signal</x:v>
      </x:c>
      <x:c r="B621" s="144" t="str">
        <x:v>COM-SIG-Tx-0479 / RRR_Obj05A_Vy</x:v>
      </x:c>
      <x:c r="C621" s="144" t="str">
        <x:v>PDU=RRR_Obj05A; startBit=83; length=10; byteOrder=Little; type=UINT16; factor=0.125; offset=-64; min=-64; max=63.875; unit=m/s; receivers=DASy</x:v>
      </x:c>
      <x:c r="D6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1" s="144" t="str">
        <x:v>M2</x:v>
      </x:c>
      <x:c r="F621" s="144" t="str">
        <x:v>Signal 级可编辑配置、数据类型/缩放/端序合同、RTE 接口、边界值与 round-trip 测试。</x:v>
      </x:c>
      <x:c r="G621" s="144" t="str">
        <x:v>raw=0、raw=max、物理 min/max、越界/保留值、端序字节向量、pack→unpack round-trip；1457/1457 通过。</x:v>
      </x:c>
      <x:c r="H621" s="144" t="str">
        <x:v>coem/BYD_UKE/gen_bsw/Com/Com_PBcfg.c:25442; BYD_5R1V_RadarRearcorner_V2.5_AllNodes.dbc:1184</x:v>
      </x:c>
    </x:row>
    <x:row r="622" ht="72" customHeight="1">
      <x:c r="A622" s="144" t="str">
        <x:v>Com-Signal</x:v>
      </x:c>
      <x:c r="B622" s="144" t="str">
        <x:v>COM-SIG-Tx-0480 / RRR_Obj05A_WidthVnce</x:v>
      </x:c>
      <x:c r="C622" s="144" t="str">
        <x:v>PDU=RRR_Obj05A; startBit=432; length=12; byteOrder=Little; type=UINT16; factor=0.01; offset=0; min=0; max=30; unit=m^2; receivers=DASy</x:v>
      </x:c>
      <x:c r="D6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2" s="144" t="str">
        <x:v>M2</x:v>
      </x:c>
      <x:c r="F622" s="144" t="str">
        <x:v>Signal 级可编辑配置、数据类型/缩放/端序合同、RTE 接口、边界值与 round-trip 测试。</x:v>
      </x:c>
      <x:c r="G622" s="144" t="str">
        <x:v>raw=0、raw=max、物理 min/max、越界/保留值、端序字节向量、pack→unpack round-trip；1457/1457 通过。</x:v>
      </x:c>
      <x:c r="H622" s="144" t="str">
        <x:v>coem/BYD_UKE/gen_bsw/Com/Com_PBcfg.c:25495; BYD_5R1V_RadarRearcorner_V2.5_AllNodes.dbc:1215</x:v>
      </x:c>
    </x:row>
    <x:row r="623" ht="72" customHeight="1">
      <x:c r="A623" s="144" t="str">
        <x:v>Com-Signal</x:v>
      </x:c>
      <x:c r="B623" s="144" t="str">
        <x:v>COM-SIG-Tx-0481 / RRR_Obj05A_Width</x:v>
      </x:c>
      <x:c r="C623" s="144" t="str">
        <x:v>PDU=RRR_Obj05A; startBit=128; length=7; byteOrder=Little; type=UINT8; factor=0.125; offset=0; min=0; max=15.875; unit=m; receivers=DASy</x:v>
      </x:c>
      <x:c r="D6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3" s="144" t="str">
        <x:v>M2</x:v>
      </x:c>
      <x:c r="F623" s="144" t="str">
        <x:v>Signal 级可编辑配置、数据类型/缩放/端序合同、RTE 接口、边界值与 round-trip 测试。</x:v>
      </x:c>
      <x:c r="G623" s="144" t="str">
        <x:v>raw=0、raw=max、物理 min/max、越界/保留值、端序字节向量、pack→unpack round-trip；1457/1457 通过。</x:v>
      </x:c>
      <x:c r="H623" s="144" t="str">
        <x:v>coem/BYD_UKE/gen_bsw/Com/Com_PBcfg.c:25548; BYD_5R1V_RadarRearcorner_V2.5_AllNodes.dbc:1189</x:v>
      </x:c>
    </x:row>
    <x:row r="624" ht="72" customHeight="1">
      <x:c r="A624" s="144" t="str">
        <x:v>Com-Signal</x:v>
      </x:c>
      <x:c r="B624" s="144" t="str">
        <x:v>COM-SIG-Tx-0482 / RRR_Obj05A_Type</x:v>
      </x:c>
      <x:c r="C624" s="144" t="str">
        <x:v>PDU=RRR_Obj05B; startBit=82; length=6; byteOrder=Little; type=UINT8; factor=1（Com原始值）; offset=0（Com原始值）; min=按位宽/类型; max=按位宽/类型; unit=-; receivers=-</x:v>
      </x:c>
      <x:c r="D62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24" s="144" t="str">
        <x:v>M2</x:v>
      </x:c>
      <x:c r="F624" s="144" t="str">
        <x:v>Signal 级可编辑配置、数据类型/缩放/端序合同、RTE 接口、边界值与 round-trip 测试。</x:v>
      </x:c>
      <x:c r="G624" s="144" t="str">
        <x:v>raw=0、raw=max、物理 min/max、越界/保留值、端序字节向量、pack→unpack round-trip；1457/1457 通过。</x:v>
      </x:c>
      <x:c r="H624" s="144" t="str">
        <x:v>coem/BYD_UKE/gen_bsw/Com/Com_PBcfg.c:25601</x:v>
      </x:c>
    </x:row>
    <x:row r="625" ht="72" customHeight="1">
      <x:c r="A625" s="144" t="str">
        <x:v>Com-Signal</x:v>
      </x:c>
      <x:c r="B625" s="144" t="str">
        <x:v>COM-SIG-Tx-0483 / RRR_Obj05B_AliveCtr</x:v>
      </x:c>
      <x:c r="C625" s="144" t="str">
        <x:v>PDU=RRR_Obj05B; startBit=16; length=8; byteOrder=Little; type=UINT8; factor=1; offset=0; min=0; max=255; unit=-; receivers=DASy</x:v>
      </x:c>
      <x:c r="D6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5" s="144" t="str">
        <x:v>M2</x:v>
      </x:c>
      <x:c r="F625" s="144" t="str">
        <x:v>Signal 级可编辑配置、数据类型/缩放/端序合同、RTE 接口、边界值与 round-trip 测试。</x:v>
      </x:c>
      <x:c r="G625" s="144" t="str">
        <x:v>raw=0、raw=max、物理 min/max、越界/保留值、端序字节向量、pack→unpack round-trip；1457/1457 通过。</x:v>
      </x:c>
      <x:c r="H625" s="144" t="str">
        <x:v>coem/BYD_UKE/gen_bsw/Com/Com_PBcfg.c:25654; BYD_5R1V_RadarRearcorner_V2.5_AllNodes.dbc:1227</x:v>
      </x:c>
    </x:row>
    <x:row r="626" ht="72" customHeight="1">
      <x:c r="A626" s="144" t="str">
        <x:v>Com-Signal</x:v>
      </x:c>
      <x:c r="B626" s="144" t="str">
        <x:v>COM-SIG-Tx-0484 / RRR_Obj05B_BehaviorType</x:v>
      </x:c>
      <x:c r="C626" s="144" t="str">
        <x:v>PDU=RRR_Obj05B; startBit=88; length=3; byteOrder=Little; type=UINT8; factor=1; offset=0; min=0; max=7; unit=-; receivers=DASy</x:v>
      </x:c>
      <x:c r="D6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6" s="144" t="str">
        <x:v>M2</x:v>
      </x:c>
      <x:c r="F626" s="144" t="str">
        <x:v>Signal 级可编辑配置、数据类型/缩放/端序合同、RTE 接口、边界值与 round-trip 测试。</x:v>
      </x:c>
      <x:c r="G626" s="144" t="str">
        <x:v>raw=0、raw=max、物理 min/max、越界/保留值、端序字节向量、pack→unpack round-trip；1457/1457 通过。</x:v>
      </x:c>
      <x:c r="H626" s="144" t="str">
        <x:v>coem/BYD_UKE/gen_bsw/Com/Com_PBcfg.c:25707; BYD_5R1V_RadarRearcorner_V2.5_AllNodes.dbc:1235</x:v>
      </x:c>
    </x:row>
    <x:row r="627" ht="72" customHeight="1">
      <x:c r="A627" s="144" t="str">
        <x:v>Com-Signal</x:v>
      </x:c>
      <x:c r="B627" s="144" t="str">
        <x:v>COM-SIG-Tx-0485 / RRR_Obj05B_CRC</x:v>
      </x:c>
      <x:c r="C627" s="144" t="str">
        <x:v>PDU=RRR_Obj05B; startBit=0; length=16; byteOrder=Little; type=UINT16; factor=1; offset=0; min=0; max=65535; unit=-; receivers=DASy</x:v>
      </x:c>
      <x:c r="D6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7" s="144" t="str">
        <x:v>M2</x:v>
      </x:c>
      <x:c r="F627" s="144" t="str">
        <x:v>Signal 级可编辑配置、数据类型/缩放/端序合同、RTE 接口、边界值与 round-trip 测试。</x:v>
      </x:c>
      <x:c r="G627" s="144" t="str">
        <x:v>raw=0、raw=max、物理 min/max、越界/保留值、端序字节向量、pack→unpack round-trip；1457/1457 通过。</x:v>
      </x:c>
      <x:c r="H627" s="144" t="str">
        <x:v>coem/BYD_UKE/gen_bsw/Com/Com_PBcfg.c:25760; BYD_5R1V_RadarRearcorner_V2.5_AllNodes.dbc:1226</x:v>
      </x:c>
    </x:row>
    <x:row r="628" ht="72" customHeight="1">
      <x:c r="A628" s="144" t="str">
        <x:v>Com-Signal</x:v>
      </x:c>
      <x:c r="B628" s="144" t="str">
        <x:v>COM-SIG-Tx-0486 / RRR_Obj05B_MovingProbability</x:v>
      </x:c>
      <x:c r="C628" s="144" t="str">
        <x:v>PDU=RRR_Obj05B; startBit=76; length=6; byteOrder=Little; type=UINT8; factor=2; offset=0; min=0; max=100; unit=%; receivers=DASy</x:v>
      </x:c>
      <x:c r="D62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8" s="144" t="str">
        <x:v>M2</x:v>
      </x:c>
      <x:c r="F628" s="144" t="str">
        <x:v>Signal 级可编辑配置、数据类型/缩放/端序合同、RTE 接口、边界值与 round-trip 测试。</x:v>
      </x:c>
      <x:c r="G628" s="144" t="str">
        <x:v>raw=0、raw=max、物理 min/max、越界/保留值、端序字节向量、pack→unpack round-trip；1457/1457 通过。</x:v>
      </x:c>
      <x:c r="H628" s="144" t="str">
        <x:v>coem/BYD_UKE/gen_bsw/Com/Com_PBcfg.c:25813; BYD_5R1V_RadarRearcorner_V2.5_AllNodes.dbc:1223</x:v>
      </x:c>
    </x:row>
    <x:row r="629" ht="72" customHeight="1">
      <x:c r="A629" s="144" t="str">
        <x:v>Com-Signal</x:v>
      </x:c>
      <x:c r="B629" s="144" t="str">
        <x:v>COM-SIG-Tx-0487 / RRR_Obj05B_Prob4PlusWhlCAR</x:v>
      </x:c>
      <x:c r="C629" s="144" t="str">
        <x:v>PDU=RRR_Obj05B; startBit=46; length=6; byteOrder=Little; type=UINT8; factor=2; offset=0; min=0; max=100; unit=%; receivers=DASy</x:v>
      </x:c>
      <x:c r="D6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29" s="144" t="str">
        <x:v>M2</x:v>
      </x:c>
      <x:c r="F629" s="144" t="str">
        <x:v>Signal 级可编辑配置、数据类型/缩放/端序合同、RTE 接口、边界值与 round-trip 测试。</x:v>
      </x:c>
      <x:c r="G629" s="144" t="str">
        <x:v>raw=0、raw=max、物理 min/max、越界/保留值、端序字节向量、pack→unpack round-trip；1457/1457 通过。</x:v>
      </x:c>
      <x:c r="H629" s="144" t="str">
        <x:v>coem/BYD_UKE/gen_bsw/Com/Com_PBcfg.c:25866; BYD_5R1V_RadarRearcorner_V2.5_AllNodes.dbc:1232</x:v>
      </x:c>
    </x:row>
    <x:row r="630" ht="72" customHeight="1">
      <x:c r="A630" s="144" t="str">
        <x:v>Com-Signal</x:v>
      </x:c>
      <x:c r="B630" s="144" t="str">
        <x:v>COM-SIG-Tx-0488 / RRR_Obj05B_Prob4PlusWhlbHGV</x:v>
      </x:c>
      <x:c r="C630" s="144" t="str">
        <x:v>PDU=RRR_Obj05B; startBit=52; length=6; byteOrder=Little; type=UINT8; factor=2; offset=0; min=0; max=100; unit=%; receivers=DASy</x:v>
      </x:c>
      <x:c r="D6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0" s="144" t="str">
        <x:v>M2</x:v>
      </x:c>
      <x:c r="F630" s="144" t="str">
        <x:v>Signal 级可编辑配置、数据类型/缩放/端序合同、RTE 接口、边界值与 round-trip 测试。</x:v>
      </x:c>
      <x:c r="G630" s="144" t="str">
        <x:v>raw=0、raw=max、物理 min/max、越界/保留值、端序字节向量、pack→unpack round-trip；1457/1457 通过。</x:v>
      </x:c>
      <x:c r="H630" s="144" t="str">
        <x:v>coem/BYD_UKE/gen_bsw/Com/Com_PBcfg.c:25919; BYD_5R1V_RadarRearcorner_V2.5_AllNodes.dbc:1233</x:v>
      </x:c>
    </x:row>
    <x:row r="631" ht="72" customHeight="1">
      <x:c r="A631" s="144" t="str">
        <x:v>Com-Signal</x:v>
      </x:c>
      <x:c r="B631" s="144" t="str">
        <x:v>COM-SIG-Tx-0489 / RRR_Obj05B_ProbGNDReflex</x:v>
      </x:c>
      <x:c r="C631" s="144" t="str">
        <x:v>PDU=RRR_Obj05B; startBit=58; length=6; byteOrder=Little; type=UINT8; factor=2; offset=0; min=0; max=100; unit=%; receivers=DASy</x:v>
      </x:c>
      <x:c r="D6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1" s="144" t="str">
        <x:v>M2</x:v>
      </x:c>
      <x:c r="F631" s="144" t="str">
        <x:v>Signal 级可编辑配置、数据类型/缩放/端序合同、RTE 接口、边界值与 round-trip 测试。</x:v>
      </x:c>
      <x:c r="G631" s="144" t="str">
        <x:v>raw=0、raw=max、物理 min/max、越界/保留值、端序字节向量、pack→unpack round-trip；1457/1457 通过。</x:v>
      </x:c>
      <x:c r="H631" s="144" t="str">
        <x:v>coem/BYD_UKE/gen_bsw/Com/Com_PBcfg.c:25972; BYD_5R1V_RadarRearcorner_V2.5_AllNodes.dbc:1234</x:v>
      </x:c>
    </x:row>
    <x:row r="632" ht="72" customHeight="1">
      <x:c r="A632" s="144" t="str">
        <x:v>Com-Signal</x:v>
      </x:c>
      <x:c r="B632" s="144" t="str">
        <x:v>COM-SIG-Tx-0490 / RRR_Obj05B_ProbMob2Whl</x:v>
      </x:c>
      <x:c r="C632" s="144" t="str">
        <x:v>PDU=RRR_Obj05B; startBit=34; length=6; byteOrder=Little; type=UINT8; factor=2; offset=0; min=0; max=100; unit=%; receivers=DASy</x:v>
      </x:c>
      <x:c r="D6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2" s="144" t="str">
        <x:v>M2</x:v>
      </x:c>
      <x:c r="F632" s="144" t="str">
        <x:v>Signal 级可编辑配置、数据类型/缩放/端序合同、RTE 接口、边界值与 round-trip 测试。</x:v>
      </x:c>
      <x:c r="G632" s="144" t="str">
        <x:v>raw=0、raw=max、物理 min/max、越界/保留值、端序字节向量、pack→unpack round-trip；1457/1457 通过。</x:v>
      </x:c>
      <x:c r="H632" s="144" t="str">
        <x:v>coem/BYD_UKE/gen_bsw/Com/Com_PBcfg.c:26025; BYD_5R1V_RadarRearcorner_V2.5_AllNodes.dbc:1230</x:v>
      </x:c>
    </x:row>
    <x:row r="633" ht="72" customHeight="1">
      <x:c r="A633" s="144" t="str">
        <x:v>Com-Signal</x:v>
      </x:c>
      <x:c r="B633" s="144" t="str">
        <x:v>COM-SIG-Tx-0491 / RRR_Obj05B_ProbMob4PlusWhl</x:v>
      </x:c>
      <x:c r="C633" s="144" t="str">
        <x:v>PDU=RRR_Obj05B; startBit=28; length=6; byteOrder=Little; type=UINT8; factor=2; offset=0; min=0; max=100; unit=%; receivers=DASy</x:v>
      </x:c>
      <x:c r="D6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3" s="144" t="str">
        <x:v>M2</x:v>
      </x:c>
      <x:c r="F633" s="144" t="str">
        <x:v>Signal 级可编辑配置、数据类型/缩放/端序合同、RTE 接口、边界值与 round-trip 测试。</x:v>
      </x:c>
      <x:c r="G633" s="144" t="str">
        <x:v>raw=0、raw=max、物理 min/max、越界/保留值、端序字节向量、pack→unpack round-trip；1457/1457 通过。</x:v>
      </x:c>
      <x:c r="H633" s="144" t="str">
        <x:v>coem/BYD_UKE/gen_bsw/Com/Com_PBcfg.c:26078; BYD_5R1V_RadarRearcorner_V2.5_AllNodes.dbc:1229</x:v>
      </x:c>
    </x:row>
    <x:row r="634" ht="72" customHeight="1">
      <x:c r="A634" s="144" t="str">
        <x:v>Com-Signal</x:v>
      </x:c>
      <x:c r="B634" s="144" t="str">
        <x:v>COM-SIG-Tx-0492 / RRR_Obj05B_ProbMobPed</x:v>
      </x:c>
      <x:c r="C634" s="144" t="str">
        <x:v>PDU=RRR_Obj05B; startBit=40; length=6; byteOrder=Little; type=UINT8; factor=2; offset=0; min=0; max=100; unit=%; receivers=DASy</x:v>
      </x:c>
      <x:c r="D6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4" s="144" t="str">
        <x:v>M2</x:v>
      </x:c>
      <x:c r="F634" s="144" t="str">
        <x:v>Signal 级可编辑配置、数据类型/缩放/端序合同、RTE 接口、边界值与 round-trip 测试。</x:v>
      </x:c>
      <x:c r="G634" s="144" t="str">
        <x:v>raw=0、raw=max、物理 min/max、越界/保留值、端序字节向量、pack→unpack round-trip；1457/1457 通过。</x:v>
      </x:c>
      <x:c r="H634" s="144" t="str">
        <x:v>coem/BYD_UKE/gen_bsw/Com/Com_PBcfg.c:26131; BYD_5R1V_RadarRearcorner_V2.5_AllNodes.dbc:1231</x:v>
      </x:c>
    </x:row>
    <x:row r="635" ht="72" customHeight="1">
      <x:c r="A635" s="144" t="str">
        <x:v>Com-Signal</x:v>
      </x:c>
      <x:c r="B635" s="144" t="str">
        <x:v>COM-SIG-Tx-0493 / RRR_Obj05B_ProbStatBarrier</x:v>
      </x:c>
      <x:c r="C635" s="144" t="str">
        <x:v>PDU=RRR_Obj05B; startBit=64; length=6; byteOrder=Little; type=UINT8; factor=2; offset=0; min=0; max=100; unit=%; receivers=DASy</x:v>
      </x:c>
      <x:c r="D6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5" s="144" t="str">
        <x:v>M2</x:v>
      </x:c>
      <x:c r="F635" s="144" t="str">
        <x:v>Signal 级可编辑配置、数据类型/缩放/端序合同、RTE 接口、边界值与 round-trip 测试。</x:v>
      </x:c>
      <x:c r="G635" s="144" t="str">
        <x:v>raw=0、raw=max、物理 min/max、越界/保留值、端序字节向量、pack→unpack round-trip；1457/1457 通过。</x:v>
      </x:c>
      <x:c r="H635" s="144" t="str">
        <x:v>coem/BYD_UKE/gen_bsw/Com/Com_PBcfg.c:26184; BYD_5R1V_RadarRearcorner_V2.5_AllNodes.dbc:1225</x:v>
      </x:c>
    </x:row>
    <x:row r="636" ht="72" customHeight="1">
      <x:c r="A636" s="144" t="str">
        <x:v>Com-Signal</x:v>
      </x:c>
      <x:c r="B636" s="144" t="str">
        <x:v>COM-SIG-Tx-0494 / RRR_Obj05B_ProbStatObst</x:v>
      </x:c>
      <x:c r="C636" s="144" t="str">
        <x:v>PDU=RRR_Obj05B; startBit=70; length=6; byteOrder=Little; type=UINT8; factor=2; offset=0; min=0; max=100; unit=%; receivers=DASy</x:v>
      </x:c>
      <x:c r="D6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6" s="144" t="str">
        <x:v>M2</x:v>
      </x:c>
      <x:c r="F636" s="144" t="str">
        <x:v>Signal 级可编辑配置、数据类型/缩放/端序合同、RTE 接口、边界值与 round-trip 测试。</x:v>
      </x:c>
      <x:c r="G636" s="144" t="str">
        <x:v>raw=0、raw=max、物理 min/max、越界/保留值、端序字节向量、pack→unpack round-trip；1457/1457 通过。</x:v>
      </x:c>
      <x:c r="H636" s="144" t="str">
        <x:v>coem/BYD_UKE/gen_bsw/Com/Com_PBcfg.c:26237; BYD_5R1V_RadarRearcorner_V2.5_AllNodes.dbc:1224</x:v>
      </x:c>
    </x:row>
    <x:row r="637" ht="72" customHeight="1">
      <x:c r="A637" s="144" t="str">
        <x:v>Com-Signal</x:v>
      </x:c>
      <x:c r="B637" s="144" t="str">
        <x:v>COM-SIG-Tx-0495 / RRR_Obj05B_ProtBlockCtr</x:v>
      </x:c>
      <x:c r="C637" s="144" t="str">
        <x:v>PDU=RRR_Obj05B; startBit=24; length=4; byteOrder=Little; type=UINT8; factor=1; offset=0; min=0; max=15; unit=-; receivers=DASy</x:v>
      </x:c>
      <x:c r="D6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7" s="144" t="str">
        <x:v>M2</x:v>
      </x:c>
      <x:c r="F637" s="144" t="str">
        <x:v>Signal 级可编辑配置、数据类型/缩放/端序合同、RTE 接口、边界值与 round-trip 测试。</x:v>
      </x:c>
      <x:c r="G637" s="144" t="str">
        <x:v>raw=0、raw=max、物理 min/max、越界/保留值、端序字节向量、pack→unpack round-trip；1457/1457 通过。</x:v>
      </x:c>
      <x:c r="H637" s="144" t="str">
        <x:v>coem/BYD_UKE/gen_bsw/Com/Com_PBcfg.c:26290; BYD_5R1V_RadarRearcorner_V2.5_AllNodes.dbc:1228</x:v>
      </x:c>
    </x:row>
    <x:row r="638" ht="72" customHeight="1">
      <x:c r="A638" s="144" t="str">
        <x:v>Com-Signal</x:v>
      </x:c>
      <x:c r="B638" s="144" t="str">
        <x:v>COM-SIG-Tx-0496 / RRR_Obj06A_Age</x:v>
      </x:c>
      <x:c r="C638" s="144" t="str">
        <x:v>PDU=RRR_Obj06A; startBit=228; length=12; byteOrder=Little; type=UINT16; factor=1（Com原始值）; offset=0（Com原始值）; min=按位宽/类型; max=按位宽/类型; unit=-; receivers=-</x:v>
      </x:c>
      <x:c r="D63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38" s="144" t="str">
        <x:v>M2</x:v>
      </x:c>
      <x:c r="F638" s="144" t="str">
        <x:v>Signal 级可编辑配置、数据类型/缩放/端序合同、RTE 接口、边界值与 round-trip 测试。</x:v>
      </x:c>
      <x:c r="G638" s="144" t="str">
        <x:v>raw=0、raw=max、物理 min/max、越界/保留值、端序字节向量、pack→unpack round-trip；1457/1457 通过。</x:v>
      </x:c>
      <x:c r="H638" s="144" t="str">
        <x:v>coem/BYD_UKE/gen_bsw/Com/Com_PBcfg.c:26343</x:v>
      </x:c>
    </x:row>
    <x:row r="639" ht="72" customHeight="1">
      <x:c r="A639" s="144" t="str">
        <x:v>Com-Signal</x:v>
      </x:c>
      <x:c r="B639" s="144" t="str">
        <x:v>COM-SIG-Tx-0497 / RRR_Obj06A_AliveCtr</x:v>
      </x:c>
      <x:c r="C639" s="144" t="str">
        <x:v>PDU=RRR_Obj06A; startBit=16; length=8; byteOrder=Little; type=UINT8; factor=1; offset=0; min=0; max=255; unit=-; receivers=DASy</x:v>
      </x:c>
      <x:c r="D6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39" s="144" t="str">
        <x:v>M2</x:v>
      </x:c>
      <x:c r="F639" s="144" t="str">
        <x:v>Signal 级可编辑配置、数据类型/缩放/端序合同、RTE 接口、边界值与 round-trip 测试。</x:v>
      </x:c>
      <x:c r="G639" s="144" t="str">
        <x:v>raw=0、raw=max、物理 min/max、越界/保留值、端序字节向量、pack→unpack round-trip；1457/1457 通过。</x:v>
      </x:c>
      <x:c r="H639" s="144" t="str">
        <x:v>coem/BYD_UKE/gen_bsw/Com/Com_PBcfg.c:26396; BYD_5R1V_RadarRearcorner_V2.5_AllNodes.dbc:1240</x:v>
      </x:c>
    </x:row>
    <x:row r="640" ht="72" customHeight="1">
      <x:c r="A640" s="144" t="str">
        <x:v>Com-Signal</x:v>
      </x:c>
      <x:c r="B640" s="144" t="str">
        <x:v>COM-SIG-Tx-0498 / RRR_Obj06A_AxAyCoVnce</x:v>
      </x:c>
      <x:c r="C640" s="144" t="str">
        <x:v>PDU=RRR_Obj06A; startBit=396; length=12; byteOrder=Little; type=UINT16; factor=0.01; offset=0; min=0; max=30; unit=m^2/s^4; receivers=DASy</x:v>
      </x:c>
      <x:c r="D6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0" s="144" t="str">
        <x:v>M2</x:v>
      </x:c>
      <x:c r="F640" s="144" t="str">
        <x:v>Signal 级可编辑配置、数据类型/缩放/端序合同、RTE 接口、边界值与 round-trip 测试。</x:v>
      </x:c>
      <x:c r="G640" s="144" t="str">
        <x:v>raw=0、raw=max、物理 min/max、越界/保留值、端序字节向量、pack→unpack round-trip；1457/1457 通过。</x:v>
      </x:c>
      <x:c r="H640" s="144" t="str">
        <x:v>coem/BYD_UKE/gen_bsw/Com/Com_PBcfg.c:26449; BYD_5R1V_RadarRearcorner_V2.5_AllNodes.dbc:1278</x:v>
      </x:c>
    </x:row>
    <x:row r="641" ht="72" customHeight="1">
      <x:c r="A641" s="144" t="str">
        <x:v>Com-Signal</x:v>
      </x:c>
      <x:c r="B641" s="144" t="str">
        <x:v>COM-SIG-Tx-0499 / RRR_Obj06A_AxVnce</x:v>
      </x:c>
      <x:c r="C641" s="144" t="str">
        <x:v>PDU=RRR_Obj06A; startBit=200; length=12; byteOrder=Little; type=UINT16; factor=0.01; offset=0; min=0; max=30; unit=m^2/s^4; receivers=DASy</x:v>
      </x:c>
      <x:c r="D6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1" s="144" t="str">
        <x:v>M2</x:v>
      </x:c>
      <x:c r="F641" s="144" t="str">
        <x:v>Signal 级可编辑配置、数据类型/缩放/端序合同、RTE 接口、边界值与 round-trip 测试。</x:v>
      </x:c>
      <x:c r="G641" s="144" t="str">
        <x:v>raw=0、raw=max、物理 min/max、越界/保留值、端序字节向量、pack→unpack round-trip；1457/1457 通过。</x:v>
      </x:c>
      <x:c r="H641" s="144" t="str">
        <x:v>coem/BYD_UKE/gen_bsw/Com/Com_PBcfg.c:26502; BYD_5R1V_RadarRearcorner_V2.5_AllNodes.dbc:1262</x:v>
      </x:c>
    </x:row>
    <x:row r="642" ht="72" customHeight="1">
      <x:c r="A642" s="144" t="str">
        <x:v>Com-Signal</x:v>
      </x:c>
      <x:c r="B642" s="144" t="str">
        <x:v>COM-SIG-Tx-0500 / RRR_Obj06A_Ax</x:v>
      </x:c>
      <x:c r="C642" s="144" t="str">
        <x:v>PDU=RRR_Obj06A; startBit=93; length=10; byteOrder=Little; type=UINT16; factor=0.03125; offset=-16; min=-16; max=15.96875; unit=m/s^2; receivers=DASy</x:v>
      </x:c>
      <x:c r="D6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2" s="144" t="str">
        <x:v>M2</x:v>
      </x:c>
      <x:c r="F642" s="144" t="str">
        <x:v>Signal 级可编辑配置、数据类型/缩放/端序合同、RTE 接口、边界值与 round-trip 测试。</x:v>
      </x:c>
      <x:c r="G642" s="144" t="str">
        <x:v>raw=0、raw=max、物理 min/max、越界/保留值、端序字节向量、pack→unpack round-trip；1457/1457 通过。</x:v>
      </x:c>
      <x:c r="H642" s="144" t="str">
        <x:v>coem/BYD_UKE/gen_bsw/Com/Com_PBcfg.c:26555; BYD_5R1V_RadarRearcorner_V2.5_AllNodes.dbc:1251</x:v>
      </x:c>
    </x:row>
    <x:row r="643" ht="72" customHeight="1">
      <x:c r="A643" s="144" t="str">
        <x:v>Com-Signal</x:v>
      </x:c>
      <x:c r="B643" s="144" t="str">
        <x:v>COM-SIG-Tx-0501 / RRR_Obj06A_AyVnce</x:v>
      </x:c>
      <x:c r="C643" s="144" t="str">
        <x:v>PDU=RRR_Obj06A; startBit=212; length=12; byteOrder=Little; type=UINT16; factor=0.01; offset=0; min=0; max=30; unit=m^2/s^4; receivers=DASy</x:v>
      </x:c>
      <x:c r="D6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3" s="144" t="str">
        <x:v>M2</x:v>
      </x:c>
      <x:c r="F643" s="144" t="str">
        <x:v>Signal 级可编辑配置、数据类型/缩放/端序合同、RTE 接口、边界值与 round-trip 测试。</x:v>
      </x:c>
      <x:c r="G643" s="144" t="str">
        <x:v>raw=0、raw=max、物理 min/max、越界/保留值、端序字节向量、pack→unpack round-trip；1457/1457 通过。</x:v>
      </x:c>
      <x:c r="H643" s="144" t="str">
        <x:v>coem/BYD_UKE/gen_bsw/Com/Com_PBcfg.c:26608; BYD_5R1V_RadarRearcorner_V2.5_AllNodes.dbc:1263</x:v>
      </x:c>
    </x:row>
    <x:row r="644" ht="72" customHeight="1">
      <x:c r="A644" s="144" t="str">
        <x:v>Com-Signal</x:v>
      </x:c>
      <x:c r="B644" s="144" t="str">
        <x:v>COM-SIG-Tx-0502 / RRR_Obj06A_Ay</x:v>
      </x:c>
      <x:c r="C644" s="144" t="str">
        <x:v>PDU=RRR_Obj06A; startBit=103; length=9; byteOrder=Little; type=UINT16; factor=0.0625; offset=-16; min=-16; max=15.9375; unit=m/s^2; receivers=DASy</x:v>
      </x:c>
      <x:c r="D6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4" s="144" t="str">
        <x:v>M2</x:v>
      </x:c>
      <x:c r="F644" s="144" t="str">
        <x:v>Signal 级可编辑配置、数据类型/缩放/端序合同、RTE 接口、边界值与 round-trip 测试。</x:v>
      </x:c>
      <x:c r="G644" s="144" t="str">
        <x:v>raw=0、raw=max、物理 min/max、越界/保留值、端序字节向量、pack→unpack round-trip；1457/1457 通过。</x:v>
      </x:c>
      <x:c r="H644" s="144" t="str">
        <x:v>coem/BYD_UKE/gen_bsw/Com/Com_PBcfg.c:26661; BYD_5R1V_RadarRearcorner_V2.5_AllNodes.dbc:1252</x:v>
      </x:c>
    </x:row>
    <x:row r="645" ht="72" customHeight="1">
      <x:c r="A645" s="144" t="str">
        <x:v>Com-Signal</x:v>
      </x:c>
      <x:c r="B645" s="144" t="str">
        <x:v>COM-SIG-Tx-0503 / RRR_Obj06A_CRC</x:v>
      </x:c>
      <x:c r="C645" s="144" t="str">
        <x:v>PDU=RRR_Obj06A; startBit=0; length=16; byteOrder=Little; type=UINT16; factor=1; offset=0; min=0; max=65535; unit=-; receivers=DASy</x:v>
      </x:c>
      <x:c r="D6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5" s="144" t="str">
        <x:v>M2</x:v>
      </x:c>
      <x:c r="F645" s="144" t="str">
        <x:v>Signal 级可编辑配置、数据类型/缩放/端序合同、RTE 接口、边界值与 round-trip 测试。</x:v>
      </x:c>
      <x:c r="G645" s="144" t="str">
        <x:v>raw=0、raw=max、物理 min/max、越界/保留值、端序字节向量、pack→unpack round-trip；1457/1457 通过。</x:v>
      </x:c>
      <x:c r="H645" s="144" t="str">
        <x:v>coem/BYD_UKE/gen_bsw/Com/Com_PBcfg.c:26714; BYD_5R1V_RadarRearcorner_V2.5_AllNodes.dbc:1239</x:v>
      </x:c>
    </x:row>
    <x:row r="646" ht="72" customHeight="1">
      <x:c r="A646" s="144" t="str">
        <x:v>Com-Signal</x:v>
      </x:c>
      <x:c r="B646" s="144" t="str">
        <x:v>COM-SIG-Tx-0504 / RRR_Obj06A_DxAxCoVnce</x:v>
      </x:c>
      <x:c r="C646" s="144" t="str">
        <x:v>PDU=RRR_Obj06A; startBit=300; length=12; byteOrder=Little; type=UINT16; factor=0.01; offset=0; min=0; max=30; unit=m^2/s^2; receivers=DASy</x:v>
      </x:c>
      <x:c r="D6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6" s="144" t="str">
        <x:v>M2</x:v>
      </x:c>
      <x:c r="F646" s="144" t="str">
        <x:v>Signal 级可编辑配置、数据类型/缩放/端序合同、RTE 接口、边界值与 round-trip 测试。</x:v>
      </x:c>
      <x:c r="G646" s="144" t="str">
        <x:v>raw=0、raw=max、物理 min/max、越界/保留值、端序字节向量、pack→unpack round-trip；1457/1457 通过。</x:v>
      </x:c>
      <x:c r="H646" s="144" t="str">
        <x:v>coem/BYD_UKE/gen_bsw/Com/Com_PBcfg.c:26767; BYD_5R1V_RadarRearcorner_V2.5_AllNodes.dbc:1270</x:v>
      </x:c>
    </x:row>
    <x:row r="647" ht="72" customHeight="1">
      <x:c r="A647" s="144" t="str">
        <x:v>Com-Signal</x:v>
      </x:c>
      <x:c r="B647" s="144" t="str">
        <x:v>COM-SIG-Tx-0505 / RRR_Obj06A_DxAyCoVnce</x:v>
      </x:c>
      <x:c r="C647" s="144" t="str">
        <x:v>PDU=RRR_Obj06A; startBit=348; length=12; byteOrder=Little; type=UINT16; factor=0.01; offset=0; min=0; max=30; unit=m^2/s^2; receivers=DASy</x:v>
      </x:c>
      <x:c r="D6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7" s="144" t="str">
        <x:v>M2</x:v>
      </x:c>
      <x:c r="F647" s="144" t="str">
        <x:v>Signal 级可编辑配置、数据类型/缩放/端序合同、RTE 接口、边界值与 round-trip 测试。</x:v>
      </x:c>
      <x:c r="G647" s="144" t="str">
        <x:v>raw=0、raw=max、物理 min/max、越界/保留值、端序字节向量、pack→unpack round-trip；1457/1457 通过。</x:v>
      </x:c>
      <x:c r="H647" s="144" t="str">
        <x:v>coem/BYD_UKE/gen_bsw/Com/Com_PBcfg.c:26820; BYD_5R1V_RadarRearcorner_V2.5_AllNodes.dbc:1274</x:v>
      </x:c>
    </x:row>
    <x:row r="648" ht="72" customHeight="1">
      <x:c r="A648" s="144" t="str">
        <x:v>Com-Signal</x:v>
      </x:c>
      <x:c r="B648" s="144" t="str">
        <x:v>COM-SIG-Tx-0506 / RRR_Obj06A_DxVnce</x:v>
      </x:c>
      <x:c r="C648" s="144" t="str">
        <x:v>PDU=RRR_Obj06A; startBit=142; length=12; byteOrder=Little; type=UINT16; factor=0.01; offset=0; min=0; max=30; unit=m^2; receivers=DASy</x:v>
      </x:c>
      <x:c r="D6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8" s="144" t="str">
        <x:v>M2</x:v>
      </x:c>
      <x:c r="F648" s="144" t="str">
        <x:v>Signal 级可编辑配置、数据类型/缩放/端序合同、RTE 接口、边界值与 round-trip 测试。</x:v>
      </x:c>
      <x:c r="G648" s="144" t="str">
        <x:v>raw=0、raw=max、物理 min/max、越界/保留值、端序字节向量、pack→unpack round-trip；1457/1457 通过。</x:v>
      </x:c>
      <x:c r="H648" s="144" t="str">
        <x:v>coem/BYD_UKE/gen_bsw/Com/Com_PBcfg.c:26873; BYD_5R1V_RadarRearcorner_V2.5_AllNodes.dbc:1257</x:v>
      </x:c>
    </x:row>
    <x:row r="649" ht="72" customHeight="1">
      <x:c r="A649" s="144" t="str">
        <x:v>Com-Signal</x:v>
      </x:c>
      <x:c r="B649" s="144" t="str">
        <x:v>COM-SIG-Tx-0507 / RRR_Obj06A_Dx</x:v>
      </x:c>
      <x:c r="C649" s="144" t="str">
        <x:v>PDU=RRR_Obj06A; startBit=40; length=13; byteOrder=Little; type=UINT16; factor=0.0625; offset=-256; min=-256; max=255.9375; unit=m; receivers=DASy</x:v>
      </x:c>
      <x:c r="D6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49" s="144" t="str">
        <x:v>M2</x:v>
      </x:c>
      <x:c r="F649" s="144" t="str">
        <x:v>Signal 级可编辑配置、数据类型/缩放/端序合同、RTE 接口、边界值与 round-trip 测试。</x:v>
      </x:c>
      <x:c r="G649" s="144" t="str">
        <x:v>raw=0、raw=max、物理 min/max、越界/保留值、端序字节向量、pack→unpack round-trip；1457/1457 通过。</x:v>
      </x:c>
      <x:c r="H649" s="144" t="str">
        <x:v>coem/BYD_UKE/gen_bsw/Com/Com_PBcfg.c:26926; BYD_5R1V_RadarRearcorner_V2.5_AllNodes.dbc:1246</x:v>
      </x:c>
    </x:row>
    <x:row r="650" ht="72" customHeight="1">
      <x:c r="A650" s="144" t="str">
        <x:v>Com-Signal</x:v>
      </x:c>
      <x:c r="B650" s="144" t="str">
        <x:v>COM-SIG-Tx-0508 / RRR_Obj06A_DyAxCoVnce</x:v>
      </x:c>
      <x:c r="C650" s="144" t="str">
        <x:v>PDU=RRR_Obj06A; startBit=312; length=12; byteOrder=Little; type=UINT16; factor=0.01; offset=0; min=0; max=30; unit=m^2/s^2; receivers=DASy</x:v>
      </x:c>
      <x:c r="D6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0" s="144" t="str">
        <x:v>M2</x:v>
      </x:c>
      <x:c r="F650" s="144" t="str">
        <x:v>Signal 级可编辑配置、数据类型/缩放/端序合同、RTE 接口、边界值与 round-trip 测试。</x:v>
      </x:c>
      <x:c r="G650" s="144" t="str">
        <x:v>raw=0、raw=max、物理 min/max、越界/保留值、端序字节向量、pack→unpack round-trip；1457/1457 通过。</x:v>
      </x:c>
      <x:c r="H650" s="144" t="str">
        <x:v>coem/BYD_UKE/gen_bsw/Com/Com_PBcfg.c:26979; BYD_5R1V_RadarRearcorner_V2.5_AllNodes.dbc:1271</x:v>
      </x:c>
    </x:row>
    <x:row r="651" ht="72" customHeight="1">
      <x:c r="A651" s="144" t="str">
        <x:v>Com-Signal</x:v>
      </x:c>
      <x:c r="B651" s="144" t="str">
        <x:v>COM-SIG-Tx-0509 / RRR_Obj06A_DyAyCoVnce</x:v>
      </x:c>
      <x:c r="C651" s="144" t="str">
        <x:v>PDU=RRR_Obj06A; startBit=360; length=12; byteOrder=Little; type=UINT16; factor=0.01; offset=0; min=0; max=30; unit=m^2/s^2; receivers=DASy</x:v>
      </x:c>
      <x:c r="D6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1" s="144" t="str">
        <x:v>M2</x:v>
      </x:c>
      <x:c r="F651" s="144" t="str">
        <x:v>Signal 级可编辑配置、数据类型/缩放/端序合同、RTE 接口、边界值与 round-trip 测试。</x:v>
      </x:c>
      <x:c r="G651" s="144" t="str">
        <x:v>raw=0、raw=max、物理 min/max、越界/保留值、端序字节向量、pack→unpack round-trip；1457/1457 通过。</x:v>
      </x:c>
      <x:c r="H651" s="144" t="str">
        <x:v>coem/BYD_UKE/gen_bsw/Com/Com_PBcfg.c:27032; BYD_5R1V_RadarRearcorner_V2.5_AllNodes.dbc:1275</x:v>
      </x:c>
    </x:row>
    <x:row r="652" ht="72" customHeight="1">
      <x:c r="A652" s="144" t="str">
        <x:v>Com-Signal</x:v>
      </x:c>
      <x:c r="B652" s="144" t="str">
        <x:v>COM-SIG-Tx-0510 / RRR_Obj06A_DyVnce</x:v>
      </x:c>
      <x:c r="C652" s="144" t="str">
        <x:v>PDU=RRR_Obj06A; startBit=154; length=12; byteOrder=Little; type=UINT16; factor=0.01; offset=0; min=0; max=30; unit=m^2; receivers=DASy</x:v>
      </x:c>
      <x:c r="D6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2" s="144" t="str">
        <x:v>M2</x:v>
      </x:c>
      <x:c r="F652" s="144" t="str">
        <x:v>Signal 级可编辑配置、数据类型/缩放/端序合同、RTE 接口、边界值与 round-trip 测试。</x:v>
      </x:c>
      <x:c r="G652" s="144" t="str">
        <x:v>raw=0、raw=max、物理 min/max、越界/保留值、端序字节向量、pack→unpack round-trip；1457/1457 通过。</x:v>
      </x:c>
      <x:c r="H652" s="144" t="str">
        <x:v>coem/BYD_UKE/gen_bsw/Com/Com_PBcfg.c:27085; BYD_5R1V_RadarRearcorner_V2.5_AllNodes.dbc:1258</x:v>
      </x:c>
    </x:row>
    <x:row r="653" ht="72" customHeight="1">
      <x:c r="A653" s="144" t="str">
        <x:v>Com-Signal</x:v>
      </x:c>
      <x:c r="B653" s="144" t="str">
        <x:v>COM-SIG-Tx-0511 / RRR_Obj06A_DyVyCoVnce</x:v>
      </x:c>
      <x:c r="C653" s="144" t="str">
        <x:v>PDU=RRR_Obj06A; startBit=276; length=12; byteOrder=Little; type=UINT16; factor=0.01; offset=0; min=0; max=30; unit=m^2/s; receivers=DASy</x:v>
      </x:c>
      <x:c r="D6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3" s="144" t="str">
        <x:v>M2</x:v>
      </x:c>
      <x:c r="F653" s="144" t="str">
        <x:v>Signal 级可编辑配置、数据类型/缩放/端序合同、RTE 接口、边界值与 round-trip 测试。</x:v>
      </x:c>
      <x:c r="G653" s="144" t="str">
        <x:v>raw=0、raw=max、物理 min/max、越界/保留值、端序字节向量、pack→unpack round-trip；1457/1457 通过。</x:v>
      </x:c>
      <x:c r="H653" s="144" t="str">
        <x:v>coem/BYD_UKE/gen_bsw/Com/Com_PBcfg.c:27138; BYD_5R1V_RadarRearcorner_V2.5_AllNodes.dbc:1268</x:v>
      </x:c>
    </x:row>
    <x:row r="654" ht="72" customHeight="1">
      <x:c r="A654" s="144" t="str">
        <x:v>Com-Signal</x:v>
      </x:c>
      <x:c r="B654" s="144" t="str">
        <x:v>COM-SIG-Tx-0512 / RRR_Obj06A_Dy</x:v>
      </x:c>
      <x:c r="C654" s="144" t="str">
        <x:v>PDU=RRR_Obj06A; startBit=59; length=11; byteOrder=Little; type=UINT16; factor=0.125; offset=-128; min=-128; max=127.875; unit=m; receivers=DASy</x:v>
      </x:c>
      <x:c r="D6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4" s="144" t="str">
        <x:v>M2</x:v>
      </x:c>
      <x:c r="F654" s="144" t="str">
        <x:v>Signal 级可编辑配置、数据类型/缩放/端序合同、RTE 接口、边界值与 round-trip 测试。</x:v>
      </x:c>
      <x:c r="G654" s="144" t="str">
        <x:v>raw=0、raw=max、物理 min/max、越界/保留值、端序字节向量、pack→unpack round-trip；1457/1457 通过。</x:v>
      </x:c>
      <x:c r="H654" s="144" t="str">
        <x:v>coem/BYD_UKE/gen_bsw/Com/Com_PBcfg.c:27191; BYD_5R1V_RadarRearcorner_V2.5_AllNodes.dbc:1247</x:v>
      </x:c>
    </x:row>
    <x:row r="655" ht="72" customHeight="1">
      <x:c r="A655" s="144" t="str">
        <x:v>Com-Signal</x:v>
      </x:c>
      <x:c r="B655" s="144" t="str">
        <x:v>COM-SIG-Tx-0513 / RRR_Obj06A_DzVnce</x:v>
      </x:c>
      <x:c r="C655" s="144" t="str">
        <x:v>PDU=RRR_Obj06A; startBit=166; length=10; byteOrder=Little; type=UINT16; factor=0.01; offset=0; min=0; max=10; unit=m^2; receivers=DASy</x:v>
      </x:c>
      <x:c r="D6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5" s="144" t="str">
        <x:v>M2</x:v>
      </x:c>
      <x:c r="F655" s="144" t="str">
        <x:v>Signal 级可编辑配置、数据类型/缩放/端序合同、RTE 接口、边界值与 round-trip 测试。</x:v>
      </x:c>
      <x:c r="G655" s="144" t="str">
        <x:v>raw=0、raw=max、物理 min/max、越界/保留值、端序字节向量、pack→unpack round-trip；1457/1457 通过。</x:v>
      </x:c>
      <x:c r="H655" s="144" t="str">
        <x:v>coem/BYD_UKE/gen_bsw/Com/Com_PBcfg.c:27244; BYD_5R1V_RadarRearcorner_V2.5_AllNodes.dbc:1259</x:v>
      </x:c>
    </x:row>
    <x:row r="656" ht="72" customHeight="1">
      <x:c r="A656" s="144" t="str">
        <x:v>Com-Signal</x:v>
      </x:c>
      <x:c r="B656" s="144" t="str">
        <x:v>COM-SIG-Tx-0514 / RRR_Obj06A_Dz</x:v>
      </x:c>
      <x:c r="C656" s="144" t="str">
        <x:v>PDU=RRR_Obj06A; startBit=53; length=6; byteOrder=Little; type=UINT8; factor=0.25; offset=-5; min=-5; max=10.75; unit=m; receivers=DASy</x:v>
      </x:c>
      <x:c r="D6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6" s="144" t="str">
        <x:v>M2</x:v>
      </x:c>
      <x:c r="F656" s="144" t="str">
        <x:v>Signal 级可编辑配置、数据类型/缩放/端序合同、RTE 接口、边界值与 round-trip 测试。</x:v>
      </x:c>
      <x:c r="G656" s="144" t="str">
        <x:v>raw=0、raw=max、物理 min/max、越界/保留值、端序字节向量、pack→unpack round-trip；1457/1457 通过。</x:v>
      </x:c>
      <x:c r="H656" s="144" t="str">
        <x:v>coem/BYD_UKE/gen_bsw/Com/Com_PBcfg.c:27297; BYD_5R1V_RadarRearcorner_V2.5_AllNodes.dbc:1248</x:v>
      </x:c>
    </x:row>
    <x:row r="657" ht="72" customHeight="1">
      <x:c r="A657" s="144" t="str">
        <x:v>Com-Signal</x:v>
      </x:c>
      <x:c r="B657" s="144" t="str">
        <x:v>COM-SIG-Tx-0515 / RRR_Obj06A_HeadingYawAngleVnce</x:v>
      </x:c>
      <x:c r="C657" s="144" t="str">
        <x:v>PDU=RRR_Obj06A; startBit=408; length=12; byteOrder=Little; type=UINT16; factor=0.0003; offset=0; min=0; max=1; unit=rad^2; receivers=DASy</x:v>
      </x:c>
      <x:c r="D6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7" s="144" t="str">
        <x:v>M2</x:v>
      </x:c>
      <x:c r="F657" s="144" t="str">
        <x:v>Signal 级可编辑配置、数据类型/缩放/端序合同、RTE 接口、边界值与 round-trip 测试。</x:v>
      </x:c>
      <x:c r="G657" s="144" t="str">
        <x:v>raw=0、raw=max、物理 min/max、越界/保留值、端序字节向量、pack→unpack round-trip；1457/1457 通过。</x:v>
      </x:c>
      <x:c r="H657" s="144" t="str">
        <x:v>coem/BYD_UKE/gen_bsw/Com/Com_PBcfg.c:27350; BYD_5R1V_RadarRearcorner_V2.5_AllNodes.dbc:1279</x:v>
      </x:c>
    </x:row>
    <x:row r="658" ht="72" customHeight="1">
      <x:c r="A658" s="144" t="str">
        <x:v>Com-Signal</x:v>
      </x:c>
      <x:c r="B658" s="144" t="str">
        <x:v>COM-SIG-Tx-0516 / RRR_Obj06A_HeadingYawAngle</x:v>
      </x:c>
      <x:c r="C658" s="144" t="str">
        <x:v>PDU=RRR_Obj06A; startBit=112; length=9; byteOrder=Little; type=UINT16; factor=0.0175; offset=-4.48; min=-3.15; max=3.15; unit=rad; receivers=DASy</x:v>
      </x:c>
      <x:c r="D6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58" s="144" t="str">
        <x:v>M2</x:v>
      </x:c>
      <x:c r="F658" s="144" t="str">
        <x:v>Signal 级可编辑配置、数据类型/缩放/端序合同、RTE 接口、边界值与 round-trip 测试。</x:v>
      </x:c>
      <x:c r="G658" s="144" t="str">
        <x:v>raw=0、raw=max、物理 min/max、越界/保留值、端序字节向量、pack→unpack round-trip；1457/1457 通过。</x:v>
      </x:c>
      <x:c r="H658" s="144" t="str">
        <x:v>coem/BYD_UKE/gen_bsw/Com/Com_PBcfg.c:27403; BYD_5R1V_RadarRearcorner_V2.5_AllNodes.dbc:1253</x:v>
      </x:c>
    </x:row>
    <x:row r="659" ht="72" customHeight="1">
      <x:c r="A659" s="144" t="str">
        <x:v>Com-Signal</x:v>
      </x:c>
      <x:c r="B659" s="144" t="str">
        <x:v>COM-SIG-Tx-0517 / RRR_Obj06A_HeadingYawrate</x:v>
      </x:c>
      <x:c r="C659" s="144" t="str">
        <x:v>PDU=RRR_Obj06A; startBit=240; length=12; byteOrder=Little; type=UINT16; factor=1（Com原始值）; offset=0（Com原始值）; min=按位宽/类型; max=按位宽/类型; unit=-; receivers=-</x:v>
      </x:c>
      <x:c r="D659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59" s="144" t="str">
        <x:v>M2</x:v>
      </x:c>
      <x:c r="F659" s="144" t="str">
        <x:v>Signal 级可编辑配置、数据类型/缩放/端序合同、RTE 接口、边界值与 round-trip 测试。</x:v>
      </x:c>
      <x:c r="G659" s="144" t="str">
        <x:v>raw=0、raw=max、物理 min/max、越界/保留值、端序字节向量、pack→unpack round-trip；1457/1457 通过。</x:v>
      </x:c>
      <x:c r="H659" s="144" t="str">
        <x:v>coem/BYD_UKE/gen_bsw/Com/Com_PBcfg.c:27456</x:v>
      </x:c>
    </x:row>
    <x:row r="660" ht="72" customHeight="1">
      <x:c r="A660" s="144" t="str">
        <x:v>Com-Signal</x:v>
      </x:c>
      <x:c r="B660" s="144" t="str">
        <x:v>COM-SIG-Tx-0518 / RRR_Obj06A_HeightVnce</x:v>
      </x:c>
      <x:c r="C660" s="144" t="str">
        <x:v>PDU=RRR_Obj06A; startBit=444; length=12; byteOrder=Little; type=UINT16; factor=0.01; offset=0; min=0; max=30; unit=m^2; receivers=DASy</x:v>
      </x:c>
      <x:c r="D6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0" s="144" t="str">
        <x:v>M2</x:v>
      </x:c>
      <x:c r="F660" s="144" t="str">
        <x:v>Signal 级可编辑配置、数据类型/缩放/端序合同、RTE 接口、边界值与 round-trip 测试。</x:v>
      </x:c>
      <x:c r="G660" s="144" t="str">
        <x:v>raw=0、raw=max、物理 min/max、越界/保留值、端序字节向量、pack→unpack round-trip；1457/1457 通过。</x:v>
      </x:c>
      <x:c r="H660" s="144" t="str">
        <x:v>coem/BYD_UKE/gen_bsw/Com/Com_PBcfg.c:27509; BYD_5R1V_RadarRearcorner_V2.5_AllNodes.dbc:1238</x:v>
      </x:c>
    </x:row>
    <x:row r="661" ht="72" customHeight="1">
      <x:c r="A661" s="144" t="str">
        <x:v>Com-Signal</x:v>
      </x:c>
      <x:c r="B661" s="144" t="str">
        <x:v>COM-SIG-Tx-0519 / RRR_Obj06A_Height</x:v>
      </x:c>
      <x:c r="C661" s="144" t="str">
        <x:v>PDU=RRR_Obj06A; startBit=135; length=7; byteOrder=Little; type=UINT8; factor=0.125; offset=0; min=0; max=15.875; unit=m; receivers=DASy</x:v>
      </x:c>
      <x:c r="D6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1" s="144" t="str">
        <x:v>M2</x:v>
      </x:c>
      <x:c r="F661" s="144" t="str">
        <x:v>Signal 级可编辑配置、数据类型/缩放/端序合同、RTE 接口、边界值与 round-trip 测试。</x:v>
      </x:c>
      <x:c r="G661" s="144" t="str">
        <x:v>raw=0、raw=max、物理 min/max、越界/保留值、端序字节向量、pack→unpack round-trip；1457/1457 通过。</x:v>
      </x:c>
      <x:c r="H661" s="144" t="str">
        <x:v>coem/BYD_UKE/gen_bsw/Com/Com_PBcfg.c:27562; BYD_5R1V_RadarRearcorner_V2.5_AllNodes.dbc:1256</x:v>
      </x:c>
    </x:row>
    <x:row r="662" ht="72" customHeight="1">
      <x:c r="A662" s="144" t="str">
        <x:v>Com-Signal</x:v>
      </x:c>
      <x:c r="B662" s="144" t="str">
        <x:v>COM-SIG-Tx-0520 / RRR_Obj06A_ID</x:v>
      </x:c>
      <x:c r="C662" s="144" t="str">
        <x:v>PDU=RRR_Obj06A; startBit=32; length=7; byteOrder=Little; type=UINT8; factor=1; offset=0; min=0; max=127; unit=-; receivers=DASy</x:v>
      </x:c>
      <x:c r="D66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2" s="144" t="str">
        <x:v>M2</x:v>
      </x:c>
      <x:c r="F662" s="144" t="str">
        <x:v>Signal 级可编辑配置、数据类型/缩放/端序合同、RTE 接口、边界值与 round-trip 测试。</x:v>
      </x:c>
      <x:c r="G662" s="144" t="str">
        <x:v>raw=0、raw=max、物理 min/max、越界/保留值、端序字节向量、pack→unpack round-trip；1457/1457 通过。</x:v>
      </x:c>
      <x:c r="H662" s="144" t="str">
        <x:v>coem/BYD_UKE/gen_bsw/Com/Com_PBcfg.c:27615; BYD_5R1V_RadarRearcorner_V2.5_AllNodes.dbc:1242</x:v>
      </x:c>
    </x:row>
    <x:row r="663" ht="72" customHeight="1">
      <x:c r="A663" s="144" t="str">
        <x:v>Com-Signal</x:v>
      </x:c>
      <x:c r="B663" s="144" t="str">
        <x:v>COM-SIG-Tx-0521 / RRR_Obj06A_LengthVnce</x:v>
      </x:c>
      <x:c r="C663" s="144" t="str">
        <x:v>PDU=RRR_Obj06A; startBit=420; length=12; byteOrder=Little; type=UINT16; factor=0.01; offset=0; min=0; max=30; unit=m^2; receivers=DASy</x:v>
      </x:c>
      <x:c r="D6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3" s="144" t="str">
        <x:v>M2</x:v>
      </x:c>
      <x:c r="F663" s="144" t="str">
        <x:v>Signal 级可编辑配置、数据类型/缩放/端序合同、RTE 接口、边界值与 round-trip 测试。</x:v>
      </x:c>
      <x:c r="G663" s="144" t="str">
        <x:v>raw=0、raw=max、物理 min/max、越界/保留值、端序字节向量、pack→unpack round-trip；1457/1457 通过。</x:v>
      </x:c>
      <x:c r="H663" s="144" t="str">
        <x:v>coem/BYD_UKE/gen_bsw/Com/Com_PBcfg.c:27668; BYD_5R1V_RadarRearcorner_V2.5_AllNodes.dbc:1280</x:v>
      </x:c>
    </x:row>
    <x:row r="664" ht="72" customHeight="1">
      <x:c r="A664" s="144" t="str">
        <x:v>Com-Signal</x:v>
      </x:c>
      <x:c r="B664" s="144" t="str">
        <x:v>COM-SIG-Tx-0522 / RRR_Obj06A_Length</x:v>
      </x:c>
      <x:c r="C664" s="144" t="str">
        <x:v>PDU=RRR_Obj06A; startBit=121; length=7; byteOrder=Little; type=UINT8; factor=0.125; offset=0; min=0; max=15.875; unit=m; receivers=DASy</x:v>
      </x:c>
      <x:c r="D6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4" s="144" t="str">
        <x:v>M2</x:v>
      </x:c>
      <x:c r="F664" s="144" t="str">
        <x:v>Signal 级可编辑配置、数据类型/缩放/端序合同、RTE 接口、边界值与 round-trip 测试。</x:v>
      </x:c>
      <x:c r="G664" s="144" t="str">
        <x:v>raw=0、raw=max、物理 min/max、越界/保留值、端序字节向量、pack→unpack round-trip；1457/1457 通过。</x:v>
      </x:c>
      <x:c r="H664" s="144" t="str">
        <x:v>coem/BYD_UKE/gen_bsw/Com/Com_PBcfg.c:27721; BYD_5R1V_RadarRearcorner_V2.5_AllNodes.dbc:1254</x:v>
      </x:c>
    </x:row>
    <x:row r="665" ht="72" customHeight="1">
      <x:c r="A665" s="144" t="str">
        <x:v>Com-Signal</x:v>
      </x:c>
      <x:c r="B665" s="144" t="str">
        <x:v>COM-SIG-Tx-0523 / RRR_Obj06A_Measured</x:v>
      </x:c>
      <x:c r="C665" s="144" t="str">
        <x:v>PDU=RRR_Obj06A; startBit=39; length=1; byteOrder=Little; type=UINT8; factor=1; offset=0; min=0; max=1; unit=-; receivers=DASy</x:v>
      </x:c>
      <x:c r="D6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5" s="144" t="str">
        <x:v>M2</x:v>
      </x:c>
      <x:c r="F665" s="144" t="str">
        <x:v>Signal 级可编辑配置、数据类型/缩放/端序合同、RTE 接口、边界值与 round-trip 测试。</x:v>
      </x:c>
      <x:c r="G665" s="144" t="str">
        <x:v>raw=0、raw=max、物理 min/max、越界/保留值、端序字节向量、pack→unpack round-trip；1457/1457 通过。</x:v>
      </x:c>
      <x:c r="H665" s="144" t="str">
        <x:v>coem/BYD_UKE/gen_bsw/Com/Com_PBcfg.c:27774; BYD_5R1V_RadarRearcorner_V2.5_AllNodes.dbc:1245</x:v>
      </x:c>
    </x:row>
    <x:row r="666" ht="72" customHeight="1">
      <x:c r="A666" s="144" t="str">
        <x:v>Com-Signal</x:v>
      </x:c>
      <x:c r="B666" s="144" t="str">
        <x:v>COM-SIG-Tx-0524 / RRR_Obj06A_ObjDetected</x:v>
      </x:c>
      <x:c r="C666" s="144" t="str">
        <x:v>PDU=RRR_Obj06A; startBit=264; length=12; byteOrder=Little; type=UINT16; factor=1（Com原始值）; offset=0（Com原始值）; min=按位宽/类型; max=按位宽/类型; unit=-; receivers=-</x:v>
      </x:c>
      <x:c r="D66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66" s="144" t="str">
        <x:v>M2</x:v>
      </x:c>
      <x:c r="F666" s="144" t="str">
        <x:v>Signal 级可编辑配置、数据类型/缩放/端序合同、RTE 接口、边界值与 round-trip 测试。</x:v>
      </x:c>
      <x:c r="G666" s="144" t="str">
        <x:v>raw=0、raw=max、物理 min/max、越界/保留值、端序字节向量、pack→unpack round-trip；1457/1457 通过。</x:v>
      </x:c>
      <x:c r="H666" s="144" t="str">
        <x:v>coem/BYD_UKE/gen_bsw/Com/Com_PBcfg.c:27827</x:v>
      </x:c>
    </x:row>
    <x:row r="667" ht="72" customHeight="1">
      <x:c r="A667" s="144" t="str">
        <x:v>Com-Signal</x:v>
      </x:c>
      <x:c r="B667" s="144" t="str">
        <x:v>COM-SIG-Tx-0525 / RRR_Obj06A_ProbExist</x:v>
      </x:c>
      <x:c r="C667" s="144" t="str">
        <x:v>PDU=RRR_Obj06A; startBit=456; length=6; byteOrder=Little; type=UINT8; factor=2; offset=0; min=0; max=100; unit=%; receivers=DASy</x:v>
      </x:c>
      <x:c r="D6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7" s="144" t="str">
        <x:v>M2</x:v>
      </x:c>
      <x:c r="F667" s="144" t="str">
        <x:v>Signal 级可编辑配置、数据类型/缩放/端序合同、RTE 接口、边界值与 round-trip 测试。</x:v>
      </x:c>
      <x:c r="G667" s="144" t="str">
        <x:v>raw=0、raw=max、物理 min/max、越界/保留值、端序字节向量、pack→unpack round-trip；1457/1457 通过。</x:v>
      </x:c>
      <x:c r="H667" s="144" t="str">
        <x:v>coem/BYD_UKE/gen_bsw/Com/Com_PBcfg.c:27880; BYD_5R1V_RadarRearcorner_V2.5_AllNodes.dbc:1282</x:v>
      </x:c>
    </x:row>
    <x:row r="668" ht="72" customHeight="1">
      <x:c r="A668" s="144" t="str">
        <x:v>Com-Signal</x:v>
      </x:c>
      <x:c r="B668" s="144" t="str">
        <x:v>COM-SIG-Tx-0526 / RRR_Obj06A_ProbMobileObst</x:v>
      </x:c>
      <x:c r="C668" s="144" t="str">
        <x:v>PDU=RRR_Obj06A; startBit=474; length=6; byteOrder=Little; type=UINT8; factor=2; offset=0; min=0; max=100; unit=%; receivers=DASy</x:v>
      </x:c>
      <x:c r="D6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8" s="144" t="str">
        <x:v>M2</x:v>
      </x:c>
      <x:c r="F668" s="144" t="str">
        <x:v>Signal 级可编辑配置、数据类型/缩放/端序合同、RTE 接口、边界值与 round-trip 测试。</x:v>
      </x:c>
      <x:c r="G668" s="144" t="str">
        <x:v>raw=0、raw=max、物理 min/max、越界/保留值、端序字节向量、pack→unpack round-trip；1457/1457 通过。</x:v>
      </x:c>
      <x:c r="H668" s="144" t="str">
        <x:v>coem/BYD_UKE/gen_bsw/Com/Com_PBcfg.c:27933; BYD_5R1V_RadarRearcorner_V2.5_AllNodes.dbc:1285</x:v>
      </x:c>
    </x:row>
    <x:row r="669" ht="72" customHeight="1">
      <x:c r="A669" s="144" t="str">
        <x:v>Com-Signal</x:v>
      </x:c>
      <x:c r="B669" s="144" t="str">
        <x:v>COM-SIG-Tx-0527 / RRR_Obj06A_ProbNonObstacle</x:v>
      </x:c>
      <x:c r="C669" s="144" t="str">
        <x:v>PDU=RRR_Obj06A; startBit=468; length=6; byteOrder=Little; type=UINT8; factor=2; offset=0; min=0; max=100; unit=%; receivers=DASy</x:v>
      </x:c>
      <x:c r="D6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69" s="144" t="str">
        <x:v>M2</x:v>
      </x:c>
      <x:c r="F669" s="144" t="str">
        <x:v>Signal 级可编辑配置、数据类型/缩放/端序合同、RTE 接口、边界值与 round-trip 测试。</x:v>
      </x:c>
      <x:c r="G669" s="144" t="str">
        <x:v>raw=0、raw=max、物理 min/max、越界/保留值、端序字节向量、pack→unpack round-trip；1457/1457 通过。</x:v>
      </x:c>
      <x:c r="H669" s="144" t="str">
        <x:v>coem/BYD_UKE/gen_bsw/Com/Com_PBcfg.c:27986; BYD_5R1V_RadarRearcorner_V2.5_AllNodes.dbc:1284</x:v>
      </x:c>
    </x:row>
    <x:row r="670" ht="72" customHeight="1">
      <x:c r="A670" s="144" t="str">
        <x:v>Com-Signal</x:v>
      </x:c>
      <x:c r="B670" s="144" t="str">
        <x:v>COM-SIG-Tx-0528 / RRR_Obj06A_ProbObstacle</x:v>
      </x:c>
      <x:c r="C670" s="144" t="str">
        <x:v>PDU=RRR_Obj06A; startBit=462; length=6; byteOrder=Little; type=UINT8; factor=2; offset=0; min=0; max=100; unit=%; receivers=DASy</x:v>
      </x:c>
      <x:c r="D6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0" s="144" t="str">
        <x:v>M2</x:v>
      </x:c>
      <x:c r="F670" s="144" t="str">
        <x:v>Signal 级可编辑配置、数据类型/缩放/端序合同、RTE 接口、边界值与 round-trip 测试。</x:v>
      </x:c>
      <x:c r="G670" s="144" t="str">
        <x:v>raw=0、raw=max、物理 min/max、越界/保留值、端序字节向量、pack→unpack round-trip；1457/1457 通过。</x:v>
      </x:c>
      <x:c r="H670" s="144" t="str">
        <x:v>coem/BYD_UKE/gen_bsw/Com/Com_PBcfg.c:28039; BYD_5R1V_RadarRearcorner_V2.5_AllNodes.dbc:1283</x:v>
      </x:c>
    </x:row>
    <x:row r="671" ht="72" customHeight="1">
      <x:c r="A671" s="144" t="str">
        <x:v>Com-Signal</x:v>
      </x:c>
      <x:c r="B671" s="144" t="str">
        <x:v>COM-SIG-Tx-0529 / RRR_Obj06A_ProtBlockCtr</x:v>
      </x:c>
      <x:c r="C671" s="144" t="str">
        <x:v>PDU=RRR_Obj06A; startBit=24; length=4; byteOrder=Little; type=UINT8; factor=1; offset=0; min=0; max=15; unit=-; receivers=DASy</x:v>
      </x:c>
      <x:c r="D6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1" s="144" t="str">
        <x:v>M2</x:v>
      </x:c>
      <x:c r="F671" s="144" t="str">
        <x:v>Signal 级可编辑配置、数据类型/缩放/端序合同、RTE 接口、边界值与 round-trip 测试。</x:v>
      </x:c>
      <x:c r="G671" s="144" t="str">
        <x:v>raw=0、raw=max、物理 min/max、越界/保留值、端序字节向量、pack→unpack round-trip；1457/1457 通过。</x:v>
      </x:c>
      <x:c r="H671" s="144" t="str">
        <x:v>coem/BYD_UKE/gen_bsw/Com/Com_PBcfg.c:28092; BYD_5R1V_RadarRearcorner_V2.5_AllNodes.dbc:1241</x:v>
      </x:c>
    </x:row>
    <x:row r="672" ht="72" customHeight="1">
      <x:c r="A672" s="144" t="str">
        <x:v>Com-Signal</x:v>
      </x:c>
      <x:c r="B672" s="144" t="str">
        <x:v>COM-SIG-Tx-0530 / RRR_Obj06A_RCS</x:v>
      </x:c>
      <x:c r="C672" s="144" t="str">
        <x:v>PDU=RRR_Obj06A; startBit=252; length=12; byteOrder=Little; type=UINT16; factor=1（Com原始值）; offset=0（Com原始值）; min=按位宽/类型; max=按位宽/类型; unit=-; receivers=-</x:v>
      </x:c>
      <x:c r="D67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72" s="144" t="str">
        <x:v>M2</x:v>
      </x:c>
      <x:c r="F672" s="144" t="str">
        <x:v>Signal 级可编辑配置、数据类型/缩放/端序合同、RTE 接口、边界值与 round-trip 测试。</x:v>
      </x:c>
      <x:c r="G672" s="144" t="str">
        <x:v>raw=0、raw=max、物理 min/max、越界/保留值、端序字节向量、pack→unpack round-trip；1457/1457 通过。</x:v>
      </x:c>
      <x:c r="H672" s="144" t="str">
        <x:v>coem/BYD_UKE/gen_bsw/Com/Com_PBcfg.c:28145</x:v>
      </x:c>
    </x:row>
    <x:row r="673" ht="72" customHeight="1">
      <x:c r="A673" s="144" t="str">
        <x:v>Com-Signal</x:v>
      </x:c>
      <x:c r="B673" s="144" t="str">
        <x:v>COM-SIG-Tx-0531 / RRR_Obj06A_RefPosIndex</x:v>
      </x:c>
      <x:c r="C673" s="144" t="str">
        <x:v>PDU=RRR_Obj06A; startBit=224; length=4; byteOrder=Little; type=UINT8; factor=1; offset=0; min=0; max=15; unit=-; receivers=DASy</x:v>
      </x:c>
      <x:c r="D6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3" s="144" t="str">
        <x:v>M2</x:v>
      </x:c>
      <x:c r="F673" s="144" t="str">
        <x:v>Signal 级可编辑配置、数据类型/缩放/端序合同、RTE 接口、边界值与 round-trip 测试。</x:v>
      </x:c>
      <x:c r="G673" s="144" t="str">
        <x:v>raw=0、raw=max、物理 min/max、越界/保留值、端序字节向量、pack→unpack round-trip；1457/1457 通过。</x:v>
      </x:c>
      <x:c r="H673" s="144" t="str">
        <x:v>coem/BYD_UKE/gen_bsw/Com/Com_PBcfg.c:28198; BYD_5R1V_RadarRearcorner_V2.5_AllNodes.dbc:1243</x:v>
      </x:c>
    </x:row>
    <x:row r="674" ht="72" customHeight="1">
      <x:c r="A674" s="144" t="str">
        <x:v>Com-Signal</x:v>
      </x:c>
      <x:c r="B674" s="144" t="str">
        <x:v>COM-SIG-Tx-0532 / RRR_Obj06A_Valid</x:v>
      </x:c>
      <x:c r="C674" s="144" t="str">
        <x:v>PDU=RRR_Obj06A; startBit=70; length=1; byteOrder=Little; type=UINT8; factor=1; offset=0; min=0; max=1; unit=-; receivers=DASy</x:v>
      </x:c>
      <x:c r="D6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4" s="144" t="str">
        <x:v>M2</x:v>
      </x:c>
      <x:c r="F674" s="144" t="str">
        <x:v>Signal 级可编辑配置、数据类型/缩放/端序合同、RTE 接口、边界值与 round-trip 测试。</x:v>
      </x:c>
      <x:c r="G674" s="144" t="str">
        <x:v>raw=0、raw=max、物理 min/max、越界/保留值、端序字节向量、pack→unpack round-trip；1457/1457 通过。</x:v>
      </x:c>
      <x:c r="H674" s="144" t="str">
        <x:v>coem/BYD_UKE/gen_bsw/Com/Com_PBcfg.c:28251; BYD_5R1V_RadarRearcorner_V2.5_AllNodes.dbc:1244</x:v>
      </x:c>
    </x:row>
    <x:row r="675" ht="72" customHeight="1">
      <x:c r="A675" s="144" t="str">
        <x:v>Com-Signal</x:v>
      </x:c>
      <x:c r="B675" s="144" t="str">
        <x:v>COM-SIG-Tx-0533 / RRR_Obj06A_VxAxCoVnce</x:v>
      </x:c>
      <x:c r="C675" s="144" t="str">
        <x:v>PDU=RRR_Obj06A; startBit=324; length=12; byteOrder=Little; type=UINT16; factor=0.01; offset=0; min=0; max=30; unit=m^2/s^3; receivers=DASy</x:v>
      </x:c>
      <x:c r="D6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5" s="144" t="str">
        <x:v>M2</x:v>
      </x:c>
      <x:c r="F675" s="144" t="str">
        <x:v>Signal 级可编辑配置、数据类型/缩放/端序合同、RTE 接口、边界值与 round-trip 测试。</x:v>
      </x:c>
      <x:c r="G675" s="144" t="str">
        <x:v>raw=0、raw=max、物理 min/max、越界/保留值、端序字节向量、pack→unpack round-trip；1457/1457 通过。</x:v>
      </x:c>
      <x:c r="H675" s="144" t="str">
        <x:v>coem/BYD_UKE/gen_bsw/Com/Com_PBcfg.c:28304; BYD_5R1V_RadarRearcorner_V2.5_AllNodes.dbc:1272</x:v>
      </x:c>
    </x:row>
    <x:row r="676" ht="72" customHeight="1">
      <x:c r="A676" s="144" t="str">
        <x:v>Com-Signal</x:v>
      </x:c>
      <x:c r="B676" s="144" t="str">
        <x:v>COM-SIG-Tx-0534 / RRR_Obj06A_VxAyCoVnce</x:v>
      </x:c>
      <x:c r="C676" s="144" t="str">
        <x:v>PDU=RRR_Obj06A; startBit=372; length=12; byteOrder=Little; type=UINT16; factor=0.01; offset=0; min=0; max=30; unit=m^2/s^3; receivers=DASy</x:v>
      </x:c>
      <x:c r="D6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6" s="144" t="str">
        <x:v>M2</x:v>
      </x:c>
      <x:c r="F676" s="144" t="str">
        <x:v>Signal 级可编辑配置、数据类型/缩放/端序合同、RTE 接口、边界值与 round-trip 测试。</x:v>
      </x:c>
      <x:c r="G676" s="144" t="str">
        <x:v>raw=0、raw=max、物理 min/max、越界/保留值、端序字节向量、pack→unpack round-trip；1457/1457 通过。</x:v>
      </x:c>
      <x:c r="H676" s="144" t="str">
        <x:v>coem/BYD_UKE/gen_bsw/Com/Com_PBcfg.c:28357; BYD_5R1V_RadarRearcorner_V2.5_AllNodes.dbc:1276</x:v>
      </x:c>
    </x:row>
    <x:row r="677" ht="72" customHeight="1">
      <x:c r="A677" s="144" t="str">
        <x:v>Com-Signal</x:v>
      </x:c>
      <x:c r="B677" s="144" t="str">
        <x:v>COM-SIG-Tx-0535 / RRR_Obj06A_VxVnce</x:v>
      </x:c>
      <x:c r="C677" s="144" t="str">
        <x:v>PDU=RRR_Obj06A; startBit=176; length=12; byteOrder=Little; type=UINT16; factor=0.01; offset=0; min=0; max=30; unit=m^2/s^2; receivers=DASy</x:v>
      </x:c>
      <x:c r="D6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7" s="144" t="str">
        <x:v>M2</x:v>
      </x:c>
      <x:c r="F677" s="144" t="str">
        <x:v>Signal 级可编辑配置、数据类型/缩放/端序合同、RTE 接口、边界值与 round-trip 测试。</x:v>
      </x:c>
      <x:c r="G677" s="144" t="str">
        <x:v>raw=0、raw=max、物理 min/max、越界/保留值、端序字节向量、pack→unpack round-trip；1457/1457 通过。</x:v>
      </x:c>
      <x:c r="H677" s="144" t="str">
        <x:v>coem/BYD_UKE/gen_bsw/Com/Com_PBcfg.c:28410; BYD_5R1V_RadarRearcorner_V2.5_AllNodes.dbc:1260</x:v>
      </x:c>
    </x:row>
    <x:row r="678" ht="72" customHeight="1">
      <x:c r="A678" s="144" t="str">
        <x:v>Com-Signal</x:v>
      </x:c>
      <x:c r="B678" s="144" t="str">
        <x:v>COM-SIG-Tx-0536 / RRR_Obj06A_VxVyCoVnce</x:v>
      </x:c>
      <x:c r="C678" s="144" t="str">
        <x:v>PDU=RRR_Obj06A; startBit=288; length=12; byteOrder=Little; type=UINT16; factor=0.01; offset=0; min=0; max=30; unit=m^2/s^2; receivers=DASy</x:v>
      </x:c>
      <x:c r="D6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8" s="144" t="str">
        <x:v>M2</x:v>
      </x:c>
      <x:c r="F678" s="144" t="str">
        <x:v>Signal 级可编辑配置、数据类型/缩放/端序合同、RTE 接口、边界值与 round-trip 测试。</x:v>
      </x:c>
      <x:c r="G678" s="144" t="str">
        <x:v>raw=0、raw=max、物理 min/max、越界/保留值、端序字节向量、pack→unpack round-trip；1457/1457 通过。</x:v>
      </x:c>
      <x:c r="H678" s="144" t="str">
        <x:v>coem/BYD_UKE/gen_bsw/Com/Com_PBcfg.c:28463; BYD_5R1V_RadarRearcorner_V2.5_AllNodes.dbc:1269</x:v>
      </x:c>
    </x:row>
    <x:row r="679" ht="72" customHeight="1">
      <x:c r="A679" s="144" t="str">
        <x:v>Com-Signal</x:v>
      </x:c>
      <x:c r="B679" s="144" t="str">
        <x:v>COM-SIG-Tx-0537 / RRR_Obj06A_Vx</x:v>
      </x:c>
      <x:c r="C679" s="144" t="str">
        <x:v>PDU=RRR_Obj06A; startBit=71; length=12; byteOrder=Little; type=UINT16; factor=0.0625; offset=-128; min=-128; max=127.9375; unit=m/s; receivers=DASy</x:v>
      </x:c>
      <x:c r="D6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79" s="144" t="str">
        <x:v>M2</x:v>
      </x:c>
      <x:c r="F679" s="144" t="str">
        <x:v>Signal 级可编辑配置、数据类型/缩放/端序合同、RTE 接口、边界值与 round-trip 测试。</x:v>
      </x:c>
      <x:c r="G679" s="144" t="str">
        <x:v>raw=0、raw=max、物理 min/max、越界/保留值、端序字节向量、pack→unpack round-trip；1457/1457 通过。</x:v>
      </x:c>
      <x:c r="H679" s="144" t="str">
        <x:v>coem/BYD_UKE/gen_bsw/Com/Com_PBcfg.c:28516; BYD_5R1V_RadarRearcorner_V2.5_AllNodes.dbc:1249</x:v>
      </x:c>
    </x:row>
    <x:row r="680" ht="72" customHeight="1">
      <x:c r="A680" s="144" t="str">
        <x:v>Com-Signal</x:v>
      </x:c>
      <x:c r="B680" s="144" t="str">
        <x:v>COM-SIG-Tx-0538 / RRR_Obj06A_VyAxCoVnce</x:v>
      </x:c>
      <x:c r="C680" s="144" t="str">
        <x:v>PDU=RRR_Obj06A; startBit=336; length=12; byteOrder=Little; type=UINT16; factor=0.01; offset=0; min=0; max=30; unit=m^2/s^3; receivers=DASy</x:v>
      </x:c>
      <x:c r="D6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0" s="144" t="str">
        <x:v>M2</x:v>
      </x:c>
      <x:c r="F680" s="144" t="str">
        <x:v>Signal 级可编辑配置、数据类型/缩放/端序合同、RTE 接口、边界值与 round-trip 测试。</x:v>
      </x:c>
      <x:c r="G680" s="144" t="str">
        <x:v>raw=0、raw=max、物理 min/max、越界/保留值、端序字节向量、pack→unpack round-trip；1457/1457 通过。</x:v>
      </x:c>
      <x:c r="H680" s="144" t="str">
        <x:v>coem/BYD_UKE/gen_bsw/Com/Com_PBcfg.c:28569; BYD_5R1V_RadarRearcorner_V2.5_AllNodes.dbc:1273</x:v>
      </x:c>
    </x:row>
    <x:row r="681" ht="72" customHeight="1">
      <x:c r="A681" s="144" t="str">
        <x:v>Com-Signal</x:v>
      </x:c>
      <x:c r="B681" s="144" t="str">
        <x:v>COM-SIG-Tx-0539 / RRR_Obj06A_VyAyCoVnce</x:v>
      </x:c>
      <x:c r="C681" s="144" t="str">
        <x:v>PDU=RRR_Obj06A; startBit=384; length=12; byteOrder=Little; type=UINT16; factor=0.01; offset=0; min=0; max=30; unit=m^2/s^3; receivers=DASy</x:v>
      </x:c>
      <x:c r="D6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1" s="144" t="str">
        <x:v>M2</x:v>
      </x:c>
      <x:c r="F681" s="144" t="str">
        <x:v>Signal 级可编辑配置、数据类型/缩放/端序合同、RTE 接口、边界值与 round-trip 测试。</x:v>
      </x:c>
      <x:c r="G681" s="144" t="str">
        <x:v>raw=0、raw=max、物理 min/max、越界/保留值、端序字节向量、pack→unpack round-trip；1457/1457 通过。</x:v>
      </x:c>
      <x:c r="H681" s="144" t="str">
        <x:v>coem/BYD_UKE/gen_bsw/Com/Com_PBcfg.c:28622; BYD_5R1V_RadarRearcorner_V2.5_AllNodes.dbc:1277</x:v>
      </x:c>
    </x:row>
    <x:row r="682" ht="72" customHeight="1">
      <x:c r="A682" s="144" t="str">
        <x:v>Com-Signal</x:v>
      </x:c>
      <x:c r="B682" s="144" t="str">
        <x:v>COM-SIG-Tx-0540 / RRR_Obj06A_VyVnce</x:v>
      </x:c>
      <x:c r="C682" s="144" t="str">
        <x:v>PDU=RRR_Obj06A; startBit=188; length=12; byteOrder=Little; type=UINT16; factor=0.01; offset=0; min=0; max=30; unit=m^2/s^2; receivers=DASy</x:v>
      </x:c>
      <x:c r="D6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2" s="144" t="str">
        <x:v>M2</x:v>
      </x:c>
      <x:c r="F682" s="144" t="str">
        <x:v>Signal 级可编辑配置、数据类型/缩放/端序合同、RTE 接口、边界值与 round-trip 测试。</x:v>
      </x:c>
      <x:c r="G682" s="144" t="str">
        <x:v>raw=0、raw=max、物理 min/max、越界/保留值、端序字节向量、pack→unpack round-trip；1457/1457 通过。</x:v>
      </x:c>
      <x:c r="H682" s="144" t="str">
        <x:v>coem/BYD_UKE/gen_bsw/Com/Com_PBcfg.c:28675; BYD_5R1V_RadarRearcorner_V2.5_AllNodes.dbc:1261</x:v>
      </x:c>
    </x:row>
    <x:row r="683" ht="72" customHeight="1">
      <x:c r="A683" s="144" t="str">
        <x:v>Com-Signal</x:v>
      </x:c>
      <x:c r="B683" s="144" t="str">
        <x:v>COM-SIG-Tx-0541 / RRR_Obj06A_Vy</x:v>
      </x:c>
      <x:c r="C683" s="144" t="str">
        <x:v>PDU=RRR_Obj06A; startBit=83; length=10; byteOrder=Little; type=UINT16; factor=0.125; offset=-64; min=-64; max=63.875; unit=m/s; receivers=DASy</x:v>
      </x:c>
      <x:c r="D6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3" s="144" t="str">
        <x:v>M2</x:v>
      </x:c>
      <x:c r="F683" s="144" t="str">
        <x:v>Signal 级可编辑配置、数据类型/缩放/端序合同、RTE 接口、边界值与 round-trip 测试。</x:v>
      </x:c>
      <x:c r="G683" s="144" t="str">
        <x:v>raw=0、raw=max、物理 min/max、越界/保留值、端序字节向量、pack→unpack round-trip；1457/1457 通过。</x:v>
      </x:c>
      <x:c r="H683" s="144" t="str">
        <x:v>coem/BYD_UKE/gen_bsw/Com/Com_PBcfg.c:28728; BYD_5R1V_RadarRearcorner_V2.5_AllNodes.dbc:1250</x:v>
      </x:c>
    </x:row>
    <x:row r="684" ht="72" customHeight="1">
      <x:c r="A684" s="144" t="str">
        <x:v>Com-Signal</x:v>
      </x:c>
      <x:c r="B684" s="144" t="str">
        <x:v>COM-SIG-Tx-0542 / RRR_Obj06A_WidthVnce</x:v>
      </x:c>
      <x:c r="C684" s="144" t="str">
        <x:v>PDU=RRR_Obj06A; startBit=432; length=12; byteOrder=Little; type=UINT16; factor=0.01; offset=0; min=0; max=30; unit=m^2; receivers=DASy</x:v>
      </x:c>
      <x:c r="D6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4" s="144" t="str">
        <x:v>M2</x:v>
      </x:c>
      <x:c r="F684" s="144" t="str">
        <x:v>Signal 级可编辑配置、数据类型/缩放/端序合同、RTE 接口、边界值与 round-trip 测试。</x:v>
      </x:c>
      <x:c r="G684" s="144" t="str">
        <x:v>raw=0、raw=max、物理 min/max、越界/保留值、端序字节向量、pack→unpack round-trip；1457/1457 通过。</x:v>
      </x:c>
      <x:c r="H684" s="144" t="str">
        <x:v>coem/BYD_UKE/gen_bsw/Com/Com_PBcfg.c:28781; BYD_5R1V_RadarRearcorner_V2.5_AllNodes.dbc:1281</x:v>
      </x:c>
    </x:row>
    <x:row r="685" ht="72" customHeight="1">
      <x:c r="A685" s="144" t="str">
        <x:v>Com-Signal</x:v>
      </x:c>
      <x:c r="B685" s="144" t="str">
        <x:v>COM-SIG-Tx-0543 / RRR_Obj06A_Width</x:v>
      </x:c>
      <x:c r="C685" s="144" t="str">
        <x:v>PDU=RRR_Obj06A; startBit=128; length=7; byteOrder=Little; type=UINT8; factor=0.125; offset=0; min=0; max=15.875; unit=m; receivers=DASy</x:v>
      </x:c>
      <x:c r="D6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5" s="144" t="str">
        <x:v>M2</x:v>
      </x:c>
      <x:c r="F685" s="144" t="str">
        <x:v>Signal 级可编辑配置、数据类型/缩放/端序合同、RTE 接口、边界值与 round-trip 测试。</x:v>
      </x:c>
      <x:c r="G685" s="144" t="str">
        <x:v>raw=0、raw=max、物理 min/max、越界/保留值、端序字节向量、pack→unpack round-trip；1457/1457 通过。</x:v>
      </x:c>
      <x:c r="H685" s="144" t="str">
        <x:v>coem/BYD_UKE/gen_bsw/Com/Com_PBcfg.c:28834; BYD_5R1V_RadarRearcorner_V2.5_AllNodes.dbc:1255</x:v>
      </x:c>
    </x:row>
    <x:row r="686" ht="72" customHeight="1">
      <x:c r="A686" s="144" t="str">
        <x:v>Com-Signal</x:v>
      </x:c>
      <x:c r="B686" s="144" t="str">
        <x:v>COM-SIG-Tx-0544 / RRR_Obj06A_Type</x:v>
      </x:c>
      <x:c r="C686" s="144" t="str">
        <x:v>PDU=RRR_Obj06B; startBit=82; length=6; byteOrder=Little; type=UINT8; factor=1（Com原始值）; offset=0（Com原始值）; min=按位宽/类型; max=按位宽/类型; unit=-; receivers=-</x:v>
      </x:c>
      <x:c r="D68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86" s="144" t="str">
        <x:v>M2</x:v>
      </x:c>
      <x:c r="F686" s="144" t="str">
        <x:v>Signal 级可编辑配置、数据类型/缩放/端序合同、RTE 接口、边界值与 round-trip 测试。</x:v>
      </x:c>
      <x:c r="G686" s="144" t="str">
        <x:v>raw=0、raw=max、物理 min/max、越界/保留值、端序字节向量、pack→unpack round-trip；1457/1457 通过。</x:v>
      </x:c>
      <x:c r="H686" s="144" t="str">
        <x:v>coem/BYD_UKE/gen_bsw/Com/Com_PBcfg.c:28887</x:v>
      </x:c>
    </x:row>
    <x:row r="687" ht="72" customHeight="1">
      <x:c r="A687" s="144" t="str">
        <x:v>Com-Signal</x:v>
      </x:c>
      <x:c r="B687" s="144" t="str">
        <x:v>COM-SIG-Tx-0545 / RRR_Obj06B_AliveCtr</x:v>
      </x:c>
      <x:c r="C687" s="144" t="str">
        <x:v>PDU=RRR_Obj06B; startBit=16; length=8; byteOrder=Little; type=UINT8; factor=1; offset=0; min=0; max=255; unit=-; receivers=DASy</x:v>
      </x:c>
      <x:c r="D6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7" s="144" t="str">
        <x:v>M2</x:v>
      </x:c>
      <x:c r="F687" s="144" t="str">
        <x:v>Signal 级可编辑配置、数据类型/缩放/端序合同、RTE 接口、边界值与 round-trip 测试。</x:v>
      </x:c>
      <x:c r="G687" s="144" t="str">
        <x:v>raw=0、raw=max、物理 min/max、越界/保留值、端序字节向量、pack→unpack round-trip；1457/1457 通过。</x:v>
      </x:c>
      <x:c r="H687" s="144" t="str">
        <x:v>coem/BYD_UKE/gen_bsw/Com/Com_PBcfg.c:28940; BYD_5R1V_RadarRearcorner_V2.5_AllNodes.dbc:1293</x:v>
      </x:c>
    </x:row>
    <x:row r="688" ht="72" customHeight="1">
      <x:c r="A688" s="144" t="str">
        <x:v>Com-Signal</x:v>
      </x:c>
      <x:c r="B688" s="144" t="str">
        <x:v>COM-SIG-Tx-0546 / RRR_Obj06B_BehaviorType</x:v>
      </x:c>
      <x:c r="C688" s="144" t="str">
        <x:v>PDU=RRR_Obj06B; startBit=88; length=3; byteOrder=Little; type=UINT8; factor=1; offset=0; min=0; max=7; unit=-; receivers=DASy</x:v>
      </x:c>
      <x:c r="D6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8" s="144" t="str">
        <x:v>M2</x:v>
      </x:c>
      <x:c r="F688" s="144" t="str">
        <x:v>Signal 级可编辑配置、数据类型/缩放/端序合同、RTE 接口、边界值与 round-trip 测试。</x:v>
      </x:c>
      <x:c r="G688" s="144" t="str">
        <x:v>raw=0、raw=max、物理 min/max、越界/保留值、端序字节向量、pack→unpack round-trip；1457/1457 通过。</x:v>
      </x:c>
      <x:c r="H688" s="144" t="str">
        <x:v>coem/BYD_UKE/gen_bsw/Com/Com_PBcfg.c:28993; BYD_5R1V_RadarRearcorner_V2.5_AllNodes.dbc:1301</x:v>
      </x:c>
    </x:row>
    <x:row r="689" ht="72" customHeight="1">
      <x:c r="A689" s="144" t="str">
        <x:v>Com-Signal</x:v>
      </x:c>
      <x:c r="B689" s="144" t="str">
        <x:v>COM-SIG-Tx-0547 / RRR_Obj06B_CRC</x:v>
      </x:c>
      <x:c r="C689" s="144" t="str">
        <x:v>PDU=RRR_Obj06B; startBit=0; length=16; byteOrder=Little; type=UINT16; factor=1; offset=0; min=0; max=65535; unit=-; receivers=DASy</x:v>
      </x:c>
      <x:c r="D6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89" s="144" t="str">
        <x:v>M2</x:v>
      </x:c>
      <x:c r="F689" s="144" t="str">
        <x:v>Signal 级可编辑配置、数据类型/缩放/端序合同、RTE 接口、边界值与 round-trip 测试。</x:v>
      </x:c>
      <x:c r="G689" s="144" t="str">
        <x:v>raw=0、raw=max、物理 min/max、越界/保留值、端序字节向量、pack→unpack round-trip；1457/1457 通过。</x:v>
      </x:c>
      <x:c r="H689" s="144" t="str">
        <x:v>coem/BYD_UKE/gen_bsw/Com/Com_PBcfg.c:29046; BYD_5R1V_RadarRearcorner_V2.5_AllNodes.dbc:1292</x:v>
      </x:c>
    </x:row>
    <x:row r="690" ht="72" customHeight="1">
      <x:c r="A690" s="144" t="str">
        <x:v>Com-Signal</x:v>
      </x:c>
      <x:c r="B690" s="144" t="str">
        <x:v>COM-SIG-Tx-0548 / RRR_Obj06B_MovingProbability</x:v>
      </x:c>
      <x:c r="C690" s="144" t="str">
        <x:v>PDU=RRR_Obj06B; startBit=76; length=6; byteOrder=Little; type=UINT8; factor=2; offset=0; min=0; max=100; unit=%; receivers=DASy</x:v>
      </x:c>
      <x:c r="D6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0" s="144" t="str">
        <x:v>M2</x:v>
      </x:c>
      <x:c r="F690" s="144" t="str">
        <x:v>Signal 级可编辑配置、数据类型/缩放/端序合同、RTE 接口、边界值与 round-trip 测试。</x:v>
      </x:c>
      <x:c r="G690" s="144" t="str">
        <x:v>raw=0、raw=max、物理 min/max、越界/保留值、端序字节向量、pack→unpack round-trip；1457/1457 通过。</x:v>
      </x:c>
      <x:c r="H690" s="144" t="str">
        <x:v>coem/BYD_UKE/gen_bsw/Com/Com_PBcfg.c:29099; BYD_5R1V_RadarRearcorner_V2.5_AllNodes.dbc:1289</x:v>
      </x:c>
    </x:row>
    <x:row r="691" ht="72" customHeight="1">
      <x:c r="A691" s="144" t="str">
        <x:v>Com-Signal</x:v>
      </x:c>
      <x:c r="B691" s="144" t="str">
        <x:v>COM-SIG-Tx-0549 / RRR_Obj06B_Prob4PlusWhlCAR</x:v>
      </x:c>
      <x:c r="C691" s="144" t="str">
        <x:v>PDU=RRR_Obj06B; startBit=46; length=6; byteOrder=Little; type=UINT8; factor=2; offset=0; min=0; max=100; unit=%; receivers=DASy</x:v>
      </x:c>
      <x:c r="D6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1" s="144" t="str">
        <x:v>M2</x:v>
      </x:c>
      <x:c r="F691" s="144" t="str">
        <x:v>Signal 级可编辑配置、数据类型/缩放/端序合同、RTE 接口、边界值与 round-trip 测试。</x:v>
      </x:c>
      <x:c r="G691" s="144" t="str">
        <x:v>raw=0、raw=max、物理 min/max、越界/保留值、端序字节向量、pack→unpack round-trip；1457/1457 通过。</x:v>
      </x:c>
      <x:c r="H691" s="144" t="str">
        <x:v>coem/BYD_UKE/gen_bsw/Com/Com_PBcfg.c:29152; BYD_5R1V_RadarRearcorner_V2.5_AllNodes.dbc:1298</x:v>
      </x:c>
    </x:row>
    <x:row r="692" ht="72" customHeight="1">
      <x:c r="A692" s="144" t="str">
        <x:v>Com-Signal</x:v>
      </x:c>
      <x:c r="B692" s="144" t="str">
        <x:v>COM-SIG-Tx-0550 / RRR_Obj06B_Prob4PlusWhlbHGV</x:v>
      </x:c>
      <x:c r="C692" s="144" t="str">
        <x:v>PDU=RRR_Obj06B; startBit=52; length=6; byteOrder=Little; type=UINT8; factor=2; offset=0; min=0; max=100; unit=%; receivers=DASy</x:v>
      </x:c>
      <x:c r="D6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2" s="144" t="str">
        <x:v>M2</x:v>
      </x:c>
      <x:c r="F692" s="144" t="str">
        <x:v>Signal 级可编辑配置、数据类型/缩放/端序合同、RTE 接口、边界值与 round-trip 测试。</x:v>
      </x:c>
      <x:c r="G692" s="144" t="str">
        <x:v>raw=0、raw=max、物理 min/max、越界/保留值、端序字节向量、pack→unpack round-trip；1457/1457 通过。</x:v>
      </x:c>
      <x:c r="H692" s="144" t="str">
        <x:v>coem/BYD_UKE/gen_bsw/Com/Com_PBcfg.c:29205; BYD_5R1V_RadarRearcorner_V2.5_AllNodes.dbc:1299</x:v>
      </x:c>
    </x:row>
    <x:row r="693" ht="72" customHeight="1">
      <x:c r="A693" s="144" t="str">
        <x:v>Com-Signal</x:v>
      </x:c>
      <x:c r="B693" s="144" t="str">
        <x:v>COM-SIG-Tx-0551 / RRR_Obj06B_ProbGNDReflex</x:v>
      </x:c>
      <x:c r="C693" s="144" t="str">
        <x:v>PDU=RRR_Obj06B; startBit=58; length=6; byteOrder=Little; type=UINT8; factor=2; offset=0; min=0; max=100; unit=%; receivers=DASy</x:v>
      </x:c>
      <x:c r="D6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3" s="144" t="str">
        <x:v>M2</x:v>
      </x:c>
      <x:c r="F693" s="144" t="str">
        <x:v>Signal 级可编辑配置、数据类型/缩放/端序合同、RTE 接口、边界值与 round-trip 测试。</x:v>
      </x:c>
      <x:c r="G693" s="144" t="str">
        <x:v>raw=0、raw=max、物理 min/max、越界/保留值、端序字节向量、pack→unpack round-trip；1457/1457 通过。</x:v>
      </x:c>
      <x:c r="H693" s="144" t="str">
        <x:v>coem/BYD_UKE/gen_bsw/Com/Com_PBcfg.c:29258; BYD_5R1V_RadarRearcorner_V2.5_AllNodes.dbc:1300</x:v>
      </x:c>
    </x:row>
    <x:row r="694" ht="72" customHeight="1">
      <x:c r="A694" s="144" t="str">
        <x:v>Com-Signal</x:v>
      </x:c>
      <x:c r="B694" s="144" t="str">
        <x:v>COM-SIG-Tx-0552 / RRR_Obj06B_ProbMob2Whl</x:v>
      </x:c>
      <x:c r="C694" s="144" t="str">
        <x:v>PDU=RRR_Obj06B; startBit=34; length=6; byteOrder=Little; type=UINT8; factor=2; offset=0; min=0; max=100; unit=%; receivers=DASy</x:v>
      </x:c>
      <x:c r="D6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4" s="144" t="str">
        <x:v>M2</x:v>
      </x:c>
      <x:c r="F694" s="144" t="str">
        <x:v>Signal 级可编辑配置、数据类型/缩放/端序合同、RTE 接口、边界值与 round-trip 测试。</x:v>
      </x:c>
      <x:c r="G694" s="144" t="str">
        <x:v>raw=0、raw=max、物理 min/max、越界/保留值、端序字节向量、pack→unpack round-trip；1457/1457 通过。</x:v>
      </x:c>
      <x:c r="H694" s="144" t="str">
        <x:v>coem/BYD_UKE/gen_bsw/Com/Com_PBcfg.c:29311; BYD_5R1V_RadarRearcorner_V2.5_AllNodes.dbc:1296</x:v>
      </x:c>
    </x:row>
    <x:row r="695" ht="72" customHeight="1">
      <x:c r="A695" s="144" t="str">
        <x:v>Com-Signal</x:v>
      </x:c>
      <x:c r="B695" s="144" t="str">
        <x:v>COM-SIG-Tx-0553 / RRR_Obj06B_ProbMob4PlusWhl</x:v>
      </x:c>
      <x:c r="C695" s="144" t="str">
        <x:v>PDU=RRR_Obj06B; startBit=28; length=6; byteOrder=Little; type=UINT8; factor=2; offset=0; min=0; max=100; unit=%; receivers=DASy</x:v>
      </x:c>
      <x:c r="D6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5" s="144" t="str">
        <x:v>M2</x:v>
      </x:c>
      <x:c r="F695" s="144" t="str">
        <x:v>Signal 级可编辑配置、数据类型/缩放/端序合同、RTE 接口、边界值与 round-trip 测试。</x:v>
      </x:c>
      <x:c r="G695" s="144" t="str">
        <x:v>raw=0、raw=max、物理 min/max、越界/保留值、端序字节向量、pack→unpack round-trip；1457/1457 通过。</x:v>
      </x:c>
      <x:c r="H695" s="144" t="str">
        <x:v>coem/BYD_UKE/gen_bsw/Com/Com_PBcfg.c:29364; BYD_5R1V_RadarRearcorner_V2.5_AllNodes.dbc:1295</x:v>
      </x:c>
    </x:row>
    <x:row r="696" ht="72" customHeight="1">
      <x:c r="A696" s="144" t="str">
        <x:v>Com-Signal</x:v>
      </x:c>
      <x:c r="B696" s="144" t="str">
        <x:v>COM-SIG-Tx-0554 / RRR_Obj06B_ProbMobPed</x:v>
      </x:c>
      <x:c r="C696" s="144" t="str">
        <x:v>PDU=RRR_Obj06B; startBit=40; length=6; byteOrder=Little; type=UINT8; factor=2; offset=0; min=0; max=100; unit=%; receivers=DASy</x:v>
      </x:c>
      <x:c r="D6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6" s="144" t="str">
        <x:v>M2</x:v>
      </x:c>
      <x:c r="F696" s="144" t="str">
        <x:v>Signal 级可编辑配置、数据类型/缩放/端序合同、RTE 接口、边界值与 round-trip 测试。</x:v>
      </x:c>
      <x:c r="G696" s="144" t="str">
        <x:v>raw=0、raw=max、物理 min/max、越界/保留值、端序字节向量、pack→unpack round-trip；1457/1457 通过。</x:v>
      </x:c>
      <x:c r="H696" s="144" t="str">
        <x:v>coem/BYD_UKE/gen_bsw/Com/Com_PBcfg.c:29417; BYD_5R1V_RadarRearcorner_V2.5_AllNodes.dbc:1297</x:v>
      </x:c>
    </x:row>
    <x:row r="697" ht="72" customHeight="1">
      <x:c r="A697" s="144" t="str">
        <x:v>Com-Signal</x:v>
      </x:c>
      <x:c r="B697" s="144" t="str">
        <x:v>COM-SIG-Tx-0555 / RRR_Obj06B_ProbStatBarrier</x:v>
      </x:c>
      <x:c r="C697" s="144" t="str">
        <x:v>PDU=RRR_Obj06B; startBit=64; length=6; byteOrder=Little; type=UINT8; factor=2; offset=0; min=0; max=100; unit=%; receivers=DASy</x:v>
      </x:c>
      <x:c r="D6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7" s="144" t="str">
        <x:v>M2</x:v>
      </x:c>
      <x:c r="F697" s="144" t="str">
        <x:v>Signal 级可编辑配置、数据类型/缩放/端序合同、RTE 接口、边界值与 round-trip 测试。</x:v>
      </x:c>
      <x:c r="G697" s="144" t="str">
        <x:v>raw=0、raw=max、物理 min/max、越界/保留值、端序字节向量、pack→unpack round-trip；1457/1457 通过。</x:v>
      </x:c>
      <x:c r="H697" s="144" t="str">
        <x:v>coem/BYD_UKE/gen_bsw/Com/Com_PBcfg.c:29470; BYD_5R1V_RadarRearcorner_V2.5_AllNodes.dbc:1291</x:v>
      </x:c>
    </x:row>
    <x:row r="698" ht="72" customHeight="1">
      <x:c r="A698" s="144" t="str">
        <x:v>Com-Signal</x:v>
      </x:c>
      <x:c r="B698" s="144" t="str">
        <x:v>COM-SIG-Tx-0556 / RRR_Obj06B_ProbStatObst</x:v>
      </x:c>
      <x:c r="C698" s="144" t="str">
        <x:v>PDU=RRR_Obj06B; startBit=70; length=6; byteOrder=Little; type=UINT8; factor=2; offset=0; min=0; max=100; unit=%; receivers=DASy</x:v>
      </x:c>
      <x:c r="D6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8" s="144" t="str">
        <x:v>M2</x:v>
      </x:c>
      <x:c r="F698" s="144" t="str">
        <x:v>Signal 级可编辑配置、数据类型/缩放/端序合同、RTE 接口、边界值与 round-trip 测试。</x:v>
      </x:c>
      <x:c r="G698" s="144" t="str">
        <x:v>raw=0、raw=max、物理 min/max、越界/保留值、端序字节向量、pack→unpack round-trip；1457/1457 通过。</x:v>
      </x:c>
      <x:c r="H698" s="144" t="str">
        <x:v>coem/BYD_UKE/gen_bsw/Com/Com_PBcfg.c:29523; BYD_5R1V_RadarRearcorner_V2.5_AllNodes.dbc:1290</x:v>
      </x:c>
    </x:row>
    <x:row r="699" ht="72" customHeight="1">
      <x:c r="A699" s="144" t="str">
        <x:v>Com-Signal</x:v>
      </x:c>
      <x:c r="B699" s="144" t="str">
        <x:v>COM-SIG-Tx-0557 / RRR_Obj06B_ProtBlockCtr</x:v>
      </x:c>
      <x:c r="C699" s="144" t="str">
        <x:v>PDU=RRR_Obj06B; startBit=24; length=4; byteOrder=Little; type=UINT8; factor=1; offset=0; min=0; max=15; unit=-; receivers=DASy</x:v>
      </x:c>
      <x:c r="D6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699" s="144" t="str">
        <x:v>M2</x:v>
      </x:c>
      <x:c r="F699" s="144" t="str">
        <x:v>Signal 级可编辑配置、数据类型/缩放/端序合同、RTE 接口、边界值与 round-trip 测试。</x:v>
      </x:c>
      <x:c r="G699" s="144" t="str">
        <x:v>raw=0、raw=max、物理 min/max、越界/保留值、端序字节向量、pack→unpack round-trip；1457/1457 通过。</x:v>
      </x:c>
      <x:c r="H699" s="144" t="str">
        <x:v>coem/BYD_UKE/gen_bsw/Com/Com_PBcfg.c:29576; BYD_5R1V_RadarRearcorner_V2.5_AllNodes.dbc:1294</x:v>
      </x:c>
    </x:row>
    <x:row r="700" ht="72" customHeight="1">
      <x:c r="A700" s="144" t="str">
        <x:v>Com-Signal</x:v>
      </x:c>
      <x:c r="B700" s="144" t="str">
        <x:v>COM-SIG-Tx-0558 / RRR_Obj07A_Age</x:v>
      </x:c>
      <x:c r="C700" s="144" t="str">
        <x:v>PDU=RRR_Obj07A; startBit=228; length=12; byteOrder=Little; type=UINT16; factor=1（Com原始值）; offset=0（Com原始值）; min=按位宽/类型; max=按位宽/类型; unit=-; receivers=-</x:v>
      </x:c>
      <x:c r="D70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00" s="144" t="str">
        <x:v>M2</x:v>
      </x:c>
      <x:c r="F700" s="144" t="str">
        <x:v>Signal 级可编辑配置、数据类型/缩放/端序合同、RTE 接口、边界值与 round-trip 测试。</x:v>
      </x:c>
      <x:c r="G700" s="144" t="str">
        <x:v>raw=0、raw=max、物理 min/max、越界/保留值、端序字节向量、pack→unpack round-trip；1457/1457 通过。</x:v>
      </x:c>
      <x:c r="H700" s="144" t="str">
        <x:v>coem/BYD_UKE/gen_bsw/Com/Com_PBcfg.c:29629</x:v>
      </x:c>
    </x:row>
    <x:row r="701" ht="72" customHeight="1">
      <x:c r="A701" s="144" t="str">
        <x:v>Com-Signal</x:v>
      </x:c>
      <x:c r="B701" s="144" t="str">
        <x:v>COM-SIG-Tx-0559 / RRR_Obj07A_AliveCtr</x:v>
      </x:c>
      <x:c r="C701" s="144" t="str">
        <x:v>PDU=RRR_Obj07A; startBit=16; length=8; byteOrder=Little; type=UINT8; factor=1; offset=0; min=0; max=255; unit=-; receivers=DASy</x:v>
      </x:c>
      <x:c r="D7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1" s="144" t="str">
        <x:v>M2</x:v>
      </x:c>
      <x:c r="F701" s="144" t="str">
        <x:v>Signal 级可编辑配置、数据类型/缩放/端序合同、RTE 接口、边界值与 round-trip 测试。</x:v>
      </x:c>
      <x:c r="G701" s="144" t="str">
        <x:v>raw=0、raw=max、物理 min/max、越界/保留值、端序字节向量、pack→unpack round-trip；1457/1457 通过。</x:v>
      </x:c>
      <x:c r="H701" s="144" t="str">
        <x:v>coem/BYD_UKE/gen_bsw/Com/Com_PBcfg.c:29682; BYD_5R1V_RadarRearcorner_V2.5_AllNodes.dbc:1306</x:v>
      </x:c>
    </x:row>
    <x:row r="702" ht="72" customHeight="1">
      <x:c r="A702" s="144" t="str">
        <x:v>Com-Signal</x:v>
      </x:c>
      <x:c r="B702" s="144" t="str">
        <x:v>COM-SIG-Tx-0560 / RRR_Obj07A_AxAyCoVnce</x:v>
      </x:c>
      <x:c r="C702" s="144" t="str">
        <x:v>PDU=RRR_Obj07A; startBit=396; length=12; byteOrder=Little; type=UINT16; factor=0.01; offset=0; min=0; max=30; unit=m^2/s^4; receivers=DASy</x:v>
      </x:c>
      <x:c r="D7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2" s="144" t="str">
        <x:v>M2</x:v>
      </x:c>
      <x:c r="F702" s="144" t="str">
        <x:v>Signal 级可编辑配置、数据类型/缩放/端序合同、RTE 接口、边界值与 round-trip 测试。</x:v>
      </x:c>
      <x:c r="G702" s="144" t="str">
        <x:v>raw=0、raw=max、物理 min/max、越界/保留值、端序字节向量、pack→unpack round-trip；1457/1457 通过。</x:v>
      </x:c>
      <x:c r="H702" s="144" t="str">
        <x:v>coem/BYD_UKE/gen_bsw/Com/Com_PBcfg.c:29735; BYD_5R1V_RadarRearcorner_V2.5_AllNodes.dbc:1344</x:v>
      </x:c>
    </x:row>
    <x:row r="703" ht="72" customHeight="1">
      <x:c r="A703" s="144" t="str">
        <x:v>Com-Signal</x:v>
      </x:c>
      <x:c r="B703" s="144" t="str">
        <x:v>COM-SIG-Tx-0561 / RRR_Obj07A_AxVnce</x:v>
      </x:c>
      <x:c r="C703" s="144" t="str">
        <x:v>PDU=RRR_Obj07A; startBit=200; length=12; byteOrder=Little; type=UINT16; factor=0.01; offset=0; min=0; max=30; unit=m^2/s^4; receivers=DASy</x:v>
      </x:c>
      <x:c r="D7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3" s="144" t="str">
        <x:v>M2</x:v>
      </x:c>
      <x:c r="F703" s="144" t="str">
        <x:v>Signal 级可编辑配置、数据类型/缩放/端序合同、RTE 接口、边界值与 round-trip 测试。</x:v>
      </x:c>
      <x:c r="G703" s="144" t="str">
        <x:v>raw=0、raw=max、物理 min/max、越界/保留值、端序字节向量、pack→unpack round-trip；1457/1457 通过。</x:v>
      </x:c>
      <x:c r="H703" s="144" t="str">
        <x:v>coem/BYD_UKE/gen_bsw/Com/Com_PBcfg.c:29788; BYD_5R1V_RadarRearcorner_V2.5_AllNodes.dbc:1328</x:v>
      </x:c>
    </x:row>
    <x:row r="704" ht="72" customHeight="1">
      <x:c r="A704" s="144" t="str">
        <x:v>Com-Signal</x:v>
      </x:c>
      <x:c r="B704" s="144" t="str">
        <x:v>COM-SIG-Tx-0562 / RRR_Obj07A_Ax</x:v>
      </x:c>
      <x:c r="C704" s="144" t="str">
        <x:v>PDU=RRR_Obj07A; startBit=93; length=10; byteOrder=Little; type=UINT16; factor=0.03125; offset=-16; min=-16; max=15.96875; unit=m/s^2; receivers=DASy</x:v>
      </x:c>
      <x:c r="D7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4" s="144" t="str">
        <x:v>M2</x:v>
      </x:c>
      <x:c r="F704" s="144" t="str">
        <x:v>Signal 级可编辑配置、数据类型/缩放/端序合同、RTE 接口、边界值与 round-trip 测试。</x:v>
      </x:c>
      <x:c r="G704" s="144" t="str">
        <x:v>raw=0、raw=max、物理 min/max、越界/保留值、端序字节向量、pack→unpack round-trip；1457/1457 通过。</x:v>
      </x:c>
      <x:c r="H704" s="144" t="str">
        <x:v>coem/BYD_UKE/gen_bsw/Com/Com_PBcfg.c:29841; BYD_5R1V_RadarRearcorner_V2.5_AllNodes.dbc:1317</x:v>
      </x:c>
    </x:row>
    <x:row r="705" ht="72" customHeight="1">
      <x:c r="A705" s="144" t="str">
        <x:v>Com-Signal</x:v>
      </x:c>
      <x:c r="B705" s="144" t="str">
        <x:v>COM-SIG-Tx-0563 / RRR_Obj07A_AyVnce</x:v>
      </x:c>
      <x:c r="C705" s="144" t="str">
        <x:v>PDU=RRR_Obj07A; startBit=212; length=12; byteOrder=Little; type=UINT16; factor=0.01; offset=0; min=0; max=30; unit=m^2/s^4; receivers=DASy</x:v>
      </x:c>
      <x:c r="D7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5" s="144" t="str">
        <x:v>M2</x:v>
      </x:c>
      <x:c r="F705" s="144" t="str">
        <x:v>Signal 级可编辑配置、数据类型/缩放/端序合同、RTE 接口、边界值与 round-trip 测试。</x:v>
      </x:c>
      <x:c r="G705" s="144" t="str">
        <x:v>raw=0、raw=max、物理 min/max、越界/保留值、端序字节向量、pack→unpack round-trip；1457/1457 通过。</x:v>
      </x:c>
      <x:c r="H705" s="144" t="str">
        <x:v>coem/BYD_UKE/gen_bsw/Com/Com_PBcfg.c:29894; BYD_5R1V_RadarRearcorner_V2.5_AllNodes.dbc:1329</x:v>
      </x:c>
    </x:row>
    <x:row r="706" ht="72" customHeight="1">
      <x:c r="A706" s="144" t="str">
        <x:v>Com-Signal</x:v>
      </x:c>
      <x:c r="B706" s="144" t="str">
        <x:v>COM-SIG-Tx-0564 / RRR_Obj07A_Ay</x:v>
      </x:c>
      <x:c r="C706" s="144" t="str">
        <x:v>PDU=RRR_Obj07A; startBit=103; length=9; byteOrder=Little; type=UINT16; factor=0.0625; offset=-16; min=-16; max=15.9375; unit=m/s^2; receivers=DASy</x:v>
      </x:c>
      <x:c r="D7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6" s="144" t="str">
        <x:v>M2</x:v>
      </x:c>
      <x:c r="F706" s="144" t="str">
        <x:v>Signal 级可编辑配置、数据类型/缩放/端序合同、RTE 接口、边界值与 round-trip 测试。</x:v>
      </x:c>
      <x:c r="G706" s="144" t="str">
        <x:v>raw=0、raw=max、物理 min/max、越界/保留值、端序字节向量、pack→unpack round-trip；1457/1457 通过。</x:v>
      </x:c>
      <x:c r="H706" s="144" t="str">
        <x:v>coem/BYD_UKE/gen_bsw/Com/Com_PBcfg.c:29947; BYD_5R1V_RadarRearcorner_V2.5_AllNodes.dbc:1318</x:v>
      </x:c>
    </x:row>
    <x:row r="707" ht="72" customHeight="1">
      <x:c r="A707" s="144" t="str">
        <x:v>Com-Signal</x:v>
      </x:c>
      <x:c r="B707" s="144" t="str">
        <x:v>COM-SIG-Tx-0565 / RRR_Obj07A_CRC</x:v>
      </x:c>
      <x:c r="C707" s="144" t="str">
        <x:v>PDU=RRR_Obj07A; startBit=0; length=16; byteOrder=Little; type=UINT16; factor=1; offset=0; min=0; max=65535; unit=-; receivers=DASy</x:v>
      </x:c>
      <x:c r="D7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7" s="144" t="str">
        <x:v>M2</x:v>
      </x:c>
      <x:c r="F707" s="144" t="str">
        <x:v>Signal 级可编辑配置、数据类型/缩放/端序合同、RTE 接口、边界值与 round-trip 测试。</x:v>
      </x:c>
      <x:c r="G707" s="144" t="str">
        <x:v>raw=0、raw=max、物理 min/max、越界/保留值、端序字节向量、pack→unpack round-trip；1457/1457 通过。</x:v>
      </x:c>
      <x:c r="H707" s="144" t="str">
        <x:v>coem/BYD_UKE/gen_bsw/Com/Com_PBcfg.c:30000; BYD_5R1V_RadarRearcorner_V2.5_AllNodes.dbc:1305</x:v>
      </x:c>
    </x:row>
    <x:row r="708" ht="72" customHeight="1">
      <x:c r="A708" s="144" t="str">
        <x:v>Com-Signal</x:v>
      </x:c>
      <x:c r="B708" s="144" t="str">
        <x:v>COM-SIG-Tx-0566 / RRR_Obj07A_DxAxCoVnce</x:v>
      </x:c>
      <x:c r="C708" s="144" t="str">
        <x:v>PDU=RRR_Obj07A; startBit=300; length=12; byteOrder=Little; type=UINT16; factor=0.01; offset=0; min=0; max=30; unit=m^2/s^2; receivers=DASy</x:v>
      </x:c>
      <x:c r="D7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8" s="144" t="str">
        <x:v>M2</x:v>
      </x:c>
      <x:c r="F708" s="144" t="str">
        <x:v>Signal 级可编辑配置、数据类型/缩放/端序合同、RTE 接口、边界值与 round-trip 测试。</x:v>
      </x:c>
      <x:c r="G708" s="144" t="str">
        <x:v>raw=0、raw=max、物理 min/max、越界/保留值、端序字节向量、pack→unpack round-trip；1457/1457 通过。</x:v>
      </x:c>
      <x:c r="H708" s="144" t="str">
        <x:v>coem/BYD_UKE/gen_bsw/Com/Com_PBcfg.c:30053; BYD_5R1V_RadarRearcorner_V2.5_AllNodes.dbc:1336</x:v>
      </x:c>
    </x:row>
    <x:row r="709" ht="72" customHeight="1">
      <x:c r="A709" s="144" t="str">
        <x:v>Com-Signal</x:v>
      </x:c>
      <x:c r="B709" s="144" t="str">
        <x:v>COM-SIG-Tx-0567 / RRR_Obj07A_DxAyCoVnce</x:v>
      </x:c>
      <x:c r="C709" s="144" t="str">
        <x:v>PDU=RRR_Obj07A; startBit=348; length=12; byteOrder=Little; type=UINT16; factor=0.01; offset=0; min=0; max=30; unit=m^2/s^2; receivers=DASy</x:v>
      </x:c>
      <x:c r="D7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09" s="144" t="str">
        <x:v>M2</x:v>
      </x:c>
      <x:c r="F709" s="144" t="str">
        <x:v>Signal 级可编辑配置、数据类型/缩放/端序合同、RTE 接口、边界值与 round-trip 测试。</x:v>
      </x:c>
      <x:c r="G709" s="144" t="str">
        <x:v>raw=0、raw=max、物理 min/max、越界/保留值、端序字节向量、pack→unpack round-trip；1457/1457 通过。</x:v>
      </x:c>
      <x:c r="H709" s="144" t="str">
        <x:v>coem/BYD_UKE/gen_bsw/Com/Com_PBcfg.c:30106; BYD_5R1V_RadarRearcorner_V2.5_AllNodes.dbc:1340</x:v>
      </x:c>
    </x:row>
    <x:row r="710" ht="72" customHeight="1">
      <x:c r="A710" s="144" t="str">
        <x:v>Com-Signal</x:v>
      </x:c>
      <x:c r="B710" s="144" t="str">
        <x:v>COM-SIG-Tx-0568 / RRR_Obj07A_DxVnce</x:v>
      </x:c>
      <x:c r="C710" s="144" t="str">
        <x:v>PDU=RRR_Obj07A; startBit=142; length=12; byteOrder=Little; type=UINT16; factor=0.01; offset=0; min=0; max=30; unit=m^2; receivers=DASy</x:v>
      </x:c>
      <x:c r="D71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0" s="144" t="str">
        <x:v>M2</x:v>
      </x:c>
      <x:c r="F710" s="144" t="str">
        <x:v>Signal 级可编辑配置、数据类型/缩放/端序合同、RTE 接口、边界值与 round-trip 测试。</x:v>
      </x:c>
      <x:c r="G710" s="144" t="str">
        <x:v>raw=0、raw=max、物理 min/max、越界/保留值、端序字节向量、pack→unpack round-trip；1457/1457 通过。</x:v>
      </x:c>
      <x:c r="H710" s="144" t="str">
        <x:v>coem/BYD_UKE/gen_bsw/Com/Com_PBcfg.c:30159; BYD_5R1V_RadarRearcorner_V2.5_AllNodes.dbc:1323</x:v>
      </x:c>
    </x:row>
    <x:row r="711" ht="72" customHeight="1">
      <x:c r="A711" s="144" t="str">
        <x:v>Com-Signal</x:v>
      </x:c>
      <x:c r="B711" s="144" t="str">
        <x:v>COM-SIG-Tx-0569 / RRR_Obj07A_Dx</x:v>
      </x:c>
      <x:c r="C711" s="144" t="str">
        <x:v>PDU=RRR_Obj07A; startBit=40; length=13; byteOrder=Little; type=UINT16; factor=0.0625; offset=-256; min=-256; max=255.9375; unit=m; receivers=DASy</x:v>
      </x:c>
      <x:c r="D7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1" s="144" t="str">
        <x:v>M2</x:v>
      </x:c>
      <x:c r="F711" s="144" t="str">
        <x:v>Signal 级可编辑配置、数据类型/缩放/端序合同、RTE 接口、边界值与 round-trip 测试。</x:v>
      </x:c>
      <x:c r="G711" s="144" t="str">
        <x:v>raw=0、raw=max、物理 min/max、越界/保留值、端序字节向量、pack→unpack round-trip；1457/1457 通过。</x:v>
      </x:c>
      <x:c r="H711" s="144" t="str">
        <x:v>coem/BYD_UKE/gen_bsw/Com/Com_PBcfg.c:30212; BYD_5R1V_RadarRearcorner_V2.5_AllNodes.dbc:1312</x:v>
      </x:c>
    </x:row>
    <x:row r="712" ht="72" customHeight="1">
      <x:c r="A712" s="144" t="str">
        <x:v>Com-Signal</x:v>
      </x:c>
      <x:c r="B712" s="144" t="str">
        <x:v>COM-SIG-Tx-0570 / RRR_Obj07A_DyAxCoVnce</x:v>
      </x:c>
      <x:c r="C712" s="144" t="str">
        <x:v>PDU=RRR_Obj07A; startBit=312; length=12; byteOrder=Little; type=UINT16; factor=0.01; offset=0; min=0; max=30; unit=m^2/s^2; receivers=DASy</x:v>
      </x:c>
      <x:c r="D7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2" s="144" t="str">
        <x:v>M2</x:v>
      </x:c>
      <x:c r="F712" s="144" t="str">
        <x:v>Signal 级可编辑配置、数据类型/缩放/端序合同、RTE 接口、边界值与 round-trip 测试。</x:v>
      </x:c>
      <x:c r="G712" s="144" t="str">
        <x:v>raw=0、raw=max、物理 min/max、越界/保留值、端序字节向量、pack→unpack round-trip；1457/1457 通过。</x:v>
      </x:c>
      <x:c r="H712" s="144" t="str">
        <x:v>coem/BYD_UKE/gen_bsw/Com/Com_PBcfg.c:30265; BYD_5R1V_RadarRearcorner_V2.5_AllNodes.dbc:1337</x:v>
      </x:c>
    </x:row>
    <x:row r="713" ht="72" customHeight="1">
      <x:c r="A713" s="144" t="str">
        <x:v>Com-Signal</x:v>
      </x:c>
      <x:c r="B713" s="144" t="str">
        <x:v>COM-SIG-Tx-0571 / RRR_Obj07A_DyAyCoVnce</x:v>
      </x:c>
      <x:c r="C713" s="144" t="str">
        <x:v>PDU=RRR_Obj07A; startBit=360; length=12; byteOrder=Little; type=UINT16; factor=0.01; offset=0; min=0; max=30; unit=m^2/s^2; receivers=DASy</x:v>
      </x:c>
      <x:c r="D7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3" s="144" t="str">
        <x:v>M2</x:v>
      </x:c>
      <x:c r="F713" s="144" t="str">
        <x:v>Signal 级可编辑配置、数据类型/缩放/端序合同、RTE 接口、边界值与 round-trip 测试。</x:v>
      </x:c>
      <x:c r="G713" s="144" t="str">
        <x:v>raw=0、raw=max、物理 min/max、越界/保留值、端序字节向量、pack→unpack round-trip；1457/1457 通过。</x:v>
      </x:c>
      <x:c r="H713" s="144" t="str">
        <x:v>coem/BYD_UKE/gen_bsw/Com/Com_PBcfg.c:30318; BYD_5R1V_RadarRearcorner_V2.5_AllNodes.dbc:1341</x:v>
      </x:c>
    </x:row>
    <x:row r="714" ht="72" customHeight="1">
      <x:c r="A714" s="144" t="str">
        <x:v>Com-Signal</x:v>
      </x:c>
      <x:c r="B714" s="144" t="str">
        <x:v>COM-SIG-Tx-0572 / RRR_Obj07A_DyVnce</x:v>
      </x:c>
      <x:c r="C714" s="144" t="str">
        <x:v>PDU=RRR_Obj07A; startBit=154; length=12; byteOrder=Little; type=UINT16; factor=0.01; offset=0; min=0; max=30; unit=m^2; receivers=DASy</x:v>
      </x:c>
      <x:c r="D71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4" s="144" t="str">
        <x:v>M2</x:v>
      </x:c>
      <x:c r="F714" s="144" t="str">
        <x:v>Signal 级可编辑配置、数据类型/缩放/端序合同、RTE 接口、边界值与 round-trip 测试。</x:v>
      </x:c>
      <x:c r="G714" s="144" t="str">
        <x:v>raw=0、raw=max、物理 min/max、越界/保留值、端序字节向量、pack→unpack round-trip；1457/1457 通过。</x:v>
      </x:c>
      <x:c r="H714" s="144" t="str">
        <x:v>coem/BYD_UKE/gen_bsw/Com/Com_PBcfg.c:30371; BYD_5R1V_RadarRearcorner_V2.5_AllNodes.dbc:1324</x:v>
      </x:c>
    </x:row>
    <x:row r="715" ht="72" customHeight="1">
      <x:c r="A715" s="144" t="str">
        <x:v>Com-Signal</x:v>
      </x:c>
      <x:c r="B715" s="144" t="str">
        <x:v>COM-SIG-Tx-0573 / RRR_Obj07A_DyVyCoVnce</x:v>
      </x:c>
      <x:c r="C715" s="144" t="str">
        <x:v>PDU=RRR_Obj07A; startBit=276; length=12; byteOrder=Little; type=UINT16; factor=0.01; offset=0; min=0; max=30; unit=m^2/s; receivers=DASy</x:v>
      </x:c>
      <x:c r="D7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5" s="144" t="str">
        <x:v>M2</x:v>
      </x:c>
      <x:c r="F715" s="144" t="str">
        <x:v>Signal 级可编辑配置、数据类型/缩放/端序合同、RTE 接口、边界值与 round-trip 测试。</x:v>
      </x:c>
      <x:c r="G715" s="144" t="str">
        <x:v>raw=0、raw=max、物理 min/max、越界/保留值、端序字节向量、pack→unpack round-trip；1457/1457 通过。</x:v>
      </x:c>
      <x:c r="H715" s="144" t="str">
        <x:v>coem/BYD_UKE/gen_bsw/Com/Com_PBcfg.c:30424; BYD_5R1V_RadarRearcorner_V2.5_AllNodes.dbc:1334</x:v>
      </x:c>
    </x:row>
    <x:row r="716" ht="72" customHeight="1">
      <x:c r="A716" s="144" t="str">
        <x:v>Com-Signal</x:v>
      </x:c>
      <x:c r="B716" s="144" t="str">
        <x:v>COM-SIG-Tx-0574 / RRR_Obj07A_Dy</x:v>
      </x:c>
      <x:c r="C716" s="144" t="str">
        <x:v>PDU=RRR_Obj07A; startBit=59; length=11; byteOrder=Little; type=UINT16; factor=0.125; offset=-128; min=-128; max=127.875; unit=m; receivers=DASy</x:v>
      </x:c>
      <x:c r="D7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6" s="144" t="str">
        <x:v>M2</x:v>
      </x:c>
      <x:c r="F716" s="144" t="str">
        <x:v>Signal 级可编辑配置、数据类型/缩放/端序合同、RTE 接口、边界值与 round-trip 测试。</x:v>
      </x:c>
      <x:c r="G716" s="144" t="str">
        <x:v>raw=0、raw=max、物理 min/max、越界/保留值、端序字节向量、pack→unpack round-trip；1457/1457 通过。</x:v>
      </x:c>
      <x:c r="H716" s="144" t="str">
        <x:v>coem/BYD_UKE/gen_bsw/Com/Com_PBcfg.c:30477; BYD_5R1V_RadarRearcorner_V2.5_AllNodes.dbc:1313</x:v>
      </x:c>
    </x:row>
    <x:row r="717" ht="72" customHeight="1">
      <x:c r="A717" s="144" t="str">
        <x:v>Com-Signal</x:v>
      </x:c>
      <x:c r="B717" s="144" t="str">
        <x:v>COM-SIG-Tx-0575 / RRR_Obj07A_DzVnce</x:v>
      </x:c>
      <x:c r="C717" s="144" t="str">
        <x:v>PDU=RRR_Obj07A; startBit=166; length=10; byteOrder=Little; type=UINT16; factor=0.01; offset=0; min=0; max=10; unit=m^2; receivers=DASy</x:v>
      </x:c>
      <x:c r="D7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7" s="144" t="str">
        <x:v>M2</x:v>
      </x:c>
      <x:c r="F717" s="144" t="str">
        <x:v>Signal 级可编辑配置、数据类型/缩放/端序合同、RTE 接口、边界值与 round-trip 测试。</x:v>
      </x:c>
      <x:c r="G717" s="144" t="str">
        <x:v>raw=0、raw=max、物理 min/max、越界/保留值、端序字节向量、pack→unpack round-trip；1457/1457 通过。</x:v>
      </x:c>
      <x:c r="H717" s="144" t="str">
        <x:v>coem/BYD_UKE/gen_bsw/Com/Com_PBcfg.c:30530; BYD_5R1V_RadarRearcorner_V2.5_AllNodes.dbc:1325</x:v>
      </x:c>
    </x:row>
    <x:row r="718" ht="72" customHeight="1">
      <x:c r="A718" s="144" t="str">
        <x:v>Com-Signal</x:v>
      </x:c>
      <x:c r="B718" s="144" t="str">
        <x:v>COM-SIG-Tx-0576 / RRR_Obj07A_Dz</x:v>
      </x:c>
      <x:c r="C718" s="144" t="str">
        <x:v>PDU=RRR_Obj07A; startBit=53; length=6; byteOrder=Little; type=UINT8; factor=0.25; offset=-5; min=-5; max=10.75; unit=m; receivers=DASy</x:v>
      </x:c>
      <x:c r="D7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8" s="144" t="str">
        <x:v>M2</x:v>
      </x:c>
      <x:c r="F718" s="144" t="str">
        <x:v>Signal 级可编辑配置、数据类型/缩放/端序合同、RTE 接口、边界值与 round-trip 测试。</x:v>
      </x:c>
      <x:c r="G718" s="144" t="str">
        <x:v>raw=0、raw=max、物理 min/max、越界/保留值、端序字节向量、pack→unpack round-trip；1457/1457 通过。</x:v>
      </x:c>
      <x:c r="H718" s="144" t="str">
        <x:v>coem/BYD_UKE/gen_bsw/Com/Com_PBcfg.c:30583; BYD_5R1V_RadarRearcorner_V2.5_AllNodes.dbc:1314</x:v>
      </x:c>
    </x:row>
    <x:row r="719" ht="72" customHeight="1">
      <x:c r="A719" s="144" t="str">
        <x:v>Com-Signal</x:v>
      </x:c>
      <x:c r="B719" s="144" t="str">
        <x:v>COM-SIG-Tx-0577 / RRR_Obj07A_HeadingYawAngleVnce</x:v>
      </x:c>
      <x:c r="C719" s="144" t="str">
        <x:v>PDU=RRR_Obj07A; startBit=408; length=12; byteOrder=Little; type=UINT16; factor=0.0003; offset=0; min=0; max=1; unit=rad^2; receivers=DASy</x:v>
      </x:c>
      <x:c r="D7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19" s="144" t="str">
        <x:v>M2</x:v>
      </x:c>
      <x:c r="F719" s="144" t="str">
        <x:v>Signal 级可编辑配置、数据类型/缩放/端序合同、RTE 接口、边界值与 round-trip 测试。</x:v>
      </x:c>
      <x:c r="G719" s="144" t="str">
        <x:v>raw=0、raw=max、物理 min/max、越界/保留值、端序字节向量、pack→unpack round-trip；1457/1457 通过。</x:v>
      </x:c>
      <x:c r="H719" s="144" t="str">
        <x:v>coem/BYD_UKE/gen_bsw/Com/Com_PBcfg.c:30636; BYD_5R1V_RadarRearcorner_V2.5_AllNodes.dbc:1345</x:v>
      </x:c>
    </x:row>
    <x:row r="720" ht="72" customHeight="1">
      <x:c r="A720" s="144" t="str">
        <x:v>Com-Signal</x:v>
      </x:c>
      <x:c r="B720" s="144" t="str">
        <x:v>COM-SIG-Tx-0578 / RRR_Obj07A_HeadingYawAngle</x:v>
      </x:c>
      <x:c r="C720" s="144" t="str">
        <x:v>PDU=RRR_Obj07A; startBit=112; length=9; byteOrder=Little; type=UINT16; factor=0.0175; offset=-4.48; min=-3.15; max=3.15; unit=rad; receivers=DASy</x:v>
      </x:c>
      <x:c r="D7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0" s="144" t="str">
        <x:v>M2</x:v>
      </x:c>
      <x:c r="F720" s="144" t="str">
        <x:v>Signal 级可编辑配置、数据类型/缩放/端序合同、RTE 接口、边界值与 round-trip 测试。</x:v>
      </x:c>
      <x:c r="G720" s="144" t="str">
        <x:v>raw=0、raw=max、物理 min/max、越界/保留值、端序字节向量、pack→unpack round-trip；1457/1457 通过。</x:v>
      </x:c>
      <x:c r="H720" s="144" t="str">
        <x:v>coem/BYD_UKE/gen_bsw/Com/Com_PBcfg.c:30689; BYD_5R1V_RadarRearcorner_V2.5_AllNodes.dbc:1319</x:v>
      </x:c>
    </x:row>
    <x:row r="721" ht="72" customHeight="1">
      <x:c r="A721" s="144" t="str">
        <x:v>Com-Signal</x:v>
      </x:c>
      <x:c r="B721" s="144" t="str">
        <x:v>COM-SIG-Tx-0579 / RRR_Obj07A_HeadingYawrate</x:v>
      </x:c>
      <x:c r="C721" s="144" t="str">
        <x:v>PDU=RRR_Obj07A; startBit=240; length=12; byteOrder=Little; type=UINT16; factor=1（Com原始值）; offset=0（Com原始值）; min=按位宽/类型; max=按位宽/类型; unit=-; receivers=-</x:v>
      </x:c>
      <x:c r="D721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21" s="144" t="str">
        <x:v>M2</x:v>
      </x:c>
      <x:c r="F721" s="144" t="str">
        <x:v>Signal 级可编辑配置、数据类型/缩放/端序合同、RTE 接口、边界值与 round-trip 测试。</x:v>
      </x:c>
      <x:c r="G721" s="144" t="str">
        <x:v>raw=0、raw=max、物理 min/max、越界/保留值、端序字节向量、pack→unpack round-trip；1457/1457 通过。</x:v>
      </x:c>
      <x:c r="H721" s="144" t="str">
        <x:v>coem/BYD_UKE/gen_bsw/Com/Com_PBcfg.c:30742</x:v>
      </x:c>
    </x:row>
    <x:row r="722" ht="72" customHeight="1">
      <x:c r="A722" s="144" t="str">
        <x:v>Com-Signal</x:v>
      </x:c>
      <x:c r="B722" s="144" t="str">
        <x:v>COM-SIG-Tx-0580 / RRR_Obj07A_HeightVnce</x:v>
      </x:c>
      <x:c r="C722" s="144" t="str">
        <x:v>PDU=RRR_Obj07A; startBit=444; length=12; byteOrder=Little; type=UINT16; factor=0.01; offset=0; min=0; max=30; unit=m^2; receivers=DASy</x:v>
      </x:c>
      <x:c r="D7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2" s="144" t="str">
        <x:v>M2</x:v>
      </x:c>
      <x:c r="F722" s="144" t="str">
        <x:v>Signal 级可编辑配置、数据类型/缩放/端序合同、RTE 接口、边界值与 round-trip 测试。</x:v>
      </x:c>
      <x:c r="G722" s="144" t="str">
        <x:v>raw=0、raw=max、物理 min/max、越界/保留值、端序字节向量、pack→unpack round-trip；1457/1457 通过。</x:v>
      </x:c>
      <x:c r="H722" s="144" t="str">
        <x:v>coem/BYD_UKE/gen_bsw/Com/Com_PBcfg.c:30795; BYD_5R1V_RadarRearcorner_V2.5_AllNodes.dbc:1304</x:v>
      </x:c>
    </x:row>
    <x:row r="723" ht="72" customHeight="1">
      <x:c r="A723" s="144" t="str">
        <x:v>Com-Signal</x:v>
      </x:c>
      <x:c r="B723" s="144" t="str">
        <x:v>COM-SIG-Tx-0581 / RRR_Obj07A_Height</x:v>
      </x:c>
      <x:c r="C723" s="144" t="str">
        <x:v>PDU=RRR_Obj07A; startBit=135; length=7; byteOrder=Little; type=UINT8; factor=0.125; offset=0; min=0; max=15.875; unit=m; receivers=DASy</x:v>
      </x:c>
      <x:c r="D7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3" s="144" t="str">
        <x:v>M2</x:v>
      </x:c>
      <x:c r="F723" s="144" t="str">
        <x:v>Signal 级可编辑配置、数据类型/缩放/端序合同、RTE 接口、边界值与 round-trip 测试。</x:v>
      </x:c>
      <x:c r="G723" s="144" t="str">
        <x:v>raw=0、raw=max、物理 min/max、越界/保留值、端序字节向量、pack→unpack round-trip；1457/1457 通过。</x:v>
      </x:c>
      <x:c r="H723" s="144" t="str">
        <x:v>coem/BYD_UKE/gen_bsw/Com/Com_PBcfg.c:30848; BYD_5R1V_RadarRearcorner_V2.5_AllNodes.dbc:1322</x:v>
      </x:c>
    </x:row>
    <x:row r="724" ht="72" customHeight="1">
      <x:c r="A724" s="144" t="str">
        <x:v>Com-Signal</x:v>
      </x:c>
      <x:c r="B724" s="144" t="str">
        <x:v>COM-SIG-Tx-0582 / RRR_Obj07A_ID</x:v>
      </x:c>
      <x:c r="C724" s="144" t="str">
        <x:v>PDU=RRR_Obj07A; startBit=32; length=7; byteOrder=Little; type=UINT8; factor=1; offset=0; min=0; max=127; unit=-; receivers=DASy</x:v>
      </x:c>
      <x:c r="D72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4" s="144" t="str">
        <x:v>M2</x:v>
      </x:c>
      <x:c r="F724" s="144" t="str">
        <x:v>Signal 级可编辑配置、数据类型/缩放/端序合同、RTE 接口、边界值与 round-trip 测试。</x:v>
      </x:c>
      <x:c r="G724" s="144" t="str">
        <x:v>raw=0、raw=max、物理 min/max、越界/保留值、端序字节向量、pack→unpack round-trip；1457/1457 通过。</x:v>
      </x:c>
      <x:c r="H724" s="144" t="str">
        <x:v>coem/BYD_UKE/gen_bsw/Com/Com_PBcfg.c:30901; BYD_5R1V_RadarRearcorner_V2.5_AllNodes.dbc:1308</x:v>
      </x:c>
    </x:row>
    <x:row r="725" ht="72" customHeight="1">
      <x:c r="A725" s="144" t="str">
        <x:v>Com-Signal</x:v>
      </x:c>
      <x:c r="B725" s="144" t="str">
        <x:v>COM-SIG-Tx-0583 / RRR_Obj07A_LengthVnce</x:v>
      </x:c>
      <x:c r="C725" s="144" t="str">
        <x:v>PDU=RRR_Obj07A; startBit=420; length=12; byteOrder=Little; type=UINT16; factor=0.01; offset=0; min=0; max=30; unit=m^2; receivers=DASy</x:v>
      </x:c>
      <x:c r="D7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5" s="144" t="str">
        <x:v>M2</x:v>
      </x:c>
      <x:c r="F725" s="144" t="str">
        <x:v>Signal 级可编辑配置、数据类型/缩放/端序合同、RTE 接口、边界值与 round-trip 测试。</x:v>
      </x:c>
      <x:c r="G725" s="144" t="str">
        <x:v>raw=0、raw=max、物理 min/max、越界/保留值、端序字节向量、pack→unpack round-trip；1457/1457 通过。</x:v>
      </x:c>
      <x:c r="H725" s="144" t="str">
        <x:v>coem/BYD_UKE/gen_bsw/Com/Com_PBcfg.c:30954; BYD_5R1V_RadarRearcorner_V2.5_AllNodes.dbc:1346</x:v>
      </x:c>
    </x:row>
    <x:row r="726" ht="72" customHeight="1">
      <x:c r="A726" s="144" t="str">
        <x:v>Com-Signal</x:v>
      </x:c>
      <x:c r="B726" s="144" t="str">
        <x:v>COM-SIG-Tx-0584 / RRR_Obj07A_Length</x:v>
      </x:c>
      <x:c r="C726" s="144" t="str">
        <x:v>PDU=RRR_Obj07A; startBit=121; length=7; byteOrder=Little; type=UINT8; factor=0.125; offset=0; min=0; max=15.875; unit=m; receivers=DASy</x:v>
      </x:c>
      <x:c r="D7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6" s="144" t="str">
        <x:v>M2</x:v>
      </x:c>
      <x:c r="F726" s="144" t="str">
        <x:v>Signal 级可编辑配置、数据类型/缩放/端序合同、RTE 接口、边界值与 round-trip 测试。</x:v>
      </x:c>
      <x:c r="G726" s="144" t="str">
        <x:v>raw=0、raw=max、物理 min/max、越界/保留值、端序字节向量、pack→unpack round-trip；1457/1457 通过。</x:v>
      </x:c>
      <x:c r="H726" s="144" t="str">
        <x:v>coem/BYD_UKE/gen_bsw/Com/Com_PBcfg.c:31007; BYD_5R1V_RadarRearcorner_V2.5_AllNodes.dbc:1320</x:v>
      </x:c>
    </x:row>
    <x:row r="727" ht="72" customHeight="1">
      <x:c r="A727" s="144" t="str">
        <x:v>Com-Signal</x:v>
      </x:c>
      <x:c r="B727" s="144" t="str">
        <x:v>COM-SIG-Tx-0585 / RRR_Obj07A_Measured</x:v>
      </x:c>
      <x:c r="C727" s="144" t="str">
        <x:v>PDU=RRR_Obj07A; startBit=39; length=1; byteOrder=Little; type=UINT8; factor=1; offset=0; min=0; max=1; unit=-; receivers=DASy</x:v>
      </x:c>
      <x:c r="D7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7" s="144" t="str">
        <x:v>M2</x:v>
      </x:c>
      <x:c r="F727" s="144" t="str">
        <x:v>Signal 级可编辑配置、数据类型/缩放/端序合同、RTE 接口、边界值与 round-trip 测试。</x:v>
      </x:c>
      <x:c r="G727" s="144" t="str">
        <x:v>raw=0、raw=max、物理 min/max、越界/保留值、端序字节向量、pack→unpack round-trip；1457/1457 通过。</x:v>
      </x:c>
      <x:c r="H727" s="144" t="str">
        <x:v>coem/BYD_UKE/gen_bsw/Com/Com_PBcfg.c:31060; BYD_5R1V_RadarRearcorner_V2.5_AllNodes.dbc:1311</x:v>
      </x:c>
    </x:row>
    <x:row r="728" ht="72" customHeight="1">
      <x:c r="A728" s="144" t="str">
        <x:v>Com-Signal</x:v>
      </x:c>
      <x:c r="B728" s="144" t="str">
        <x:v>COM-SIG-Tx-0586 / RRR_Obj07A_ObjDetected</x:v>
      </x:c>
      <x:c r="C728" s="144" t="str">
        <x:v>PDU=RRR_Obj07A; startBit=264; length=12; byteOrder=Little; type=UINT16; factor=1（Com原始值）; offset=0（Com原始值）; min=按位宽/类型; max=按位宽/类型; unit=-; receivers=-</x:v>
      </x:c>
      <x:c r="D72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28" s="144" t="str">
        <x:v>M2</x:v>
      </x:c>
      <x:c r="F728" s="144" t="str">
        <x:v>Signal 级可编辑配置、数据类型/缩放/端序合同、RTE 接口、边界值与 round-trip 测试。</x:v>
      </x:c>
      <x:c r="G728" s="144" t="str">
        <x:v>raw=0、raw=max、物理 min/max、越界/保留值、端序字节向量、pack→unpack round-trip；1457/1457 通过。</x:v>
      </x:c>
      <x:c r="H728" s="144" t="str">
        <x:v>coem/BYD_UKE/gen_bsw/Com/Com_PBcfg.c:31113</x:v>
      </x:c>
    </x:row>
    <x:row r="729" ht="72" customHeight="1">
      <x:c r="A729" s="144" t="str">
        <x:v>Com-Signal</x:v>
      </x:c>
      <x:c r="B729" s="144" t="str">
        <x:v>COM-SIG-Tx-0587 / RRR_Obj07A_ProbExist</x:v>
      </x:c>
      <x:c r="C729" s="144" t="str">
        <x:v>PDU=RRR_Obj07A; startBit=456; length=6; byteOrder=Little; type=UINT8; factor=2; offset=0; min=0; max=100; unit=%; receivers=DASy</x:v>
      </x:c>
      <x:c r="D7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29" s="144" t="str">
        <x:v>M2</x:v>
      </x:c>
      <x:c r="F729" s="144" t="str">
        <x:v>Signal 级可编辑配置、数据类型/缩放/端序合同、RTE 接口、边界值与 round-trip 测试。</x:v>
      </x:c>
      <x:c r="G729" s="144" t="str">
        <x:v>raw=0、raw=max、物理 min/max、越界/保留值、端序字节向量、pack→unpack round-trip；1457/1457 通过。</x:v>
      </x:c>
      <x:c r="H729" s="144" t="str">
        <x:v>coem/BYD_UKE/gen_bsw/Com/Com_PBcfg.c:31166; BYD_5R1V_RadarRearcorner_V2.5_AllNodes.dbc:1348</x:v>
      </x:c>
    </x:row>
    <x:row r="730" ht="72" customHeight="1">
      <x:c r="A730" s="144" t="str">
        <x:v>Com-Signal</x:v>
      </x:c>
      <x:c r="B730" s="144" t="str">
        <x:v>COM-SIG-Tx-0588 / RRR_Obj07A_ProbMobileObst</x:v>
      </x:c>
      <x:c r="C730" s="144" t="str">
        <x:v>PDU=RRR_Obj07A; startBit=474; length=6; byteOrder=Little; type=UINT8; factor=2; offset=0; min=0; max=100; unit=%; receivers=DASy</x:v>
      </x:c>
      <x:c r="D7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0" s="144" t="str">
        <x:v>M2</x:v>
      </x:c>
      <x:c r="F730" s="144" t="str">
        <x:v>Signal 级可编辑配置、数据类型/缩放/端序合同、RTE 接口、边界值与 round-trip 测试。</x:v>
      </x:c>
      <x:c r="G730" s="144" t="str">
        <x:v>raw=0、raw=max、物理 min/max、越界/保留值、端序字节向量、pack→unpack round-trip；1457/1457 通过。</x:v>
      </x:c>
      <x:c r="H730" s="144" t="str">
        <x:v>coem/BYD_UKE/gen_bsw/Com/Com_PBcfg.c:31219; BYD_5R1V_RadarRearcorner_V2.5_AllNodes.dbc:1351</x:v>
      </x:c>
    </x:row>
    <x:row r="731" ht="72" customHeight="1">
      <x:c r="A731" s="144" t="str">
        <x:v>Com-Signal</x:v>
      </x:c>
      <x:c r="B731" s="144" t="str">
        <x:v>COM-SIG-Tx-0589 / RRR_Obj07A_ProbNonObstacle</x:v>
      </x:c>
      <x:c r="C731" s="144" t="str">
        <x:v>PDU=RRR_Obj07A; startBit=468; length=6; byteOrder=Little; type=UINT8; factor=2; offset=0; min=0; max=100; unit=%; receivers=DASy</x:v>
      </x:c>
      <x:c r="D7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1" s="144" t="str">
        <x:v>M2</x:v>
      </x:c>
      <x:c r="F731" s="144" t="str">
        <x:v>Signal 级可编辑配置、数据类型/缩放/端序合同、RTE 接口、边界值与 round-trip 测试。</x:v>
      </x:c>
      <x:c r="G731" s="144" t="str">
        <x:v>raw=0、raw=max、物理 min/max、越界/保留值、端序字节向量、pack→unpack round-trip；1457/1457 通过。</x:v>
      </x:c>
      <x:c r="H731" s="144" t="str">
        <x:v>coem/BYD_UKE/gen_bsw/Com/Com_PBcfg.c:31272; BYD_5R1V_RadarRearcorner_V2.5_AllNodes.dbc:1350</x:v>
      </x:c>
    </x:row>
    <x:row r="732" ht="72" customHeight="1">
      <x:c r="A732" s="144" t="str">
        <x:v>Com-Signal</x:v>
      </x:c>
      <x:c r="B732" s="144" t="str">
        <x:v>COM-SIG-Tx-0590 / RRR_Obj07A_ProbObstacle</x:v>
      </x:c>
      <x:c r="C732" s="144" t="str">
        <x:v>PDU=RRR_Obj07A; startBit=462; length=6; byteOrder=Little; type=UINT8; factor=2; offset=0; min=0; max=100; unit=%; receivers=DASy</x:v>
      </x:c>
      <x:c r="D7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2" s="144" t="str">
        <x:v>M2</x:v>
      </x:c>
      <x:c r="F732" s="144" t="str">
        <x:v>Signal 级可编辑配置、数据类型/缩放/端序合同、RTE 接口、边界值与 round-trip 测试。</x:v>
      </x:c>
      <x:c r="G732" s="144" t="str">
        <x:v>raw=0、raw=max、物理 min/max、越界/保留值、端序字节向量、pack→unpack round-trip；1457/1457 通过。</x:v>
      </x:c>
      <x:c r="H732" s="144" t="str">
        <x:v>coem/BYD_UKE/gen_bsw/Com/Com_PBcfg.c:31325; BYD_5R1V_RadarRearcorner_V2.5_AllNodes.dbc:1349</x:v>
      </x:c>
    </x:row>
    <x:row r="733" ht="72" customHeight="1">
      <x:c r="A733" s="144" t="str">
        <x:v>Com-Signal</x:v>
      </x:c>
      <x:c r="B733" s="144" t="str">
        <x:v>COM-SIG-Tx-0591 / RRR_Obj07A_ProtBlockCtr</x:v>
      </x:c>
      <x:c r="C733" s="144" t="str">
        <x:v>PDU=RRR_Obj07A; startBit=24; length=4; byteOrder=Little; type=UINT8; factor=1; offset=0; min=0; max=15; unit=-; receivers=DASy</x:v>
      </x:c>
      <x:c r="D7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3" s="144" t="str">
        <x:v>M2</x:v>
      </x:c>
      <x:c r="F733" s="144" t="str">
        <x:v>Signal 级可编辑配置、数据类型/缩放/端序合同、RTE 接口、边界值与 round-trip 测试。</x:v>
      </x:c>
      <x:c r="G733" s="144" t="str">
        <x:v>raw=0、raw=max、物理 min/max、越界/保留值、端序字节向量、pack→unpack round-trip；1457/1457 通过。</x:v>
      </x:c>
      <x:c r="H733" s="144" t="str">
        <x:v>coem/BYD_UKE/gen_bsw/Com/Com_PBcfg.c:31378; BYD_5R1V_RadarRearcorner_V2.5_AllNodes.dbc:1307</x:v>
      </x:c>
    </x:row>
    <x:row r="734" ht="72" customHeight="1">
      <x:c r="A734" s="144" t="str">
        <x:v>Com-Signal</x:v>
      </x:c>
      <x:c r="B734" s="144" t="str">
        <x:v>COM-SIG-Tx-0592 / RRR_Obj07A_RCS</x:v>
      </x:c>
      <x:c r="C734" s="144" t="str">
        <x:v>PDU=RRR_Obj07A; startBit=252; length=12; byteOrder=Little; type=UINT16; factor=1（Com原始值）; offset=0（Com原始值）; min=按位宽/类型; max=按位宽/类型; unit=-; receivers=-</x:v>
      </x:c>
      <x:c r="D73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34" s="144" t="str">
        <x:v>M2</x:v>
      </x:c>
      <x:c r="F734" s="144" t="str">
        <x:v>Signal 级可编辑配置、数据类型/缩放/端序合同、RTE 接口、边界值与 round-trip 测试。</x:v>
      </x:c>
      <x:c r="G734" s="144" t="str">
        <x:v>raw=0、raw=max、物理 min/max、越界/保留值、端序字节向量、pack→unpack round-trip；1457/1457 通过。</x:v>
      </x:c>
      <x:c r="H734" s="144" t="str">
        <x:v>coem/BYD_UKE/gen_bsw/Com/Com_PBcfg.c:31431</x:v>
      </x:c>
    </x:row>
    <x:row r="735" ht="72" customHeight="1">
      <x:c r="A735" s="144" t="str">
        <x:v>Com-Signal</x:v>
      </x:c>
      <x:c r="B735" s="144" t="str">
        <x:v>COM-SIG-Tx-0593 / RRR_Obj07A_RefPosIndex</x:v>
      </x:c>
      <x:c r="C735" s="144" t="str">
        <x:v>PDU=RRR_Obj07A; startBit=224; length=4; byteOrder=Little; type=UINT8; factor=1; offset=0; min=0; max=15; unit=-; receivers=DASy</x:v>
      </x:c>
      <x:c r="D7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5" s="144" t="str">
        <x:v>M2</x:v>
      </x:c>
      <x:c r="F735" s="144" t="str">
        <x:v>Signal 级可编辑配置、数据类型/缩放/端序合同、RTE 接口、边界值与 round-trip 测试。</x:v>
      </x:c>
      <x:c r="G735" s="144" t="str">
        <x:v>raw=0、raw=max、物理 min/max、越界/保留值、端序字节向量、pack→unpack round-trip；1457/1457 通过。</x:v>
      </x:c>
      <x:c r="H735" s="144" t="str">
        <x:v>coem/BYD_UKE/gen_bsw/Com/Com_PBcfg.c:31484; BYD_5R1V_RadarRearcorner_V2.5_AllNodes.dbc:1309</x:v>
      </x:c>
    </x:row>
    <x:row r="736" ht="72" customHeight="1">
      <x:c r="A736" s="144" t="str">
        <x:v>Com-Signal</x:v>
      </x:c>
      <x:c r="B736" s="144" t="str">
        <x:v>COM-SIG-Tx-0594 / RRR_Obj07A_Valid</x:v>
      </x:c>
      <x:c r="C736" s="144" t="str">
        <x:v>PDU=RRR_Obj07A; startBit=70; length=1; byteOrder=Little; type=UINT8; factor=1; offset=0; min=0; max=1; unit=-; receivers=DASy</x:v>
      </x:c>
      <x:c r="D7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6" s="144" t="str">
        <x:v>M2</x:v>
      </x:c>
      <x:c r="F736" s="144" t="str">
        <x:v>Signal 级可编辑配置、数据类型/缩放/端序合同、RTE 接口、边界值与 round-trip 测试。</x:v>
      </x:c>
      <x:c r="G736" s="144" t="str">
        <x:v>raw=0、raw=max、物理 min/max、越界/保留值、端序字节向量、pack→unpack round-trip；1457/1457 通过。</x:v>
      </x:c>
      <x:c r="H736" s="144" t="str">
        <x:v>coem/BYD_UKE/gen_bsw/Com/Com_PBcfg.c:31537; BYD_5R1V_RadarRearcorner_V2.5_AllNodes.dbc:1310</x:v>
      </x:c>
    </x:row>
    <x:row r="737" ht="72" customHeight="1">
      <x:c r="A737" s="144" t="str">
        <x:v>Com-Signal</x:v>
      </x:c>
      <x:c r="B737" s="144" t="str">
        <x:v>COM-SIG-Tx-0595 / RRR_Obj07A_VxAxCoVnce</x:v>
      </x:c>
      <x:c r="C737" s="144" t="str">
        <x:v>PDU=RRR_Obj07A; startBit=324; length=12; byteOrder=Little; type=UINT16; factor=0.01; offset=0; min=0; max=30; unit=m^2/s^3; receivers=DASy</x:v>
      </x:c>
      <x:c r="D7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7" s="144" t="str">
        <x:v>M2</x:v>
      </x:c>
      <x:c r="F737" s="144" t="str">
        <x:v>Signal 级可编辑配置、数据类型/缩放/端序合同、RTE 接口、边界值与 round-trip 测试。</x:v>
      </x:c>
      <x:c r="G737" s="144" t="str">
        <x:v>raw=0、raw=max、物理 min/max、越界/保留值、端序字节向量、pack→unpack round-trip；1457/1457 通过。</x:v>
      </x:c>
      <x:c r="H737" s="144" t="str">
        <x:v>coem/BYD_UKE/gen_bsw/Com/Com_PBcfg.c:31590; BYD_5R1V_RadarRearcorner_V2.5_AllNodes.dbc:1338</x:v>
      </x:c>
    </x:row>
    <x:row r="738" ht="72" customHeight="1">
      <x:c r="A738" s="144" t="str">
        <x:v>Com-Signal</x:v>
      </x:c>
      <x:c r="B738" s="144" t="str">
        <x:v>COM-SIG-Tx-0596 / RRR_Obj07A_VxAyCoVnce</x:v>
      </x:c>
      <x:c r="C738" s="144" t="str">
        <x:v>PDU=RRR_Obj07A; startBit=372; length=12; byteOrder=Little; type=UINT16; factor=0.01; offset=0; min=0; max=30; unit=m^2/s^3; receivers=DASy</x:v>
      </x:c>
      <x:c r="D73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8" s="144" t="str">
        <x:v>M2</x:v>
      </x:c>
      <x:c r="F738" s="144" t="str">
        <x:v>Signal 级可编辑配置、数据类型/缩放/端序合同、RTE 接口、边界值与 round-trip 测试。</x:v>
      </x:c>
      <x:c r="G738" s="144" t="str">
        <x:v>raw=0、raw=max、物理 min/max、越界/保留值、端序字节向量、pack→unpack round-trip；1457/1457 通过。</x:v>
      </x:c>
      <x:c r="H738" s="144" t="str">
        <x:v>coem/BYD_UKE/gen_bsw/Com/Com_PBcfg.c:31643; BYD_5R1V_RadarRearcorner_V2.5_AllNodes.dbc:1342</x:v>
      </x:c>
    </x:row>
    <x:row r="739" ht="72" customHeight="1">
      <x:c r="A739" s="144" t="str">
        <x:v>Com-Signal</x:v>
      </x:c>
      <x:c r="B739" s="144" t="str">
        <x:v>COM-SIG-Tx-0597 / RRR_Obj07A_VxVnce</x:v>
      </x:c>
      <x:c r="C739" s="144" t="str">
        <x:v>PDU=RRR_Obj07A; startBit=176; length=12; byteOrder=Little; type=UINT16; factor=0.01; offset=0; min=0; max=30; unit=m^2/s^2; receivers=DASy</x:v>
      </x:c>
      <x:c r="D7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39" s="144" t="str">
        <x:v>M2</x:v>
      </x:c>
      <x:c r="F739" s="144" t="str">
        <x:v>Signal 级可编辑配置、数据类型/缩放/端序合同、RTE 接口、边界值与 round-trip 测试。</x:v>
      </x:c>
      <x:c r="G739" s="144" t="str">
        <x:v>raw=0、raw=max、物理 min/max、越界/保留值、端序字节向量、pack→unpack round-trip；1457/1457 通过。</x:v>
      </x:c>
      <x:c r="H739" s="144" t="str">
        <x:v>coem/BYD_UKE/gen_bsw/Com/Com_PBcfg.c:31696; BYD_5R1V_RadarRearcorner_V2.5_AllNodes.dbc:1326</x:v>
      </x:c>
    </x:row>
    <x:row r="740" ht="72" customHeight="1">
      <x:c r="A740" s="144" t="str">
        <x:v>Com-Signal</x:v>
      </x:c>
      <x:c r="B740" s="144" t="str">
        <x:v>COM-SIG-Tx-0598 / RRR_Obj07A_VxVyCoVnce</x:v>
      </x:c>
      <x:c r="C740" s="144" t="str">
        <x:v>PDU=RRR_Obj07A; startBit=288; length=12; byteOrder=Little; type=UINT16; factor=0.01; offset=0; min=0; max=30; unit=m^2/s^2; receivers=DASy</x:v>
      </x:c>
      <x:c r="D7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0" s="144" t="str">
        <x:v>M2</x:v>
      </x:c>
      <x:c r="F740" s="144" t="str">
        <x:v>Signal 级可编辑配置、数据类型/缩放/端序合同、RTE 接口、边界值与 round-trip 测试。</x:v>
      </x:c>
      <x:c r="G740" s="144" t="str">
        <x:v>raw=0、raw=max、物理 min/max、越界/保留值、端序字节向量、pack→unpack round-trip；1457/1457 通过。</x:v>
      </x:c>
      <x:c r="H740" s="144" t="str">
        <x:v>coem/BYD_UKE/gen_bsw/Com/Com_PBcfg.c:31749; BYD_5R1V_RadarRearcorner_V2.5_AllNodes.dbc:1335</x:v>
      </x:c>
    </x:row>
    <x:row r="741" ht="72" customHeight="1">
      <x:c r="A741" s="144" t="str">
        <x:v>Com-Signal</x:v>
      </x:c>
      <x:c r="B741" s="144" t="str">
        <x:v>COM-SIG-Tx-0599 / RRR_Obj07A_Vx</x:v>
      </x:c>
      <x:c r="C741" s="144" t="str">
        <x:v>PDU=RRR_Obj07A; startBit=71; length=12; byteOrder=Little; type=UINT16; factor=0.0625; offset=-128; min=-128; max=127.9375; unit=m/s; receivers=DASy</x:v>
      </x:c>
      <x:c r="D7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1" s="144" t="str">
        <x:v>M2</x:v>
      </x:c>
      <x:c r="F741" s="144" t="str">
        <x:v>Signal 级可编辑配置、数据类型/缩放/端序合同、RTE 接口、边界值与 round-trip 测试。</x:v>
      </x:c>
      <x:c r="G741" s="144" t="str">
        <x:v>raw=0、raw=max、物理 min/max、越界/保留值、端序字节向量、pack→unpack round-trip；1457/1457 通过。</x:v>
      </x:c>
      <x:c r="H741" s="144" t="str">
        <x:v>coem/BYD_UKE/gen_bsw/Com/Com_PBcfg.c:31802; BYD_5R1V_RadarRearcorner_V2.5_AllNodes.dbc:1315</x:v>
      </x:c>
    </x:row>
    <x:row r="742" ht="72" customHeight="1">
      <x:c r="A742" s="144" t="str">
        <x:v>Com-Signal</x:v>
      </x:c>
      <x:c r="B742" s="144" t="str">
        <x:v>COM-SIG-Tx-0600 / RRR_Obj07A_VyAxCoVnce</x:v>
      </x:c>
      <x:c r="C742" s="144" t="str">
        <x:v>PDU=RRR_Obj07A; startBit=336; length=12; byteOrder=Little; type=UINT16; factor=0.01; offset=0; min=0; max=30; unit=m^2/s^3; receivers=DASy</x:v>
      </x:c>
      <x:c r="D7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2" s="144" t="str">
        <x:v>M2</x:v>
      </x:c>
      <x:c r="F742" s="144" t="str">
        <x:v>Signal 级可编辑配置、数据类型/缩放/端序合同、RTE 接口、边界值与 round-trip 测试。</x:v>
      </x:c>
      <x:c r="G742" s="144" t="str">
        <x:v>raw=0、raw=max、物理 min/max、越界/保留值、端序字节向量、pack→unpack round-trip；1457/1457 通过。</x:v>
      </x:c>
      <x:c r="H742" s="144" t="str">
        <x:v>coem/BYD_UKE/gen_bsw/Com/Com_PBcfg.c:31855; BYD_5R1V_RadarRearcorner_V2.5_AllNodes.dbc:1339</x:v>
      </x:c>
    </x:row>
    <x:row r="743" ht="72" customHeight="1">
      <x:c r="A743" s="144" t="str">
        <x:v>Com-Signal</x:v>
      </x:c>
      <x:c r="B743" s="144" t="str">
        <x:v>COM-SIG-Tx-0601 / RRR_Obj07A_VyAyCoVnce</x:v>
      </x:c>
      <x:c r="C743" s="144" t="str">
        <x:v>PDU=RRR_Obj07A; startBit=384; length=12; byteOrder=Little; type=UINT16; factor=0.01; offset=0; min=0; max=30; unit=m^2/s^3; receivers=DASy</x:v>
      </x:c>
      <x:c r="D7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3" s="144" t="str">
        <x:v>M2</x:v>
      </x:c>
      <x:c r="F743" s="144" t="str">
        <x:v>Signal 级可编辑配置、数据类型/缩放/端序合同、RTE 接口、边界值与 round-trip 测试。</x:v>
      </x:c>
      <x:c r="G743" s="144" t="str">
        <x:v>raw=0、raw=max、物理 min/max、越界/保留值、端序字节向量、pack→unpack round-trip；1457/1457 通过。</x:v>
      </x:c>
      <x:c r="H743" s="144" t="str">
        <x:v>coem/BYD_UKE/gen_bsw/Com/Com_PBcfg.c:31908; BYD_5R1V_RadarRearcorner_V2.5_AllNodes.dbc:1343</x:v>
      </x:c>
    </x:row>
    <x:row r="744" ht="72" customHeight="1">
      <x:c r="A744" s="144" t="str">
        <x:v>Com-Signal</x:v>
      </x:c>
      <x:c r="B744" s="144" t="str">
        <x:v>COM-SIG-Tx-0602 / RRR_Obj07A_VyVnce</x:v>
      </x:c>
      <x:c r="C744" s="144" t="str">
        <x:v>PDU=RRR_Obj07A; startBit=188; length=12; byteOrder=Little; type=UINT16; factor=0.01; offset=0; min=0; max=30; unit=m^2/s^2; receivers=DASy</x:v>
      </x:c>
      <x:c r="D7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4" s="144" t="str">
        <x:v>M2</x:v>
      </x:c>
      <x:c r="F744" s="144" t="str">
        <x:v>Signal 级可编辑配置、数据类型/缩放/端序合同、RTE 接口、边界值与 round-trip 测试。</x:v>
      </x:c>
      <x:c r="G744" s="144" t="str">
        <x:v>raw=0、raw=max、物理 min/max、越界/保留值、端序字节向量、pack→unpack round-trip；1457/1457 通过。</x:v>
      </x:c>
      <x:c r="H744" s="144" t="str">
        <x:v>coem/BYD_UKE/gen_bsw/Com/Com_PBcfg.c:31961; BYD_5R1V_RadarRearcorner_V2.5_AllNodes.dbc:1327</x:v>
      </x:c>
    </x:row>
    <x:row r="745" ht="72" customHeight="1">
      <x:c r="A745" s="144" t="str">
        <x:v>Com-Signal</x:v>
      </x:c>
      <x:c r="B745" s="144" t="str">
        <x:v>COM-SIG-Tx-0603 / RRR_Obj07A_Vy</x:v>
      </x:c>
      <x:c r="C745" s="144" t="str">
        <x:v>PDU=RRR_Obj07A; startBit=83; length=10; byteOrder=Little; type=UINT16; factor=0.125; offset=-64; min=-64; max=63.875; unit=m/s; receivers=DASy</x:v>
      </x:c>
      <x:c r="D74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5" s="144" t="str">
        <x:v>M2</x:v>
      </x:c>
      <x:c r="F745" s="144" t="str">
        <x:v>Signal 级可编辑配置、数据类型/缩放/端序合同、RTE 接口、边界值与 round-trip 测试。</x:v>
      </x:c>
      <x:c r="G745" s="144" t="str">
        <x:v>raw=0、raw=max、物理 min/max、越界/保留值、端序字节向量、pack→unpack round-trip；1457/1457 通过。</x:v>
      </x:c>
      <x:c r="H745" s="144" t="str">
        <x:v>coem/BYD_UKE/gen_bsw/Com/Com_PBcfg.c:32014; BYD_5R1V_RadarRearcorner_V2.5_AllNodes.dbc:1316</x:v>
      </x:c>
    </x:row>
    <x:row r="746" ht="72" customHeight="1">
      <x:c r="A746" s="144" t="str">
        <x:v>Com-Signal</x:v>
      </x:c>
      <x:c r="B746" s="144" t="str">
        <x:v>COM-SIG-Tx-0604 / RRR_Obj07A_WidthVnce</x:v>
      </x:c>
      <x:c r="C746" s="144" t="str">
        <x:v>PDU=RRR_Obj07A; startBit=432; length=12; byteOrder=Little; type=UINT16; factor=0.01; offset=0; min=0; max=30; unit=m^2; receivers=DASy</x:v>
      </x:c>
      <x:c r="D7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6" s="144" t="str">
        <x:v>M2</x:v>
      </x:c>
      <x:c r="F746" s="144" t="str">
        <x:v>Signal 级可编辑配置、数据类型/缩放/端序合同、RTE 接口、边界值与 round-trip 测试。</x:v>
      </x:c>
      <x:c r="G746" s="144" t="str">
        <x:v>raw=0、raw=max、物理 min/max、越界/保留值、端序字节向量、pack→unpack round-trip；1457/1457 通过。</x:v>
      </x:c>
      <x:c r="H746" s="144" t="str">
        <x:v>coem/BYD_UKE/gen_bsw/Com/Com_PBcfg.c:32067; BYD_5R1V_RadarRearcorner_V2.5_AllNodes.dbc:1347</x:v>
      </x:c>
    </x:row>
    <x:row r="747" ht="72" customHeight="1">
      <x:c r="A747" s="144" t="str">
        <x:v>Com-Signal</x:v>
      </x:c>
      <x:c r="B747" s="144" t="str">
        <x:v>COM-SIG-Tx-0605 / RRR_Obj07A_Width</x:v>
      </x:c>
      <x:c r="C747" s="144" t="str">
        <x:v>PDU=RRR_Obj07A; startBit=128; length=7; byteOrder=Little; type=UINT8; factor=0.125; offset=0; min=0; max=15.875; unit=m; receivers=DASy</x:v>
      </x:c>
      <x:c r="D7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7" s="144" t="str">
        <x:v>M2</x:v>
      </x:c>
      <x:c r="F747" s="144" t="str">
        <x:v>Signal 级可编辑配置、数据类型/缩放/端序合同、RTE 接口、边界值与 round-trip 测试。</x:v>
      </x:c>
      <x:c r="G747" s="144" t="str">
        <x:v>raw=0、raw=max、物理 min/max、越界/保留值、端序字节向量、pack→unpack round-trip；1457/1457 通过。</x:v>
      </x:c>
      <x:c r="H747" s="144" t="str">
        <x:v>coem/BYD_UKE/gen_bsw/Com/Com_PBcfg.c:32120; BYD_5R1V_RadarRearcorner_V2.5_AllNodes.dbc:1321</x:v>
      </x:c>
    </x:row>
    <x:row r="748" ht="72" customHeight="1">
      <x:c r="A748" s="144" t="str">
        <x:v>Com-Signal</x:v>
      </x:c>
      <x:c r="B748" s="144" t="str">
        <x:v>COM-SIG-Tx-0606 / RRR_Obj07A_Type</x:v>
      </x:c>
      <x:c r="C748" s="144" t="str">
        <x:v>PDU=RRR_Obj07B; startBit=82; length=6; byteOrder=Little; type=UINT8; factor=1（Com原始值）; offset=0（Com原始值）; min=按位宽/类型; max=按位宽/类型; unit=-; receivers=-</x:v>
      </x:c>
      <x:c r="D74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48" s="144" t="str">
        <x:v>M2</x:v>
      </x:c>
      <x:c r="F748" s="144" t="str">
        <x:v>Signal 级可编辑配置、数据类型/缩放/端序合同、RTE 接口、边界值与 round-trip 测试。</x:v>
      </x:c>
      <x:c r="G748" s="144" t="str">
        <x:v>raw=0、raw=max、物理 min/max、越界/保留值、端序字节向量、pack→unpack round-trip；1457/1457 通过。</x:v>
      </x:c>
      <x:c r="H748" s="144" t="str">
        <x:v>coem/BYD_UKE/gen_bsw/Com/Com_PBcfg.c:32173</x:v>
      </x:c>
    </x:row>
    <x:row r="749" ht="72" customHeight="1">
      <x:c r="A749" s="144" t="str">
        <x:v>Com-Signal</x:v>
      </x:c>
      <x:c r="B749" s="144" t="str">
        <x:v>COM-SIG-Tx-0607 / RRR_Obj07B_AliveCtr</x:v>
      </x:c>
      <x:c r="C749" s="144" t="str">
        <x:v>PDU=RRR_Obj07B; startBit=16; length=8; byteOrder=Little; type=UINT8; factor=1; offset=0; min=0; max=255; unit=-; receivers=DASy</x:v>
      </x:c>
      <x:c r="D7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49" s="144" t="str">
        <x:v>M2</x:v>
      </x:c>
      <x:c r="F749" s="144" t="str">
        <x:v>Signal 级可编辑配置、数据类型/缩放/端序合同、RTE 接口、边界值与 round-trip 测试。</x:v>
      </x:c>
      <x:c r="G749" s="144" t="str">
        <x:v>raw=0、raw=max、物理 min/max、越界/保留值、端序字节向量、pack→unpack round-trip；1457/1457 通过。</x:v>
      </x:c>
      <x:c r="H749" s="144" t="str">
        <x:v>coem/BYD_UKE/gen_bsw/Com/Com_PBcfg.c:32226; BYD_5R1V_RadarRearcorner_V2.5_AllNodes.dbc:1359</x:v>
      </x:c>
    </x:row>
    <x:row r="750" ht="72" customHeight="1">
      <x:c r="A750" s="144" t="str">
        <x:v>Com-Signal</x:v>
      </x:c>
      <x:c r="B750" s="144" t="str">
        <x:v>COM-SIG-Tx-0608 / RRR_Obj07B_BehaviorType</x:v>
      </x:c>
      <x:c r="C750" s="144" t="str">
        <x:v>PDU=RRR_Obj07B; startBit=88; length=3; byteOrder=Little; type=UINT8; factor=1; offset=0; min=0; max=7; unit=-; receivers=DASy</x:v>
      </x:c>
      <x:c r="D7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0" s="144" t="str">
        <x:v>M2</x:v>
      </x:c>
      <x:c r="F750" s="144" t="str">
        <x:v>Signal 级可编辑配置、数据类型/缩放/端序合同、RTE 接口、边界值与 round-trip 测试。</x:v>
      </x:c>
      <x:c r="G750" s="144" t="str">
        <x:v>raw=0、raw=max、物理 min/max、越界/保留值、端序字节向量、pack→unpack round-trip；1457/1457 通过。</x:v>
      </x:c>
      <x:c r="H750" s="144" t="str">
        <x:v>coem/BYD_UKE/gen_bsw/Com/Com_PBcfg.c:32279; BYD_5R1V_RadarRearcorner_V2.5_AllNodes.dbc:1367</x:v>
      </x:c>
    </x:row>
    <x:row r="751" ht="72" customHeight="1">
      <x:c r="A751" s="144" t="str">
        <x:v>Com-Signal</x:v>
      </x:c>
      <x:c r="B751" s="144" t="str">
        <x:v>COM-SIG-Tx-0609 / RRR_Obj07B_CRC</x:v>
      </x:c>
      <x:c r="C751" s="144" t="str">
        <x:v>PDU=RRR_Obj07B; startBit=0; length=16; byteOrder=Little; type=UINT16; factor=1; offset=0; min=0; max=65535; unit=-; receivers=DASy</x:v>
      </x:c>
      <x:c r="D7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1" s="144" t="str">
        <x:v>M2</x:v>
      </x:c>
      <x:c r="F751" s="144" t="str">
        <x:v>Signal 级可编辑配置、数据类型/缩放/端序合同、RTE 接口、边界值与 round-trip 测试。</x:v>
      </x:c>
      <x:c r="G751" s="144" t="str">
        <x:v>raw=0、raw=max、物理 min/max、越界/保留值、端序字节向量、pack→unpack round-trip；1457/1457 通过。</x:v>
      </x:c>
      <x:c r="H751" s="144" t="str">
        <x:v>coem/BYD_UKE/gen_bsw/Com/Com_PBcfg.c:32332; BYD_5R1V_RadarRearcorner_V2.5_AllNodes.dbc:1358</x:v>
      </x:c>
    </x:row>
    <x:row r="752" ht="72" customHeight="1">
      <x:c r="A752" s="144" t="str">
        <x:v>Com-Signal</x:v>
      </x:c>
      <x:c r="B752" s="144" t="str">
        <x:v>COM-SIG-Tx-0610 / RRR_Obj07B_MovingProbability</x:v>
      </x:c>
      <x:c r="C752" s="144" t="str">
        <x:v>PDU=RRR_Obj07B; startBit=76; length=6; byteOrder=Little; type=UINT8; factor=2; offset=0; min=0; max=100; unit=%; receivers=DASy</x:v>
      </x:c>
      <x:c r="D75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2" s="144" t="str">
        <x:v>M2</x:v>
      </x:c>
      <x:c r="F752" s="144" t="str">
        <x:v>Signal 级可编辑配置、数据类型/缩放/端序合同、RTE 接口、边界值与 round-trip 测试。</x:v>
      </x:c>
      <x:c r="G752" s="144" t="str">
        <x:v>raw=0、raw=max、物理 min/max、越界/保留值、端序字节向量、pack→unpack round-trip；1457/1457 通过。</x:v>
      </x:c>
      <x:c r="H752" s="144" t="str">
        <x:v>coem/BYD_UKE/gen_bsw/Com/Com_PBcfg.c:32385; BYD_5R1V_RadarRearcorner_V2.5_AllNodes.dbc:1355</x:v>
      </x:c>
    </x:row>
    <x:row r="753" ht="72" customHeight="1">
      <x:c r="A753" s="144" t="str">
        <x:v>Com-Signal</x:v>
      </x:c>
      <x:c r="B753" s="144" t="str">
        <x:v>COM-SIG-Tx-0611 / RRR_Obj07B_Prob4PlusWhlCAR</x:v>
      </x:c>
      <x:c r="C753" s="144" t="str">
        <x:v>PDU=RRR_Obj07B; startBit=46; length=6; byteOrder=Little; type=UINT8; factor=2; offset=0; min=0; max=100; unit=%; receivers=DASy</x:v>
      </x:c>
      <x:c r="D7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3" s="144" t="str">
        <x:v>M2</x:v>
      </x:c>
      <x:c r="F753" s="144" t="str">
        <x:v>Signal 级可编辑配置、数据类型/缩放/端序合同、RTE 接口、边界值与 round-trip 测试。</x:v>
      </x:c>
      <x:c r="G753" s="144" t="str">
        <x:v>raw=0、raw=max、物理 min/max、越界/保留值、端序字节向量、pack→unpack round-trip；1457/1457 通过。</x:v>
      </x:c>
      <x:c r="H753" s="144" t="str">
        <x:v>coem/BYD_UKE/gen_bsw/Com/Com_PBcfg.c:32438; BYD_5R1V_RadarRearcorner_V2.5_AllNodes.dbc:1364</x:v>
      </x:c>
    </x:row>
    <x:row r="754" ht="72" customHeight="1">
      <x:c r="A754" s="144" t="str">
        <x:v>Com-Signal</x:v>
      </x:c>
      <x:c r="B754" s="144" t="str">
        <x:v>COM-SIG-Tx-0612 / RRR_Obj07B_Prob4PlusWhlbHGV</x:v>
      </x:c>
      <x:c r="C754" s="144" t="str">
        <x:v>PDU=RRR_Obj07B; startBit=52; length=6; byteOrder=Little; type=UINT8; factor=2; offset=0; min=0; max=100; unit=%; receivers=DASy</x:v>
      </x:c>
      <x:c r="D7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4" s="144" t="str">
        <x:v>M2</x:v>
      </x:c>
      <x:c r="F754" s="144" t="str">
        <x:v>Signal 级可编辑配置、数据类型/缩放/端序合同、RTE 接口、边界值与 round-trip 测试。</x:v>
      </x:c>
      <x:c r="G754" s="144" t="str">
        <x:v>raw=0、raw=max、物理 min/max、越界/保留值、端序字节向量、pack→unpack round-trip；1457/1457 通过。</x:v>
      </x:c>
      <x:c r="H754" s="144" t="str">
        <x:v>coem/BYD_UKE/gen_bsw/Com/Com_PBcfg.c:32491; BYD_5R1V_RadarRearcorner_V2.5_AllNodes.dbc:1365</x:v>
      </x:c>
    </x:row>
    <x:row r="755" ht="72" customHeight="1">
      <x:c r="A755" s="144" t="str">
        <x:v>Com-Signal</x:v>
      </x:c>
      <x:c r="B755" s="144" t="str">
        <x:v>COM-SIG-Tx-0613 / RRR_Obj07B_ProbGNDReflex</x:v>
      </x:c>
      <x:c r="C755" s="144" t="str">
        <x:v>PDU=RRR_Obj07B; startBit=58; length=6; byteOrder=Little; type=UINT8; factor=2; offset=0; min=0; max=100; unit=%; receivers=DASy</x:v>
      </x:c>
      <x:c r="D7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5" s="144" t="str">
        <x:v>M2</x:v>
      </x:c>
      <x:c r="F755" s="144" t="str">
        <x:v>Signal 级可编辑配置、数据类型/缩放/端序合同、RTE 接口、边界值与 round-trip 测试。</x:v>
      </x:c>
      <x:c r="G755" s="144" t="str">
        <x:v>raw=0、raw=max、物理 min/max、越界/保留值、端序字节向量、pack→unpack round-trip；1457/1457 通过。</x:v>
      </x:c>
      <x:c r="H755" s="144" t="str">
        <x:v>coem/BYD_UKE/gen_bsw/Com/Com_PBcfg.c:32544; BYD_5R1V_RadarRearcorner_V2.5_AllNodes.dbc:1366</x:v>
      </x:c>
    </x:row>
    <x:row r="756" ht="72" customHeight="1">
      <x:c r="A756" s="144" t="str">
        <x:v>Com-Signal</x:v>
      </x:c>
      <x:c r="B756" s="144" t="str">
        <x:v>COM-SIG-Tx-0614 / RRR_Obj07B_ProbMob2Whl</x:v>
      </x:c>
      <x:c r="C756" s="144" t="str">
        <x:v>PDU=RRR_Obj07B; startBit=34; length=6; byteOrder=Little; type=UINT8; factor=2; offset=0; min=0; max=100; unit=%; receivers=DASy</x:v>
      </x:c>
      <x:c r="D7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6" s="144" t="str">
        <x:v>M2</x:v>
      </x:c>
      <x:c r="F756" s="144" t="str">
        <x:v>Signal 级可编辑配置、数据类型/缩放/端序合同、RTE 接口、边界值与 round-trip 测试。</x:v>
      </x:c>
      <x:c r="G756" s="144" t="str">
        <x:v>raw=0、raw=max、物理 min/max、越界/保留值、端序字节向量、pack→unpack round-trip；1457/1457 通过。</x:v>
      </x:c>
      <x:c r="H756" s="144" t="str">
        <x:v>coem/BYD_UKE/gen_bsw/Com/Com_PBcfg.c:32597; BYD_5R1V_RadarRearcorner_V2.5_AllNodes.dbc:1362</x:v>
      </x:c>
    </x:row>
    <x:row r="757" ht="72" customHeight="1">
      <x:c r="A757" s="144" t="str">
        <x:v>Com-Signal</x:v>
      </x:c>
      <x:c r="B757" s="144" t="str">
        <x:v>COM-SIG-Tx-0615 / RRR_Obj07B_ProbMob4PlusWhl</x:v>
      </x:c>
      <x:c r="C757" s="144" t="str">
        <x:v>PDU=RRR_Obj07B; startBit=28; length=6; byteOrder=Little; type=UINT8; factor=2; offset=0; min=0; max=100; unit=%; receivers=DASy</x:v>
      </x:c>
      <x:c r="D7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7" s="144" t="str">
        <x:v>M2</x:v>
      </x:c>
      <x:c r="F757" s="144" t="str">
        <x:v>Signal 级可编辑配置、数据类型/缩放/端序合同、RTE 接口、边界值与 round-trip 测试。</x:v>
      </x:c>
      <x:c r="G757" s="144" t="str">
        <x:v>raw=0、raw=max、物理 min/max、越界/保留值、端序字节向量、pack→unpack round-trip；1457/1457 通过。</x:v>
      </x:c>
      <x:c r="H757" s="144" t="str">
        <x:v>coem/BYD_UKE/gen_bsw/Com/Com_PBcfg.c:32650; BYD_5R1V_RadarRearcorner_V2.5_AllNodes.dbc:1361</x:v>
      </x:c>
    </x:row>
    <x:row r="758" ht="72" customHeight="1">
      <x:c r="A758" s="144" t="str">
        <x:v>Com-Signal</x:v>
      </x:c>
      <x:c r="B758" s="144" t="str">
        <x:v>COM-SIG-Tx-0616 / RRR_Obj07B_ProbMobPed</x:v>
      </x:c>
      <x:c r="C758" s="144" t="str">
        <x:v>PDU=RRR_Obj07B; startBit=40; length=6; byteOrder=Little; type=UINT8; factor=2; offset=0; min=0; max=100; unit=%; receivers=DASy</x:v>
      </x:c>
      <x:c r="D75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8" s="144" t="str">
        <x:v>M2</x:v>
      </x:c>
      <x:c r="F758" s="144" t="str">
        <x:v>Signal 级可编辑配置、数据类型/缩放/端序合同、RTE 接口、边界值与 round-trip 测试。</x:v>
      </x:c>
      <x:c r="G758" s="144" t="str">
        <x:v>raw=0、raw=max、物理 min/max、越界/保留值、端序字节向量、pack→unpack round-trip；1457/1457 通过。</x:v>
      </x:c>
      <x:c r="H758" s="144" t="str">
        <x:v>coem/BYD_UKE/gen_bsw/Com/Com_PBcfg.c:32703; BYD_5R1V_RadarRearcorner_V2.5_AllNodes.dbc:1363</x:v>
      </x:c>
    </x:row>
    <x:row r="759" ht="72" customHeight="1">
      <x:c r="A759" s="144" t="str">
        <x:v>Com-Signal</x:v>
      </x:c>
      <x:c r="B759" s="144" t="str">
        <x:v>COM-SIG-Tx-0617 / RRR_Obj07B_ProbStatBarrier</x:v>
      </x:c>
      <x:c r="C759" s="144" t="str">
        <x:v>PDU=RRR_Obj07B; startBit=64; length=6; byteOrder=Little; type=UINT8; factor=2; offset=0; min=0; max=100; unit=%; receivers=DASy</x:v>
      </x:c>
      <x:c r="D7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59" s="144" t="str">
        <x:v>M2</x:v>
      </x:c>
      <x:c r="F759" s="144" t="str">
        <x:v>Signal 级可编辑配置、数据类型/缩放/端序合同、RTE 接口、边界值与 round-trip 测试。</x:v>
      </x:c>
      <x:c r="G759" s="144" t="str">
        <x:v>raw=0、raw=max、物理 min/max、越界/保留值、端序字节向量、pack→unpack round-trip；1457/1457 通过。</x:v>
      </x:c>
      <x:c r="H759" s="144" t="str">
        <x:v>coem/BYD_UKE/gen_bsw/Com/Com_PBcfg.c:32756; BYD_5R1V_RadarRearcorner_V2.5_AllNodes.dbc:1357</x:v>
      </x:c>
    </x:row>
    <x:row r="760" ht="72" customHeight="1">
      <x:c r="A760" s="144" t="str">
        <x:v>Com-Signal</x:v>
      </x:c>
      <x:c r="B760" s="144" t="str">
        <x:v>COM-SIG-Tx-0618 / RRR_Obj07B_ProbStatObst</x:v>
      </x:c>
      <x:c r="C760" s="144" t="str">
        <x:v>PDU=RRR_Obj07B; startBit=70; length=6; byteOrder=Little; type=UINT8; factor=2; offset=0; min=0; max=100; unit=%; receivers=DASy</x:v>
      </x:c>
      <x:c r="D7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0" s="144" t="str">
        <x:v>M2</x:v>
      </x:c>
      <x:c r="F760" s="144" t="str">
        <x:v>Signal 级可编辑配置、数据类型/缩放/端序合同、RTE 接口、边界值与 round-trip 测试。</x:v>
      </x:c>
      <x:c r="G760" s="144" t="str">
        <x:v>raw=0、raw=max、物理 min/max、越界/保留值、端序字节向量、pack→unpack round-trip；1457/1457 通过。</x:v>
      </x:c>
      <x:c r="H760" s="144" t="str">
        <x:v>coem/BYD_UKE/gen_bsw/Com/Com_PBcfg.c:32809; BYD_5R1V_RadarRearcorner_V2.5_AllNodes.dbc:1356</x:v>
      </x:c>
    </x:row>
    <x:row r="761" ht="72" customHeight="1">
      <x:c r="A761" s="144" t="str">
        <x:v>Com-Signal</x:v>
      </x:c>
      <x:c r="B761" s="144" t="str">
        <x:v>COM-SIG-Tx-0619 / RRR_Obj07B_ProtBlockCtr</x:v>
      </x:c>
      <x:c r="C761" s="144" t="str">
        <x:v>PDU=RRR_Obj07B; startBit=24; length=4; byteOrder=Little; type=UINT8; factor=1; offset=0; min=0; max=15; unit=-; receivers=DASy</x:v>
      </x:c>
      <x:c r="D7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1" s="144" t="str">
        <x:v>M2</x:v>
      </x:c>
      <x:c r="F761" s="144" t="str">
        <x:v>Signal 级可编辑配置、数据类型/缩放/端序合同、RTE 接口、边界值与 round-trip 测试。</x:v>
      </x:c>
      <x:c r="G761" s="144" t="str">
        <x:v>raw=0、raw=max、物理 min/max、越界/保留值、端序字节向量、pack→unpack round-trip；1457/1457 通过。</x:v>
      </x:c>
      <x:c r="H761" s="144" t="str">
        <x:v>coem/BYD_UKE/gen_bsw/Com/Com_PBcfg.c:32862; BYD_5R1V_RadarRearcorner_V2.5_AllNodes.dbc:1360</x:v>
      </x:c>
    </x:row>
    <x:row r="762" ht="72" customHeight="1">
      <x:c r="A762" s="144" t="str">
        <x:v>Com-Signal</x:v>
      </x:c>
      <x:c r="B762" s="144" t="str">
        <x:v>COM-SIG-Tx-0620 / RRR_Obj08A_Age</x:v>
      </x:c>
      <x:c r="C762" s="144" t="str">
        <x:v>PDU=RRR_Obj08A; startBit=228; length=12; byteOrder=Little; type=UINT16; factor=1（Com原始值）; offset=0（Com原始值）; min=按位宽/类型; max=按位宽/类型; unit=-; receivers=-</x:v>
      </x:c>
      <x:c r="D76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62" s="144" t="str">
        <x:v>M2</x:v>
      </x:c>
      <x:c r="F762" s="144" t="str">
        <x:v>Signal 级可编辑配置、数据类型/缩放/端序合同、RTE 接口、边界值与 round-trip 测试。</x:v>
      </x:c>
      <x:c r="G762" s="144" t="str">
        <x:v>raw=0、raw=max、物理 min/max、越界/保留值、端序字节向量、pack→unpack round-trip；1457/1457 通过。</x:v>
      </x:c>
      <x:c r="H762" s="144" t="str">
        <x:v>coem/BYD_UKE/gen_bsw/Com/Com_PBcfg.c:32915</x:v>
      </x:c>
    </x:row>
    <x:row r="763" ht="72" customHeight="1">
      <x:c r="A763" s="144" t="str">
        <x:v>Com-Signal</x:v>
      </x:c>
      <x:c r="B763" s="144" t="str">
        <x:v>COM-SIG-Tx-0621 / RRR_Obj08A_AliveCtr</x:v>
      </x:c>
      <x:c r="C763" s="144" t="str">
        <x:v>PDU=RRR_Obj08A; startBit=16; length=8; byteOrder=Little; type=UINT8; factor=1; offset=0; min=0; max=255; unit=-; receivers=DASy</x:v>
      </x:c>
      <x:c r="D7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3" s="144" t="str">
        <x:v>M2</x:v>
      </x:c>
      <x:c r="F763" s="144" t="str">
        <x:v>Signal 级可编辑配置、数据类型/缩放/端序合同、RTE 接口、边界值与 round-trip 测试。</x:v>
      </x:c>
      <x:c r="G763" s="144" t="str">
        <x:v>raw=0、raw=max、物理 min/max、越界/保留值、端序字节向量、pack→unpack round-trip；1457/1457 通过。</x:v>
      </x:c>
      <x:c r="H763" s="144" t="str">
        <x:v>coem/BYD_UKE/gen_bsw/Com/Com_PBcfg.c:32968; BYD_5R1V_RadarRearcorner_V2.5_AllNodes.dbc:1372</x:v>
      </x:c>
    </x:row>
    <x:row r="764" ht="72" customHeight="1">
      <x:c r="A764" s="144" t="str">
        <x:v>Com-Signal</x:v>
      </x:c>
      <x:c r="B764" s="144" t="str">
        <x:v>COM-SIG-Tx-0622 / RRR_Obj08A_AxAyCoVnce</x:v>
      </x:c>
      <x:c r="C764" s="144" t="str">
        <x:v>PDU=RRR_Obj08A; startBit=396; length=12; byteOrder=Little; type=UINT16; factor=0.01; offset=0; min=0; max=30; unit=m^2/s^4; receivers=DASy</x:v>
      </x:c>
      <x:c r="D7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4" s="144" t="str">
        <x:v>M2</x:v>
      </x:c>
      <x:c r="F764" s="144" t="str">
        <x:v>Signal 级可编辑配置、数据类型/缩放/端序合同、RTE 接口、边界值与 round-trip 测试。</x:v>
      </x:c>
      <x:c r="G764" s="144" t="str">
        <x:v>raw=0、raw=max、物理 min/max、越界/保留值、端序字节向量、pack→unpack round-trip；1457/1457 通过。</x:v>
      </x:c>
      <x:c r="H764" s="144" t="str">
        <x:v>coem/BYD_UKE/gen_bsw/Com/Com_PBcfg.c:33021; BYD_5R1V_RadarRearcorner_V2.5_AllNodes.dbc:1410</x:v>
      </x:c>
    </x:row>
    <x:row r="765" ht="72" customHeight="1">
      <x:c r="A765" s="144" t="str">
        <x:v>Com-Signal</x:v>
      </x:c>
      <x:c r="B765" s="144" t="str">
        <x:v>COM-SIG-Tx-0623 / RRR_Obj08A_AxVnce</x:v>
      </x:c>
      <x:c r="C765" s="144" t="str">
        <x:v>PDU=RRR_Obj08A; startBit=200; length=12; byteOrder=Little; type=UINT16; factor=0.01; offset=0; min=0; max=30; unit=m^2/s^4; receivers=DASy</x:v>
      </x:c>
      <x:c r="D7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5" s="144" t="str">
        <x:v>M2</x:v>
      </x:c>
      <x:c r="F765" s="144" t="str">
        <x:v>Signal 级可编辑配置、数据类型/缩放/端序合同、RTE 接口、边界值与 round-trip 测试。</x:v>
      </x:c>
      <x:c r="G765" s="144" t="str">
        <x:v>raw=0、raw=max、物理 min/max、越界/保留值、端序字节向量、pack→unpack round-trip；1457/1457 通过。</x:v>
      </x:c>
      <x:c r="H765" s="144" t="str">
        <x:v>coem/BYD_UKE/gen_bsw/Com/Com_PBcfg.c:33074; BYD_5R1V_RadarRearcorner_V2.5_AllNodes.dbc:1394</x:v>
      </x:c>
    </x:row>
    <x:row r="766" ht="72" customHeight="1">
      <x:c r="A766" s="144" t="str">
        <x:v>Com-Signal</x:v>
      </x:c>
      <x:c r="B766" s="144" t="str">
        <x:v>COM-SIG-Tx-0624 / RRR_Obj08A_Ax</x:v>
      </x:c>
      <x:c r="C766" s="144" t="str">
        <x:v>PDU=RRR_Obj08A; startBit=93; length=10; byteOrder=Little; type=UINT16; factor=0.03125; offset=-16; min=-16; max=15.96875; unit=m/s^2; receivers=DASy</x:v>
      </x:c>
      <x:c r="D7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6" s="144" t="str">
        <x:v>M2</x:v>
      </x:c>
      <x:c r="F766" s="144" t="str">
        <x:v>Signal 级可编辑配置、数据类型/缩放/端序合同、RTE 接口、边界值与 round-trip 测试。</x:v>
      </x:c>
      <x:c r="G766" s="144" t="str">
        <x:v>raw=0、raw=max、物理 min/max、越界/保留值、端序字节向量、pack→unpack round-trip；1457/1457 通过。</x:v>
      </x:c>
      <x:c r="H766" s="144" t="str">
        <x:v>coem/BYD_UKE/gen_bsw/Com/Com_PBcfg.c:33127; BYD_5R1V_RadarRearcorner_V2.5_AllNodes.dbc:1383</x:v>
      </x:c>
    </x:row>
    <x:row r="767" ht="72" customHeight="1">
      <x:c r="A767" s="144" t="str">
        <x:v>Com-Signal</x:v>
      </x:c>
      <x:c r="B767" s="144" t="str">
        <x:v>COM-SIG-Tx-0625 / RRR_Obj08A_AyVnce</x:v>
      </x:c>
      <x:c r="C767" s="144" t="str">
        <x:v>PDU=RRR_Obj08A; startBit=212; length=12; byteOrder=Little; type=UINT16; factor=0.01; offset=0; min=0; max=30; unit=m^2/s^4; receivers=DASy</x:v>
      </x:c>
      <x:c r="D7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7" s="144" t="str">
        <x:v>M2</x:v>
      </x:c>
      <x:c r="F767" s="144" t="str">
        <x:v>Signal 级可编辑配置、数据类型/缩放/端序合同、RTE 接口、边界值与 round-trip 测试。</x:v>
      </x:c>
      <x:c r="G767" s="144" t="str">
        <x:v>raw=0、raw=max、物理 min/max、越界/保留值、端序字节向量、pack→unpack round-trip；1457/1457 通过。</x:v>
      </x:c>
      <x:c r="H767" s="144" t="str">
        <x:v>coem/BYD_UKE/gen_bsw/Com/Com_PBcfg.c:33180; BYD_5R1V_RadarRearcorner_V2.5_AllNodes.dbc:1395</x:v>
      </x:c>
    </x:row>
    <x:row r="768" ht="72" customHeight="1">
      <x:c r="A768" s="144" t="str">
        <x:v>Com-Signal</x:v>
      </x:c>
      <x:c r="B768" s="144" t="str">
        <x:v>COM-SIG-Tx-0626 / RRR_Obj08A_Ay</x:v>
      </x:c>
      <x:c r="C768" s="144" t="str">
        <x:v>PDU=RRR_Obj08A; startBit=103; length=9; byteOrder=Little; type=UINT16; factor=0.0625; offset=-16; min=-16; max=15.9375; unit=m/s^2; receivers=DASy</x:v>
      </x:c>
      <x:c r="D7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8" s="144" t="str">
        <x:v>M2</x:v>
      </x:c>
      <x:c r="F768" s="144" t="str">
        <x:v>Signal 级可编辑配置、数据类型/缩放/端序合同、RTE 接口、边界值与 round-trip 测试。</x:v>
      </x:c>
      <x:c r="G768" s="144" t="str">
        <x:v>raw=0、raw=max、物理 min/max、越界/保留值、端序字节向量、pack→unpack round-trip；1457/1457 通过。</x:v>
      </x:c>
      <x:c r="H768" s="144" t="str">
        <x:v>coem/BYD_UKE/gen_bsw/Com/Com_PBcfg.c:33233; BYD_5R1V_RadarRearcorner_V2.5_AllNodes.dbc:1384</x:v>
      </x:c>
    </x:row>
    <x:row r="769" ht="72" customHeight="1">
      <x:c r="A769" s="144" t="str">
        <x:v>Com-Signal</x:v>
      </x:c>
      <x:c r="B769" s="144" t="str">
        <x:v>COM-SIG-Tx-0627 / RRR_Obj08A_CRC</x:v>
      </x:c>
      <x:c r="C769" s="144" t="str">
        <x:v>PDU=RRR_Obj08A; startBit=0; length=16; byteOrder=Little; type=UINT16; factor=1; offset=0; min=0; max=65535; unit=-; receivers=DASy</x:v>
      </x:c>
      <x:c r="D7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69" s="144" t="str">
        <x:v>M2</x:v>
      </x:c>
      <x:c r="F769" s="144" t="str">
        <x:v>Signal 级可编辑配置、数据类型/缩放/端序合同、RTE 接口、边界值与 round-trip 测试。</x:v>
      </x:c>
      <x:c r="G769" s="144" t="str">
        <x:v>raw=0、raw=max、物理 min/max、越界/保留值、端序字节向量、pack→unpack round-trip；1457/1457 通过。</x:v>
      </x:c>
      <x:c r="H769" s="144" t="str">
        <x:v>coem/BYD_UKE/gen_bsw/Com/Com_PBcfg.c:33286; BYD_5R1V_RadarRearcorner_V2.5_AllNodes.dbc:1371</x:v>
      </x:c>
    </x:row>
    <x:row r="770" ht="72" customHeight="1">
      <x:c r="A770" s="144" t="str">
        <x:v>Com-Signal</x:v>
      </x:c>
      <x:c r="B770" s="144" t="str">
        <x:v>COM-SIG-Tx-0628 / RRR_Obj08A_DxAxCoVnce</x:v>
      </x:c>
      <x:c r="C770" s="144" t="str">
        <x:v>PDU=RRR_Obj08A; startBit=300; length=12; byteOrder=Little; type=UINT16; factor=0.01; offset=0; min=0; max=30; unit=m^2/s^2; receivers=DASy</x:v>
      </x:c>
      <x:c r="D7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0" s="144" t="str">
        <x:v>M2</x:v>
      </x:c>
      <x:c r="F770" s="144" t="str">
        <x:v>Signal 级可编辑配置、数据类型/缩放/端序合同、RTE 接口、边界值与 round-trip 测试。</x:v>
      </x:c>
      <x:c r="G770" s="144" t="str">
        <x:v>raw=0、raw=max、物理 min/max、越界/保留值、端序字节向量、pack→unpack round-trip；1457/1457 通过。</x:v>
      </x:c>
      <x:c r="H770" s="144" t="str">
        <x:v>coem/BYD_UKE/gen_bsw/Com/Com_PBcfg.c:33339; BYD_5R1V_RadarRearcorner_V2.5_AllNodes.dbc:1402</x:v>
      </x:c>
    </x:row>
    <x:row r="771" ht="72" customHeight="1">
      <x:c r="A771" s="144" t="str">
        <x:v>Com-Signal</x:v>
      </x:c>
      <x:c r="B771" s="144" t="str">
        <x:v>COM-SIG-Tx-0629 / RRR_Obj08A_DxAyCoVnce</x:v>
      </x:c>
      <x:c r="C771" s="144" t="str">
        <x:v>PDU=RRR_Obj08A; startBit=348; length=12; byteOrder=Little; type=UINT16; factor=0.01; offset=0; min=0; max=30; unit=m^2/s^2; receivers=DASy</x:v>
      </x:c>
      <x:c r="D7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1" s="144" t="str">
        <x:v>M2</x:v>
      </x:c>
      <x:c r="F771" s="144" t="str">
        <x:v>Signal 级可编辑配置、数据类型/缩放/端序合同、RTE 接口、边界值与 round-trip 测试。</x:v>
      </x:c>
      <x:c r="G771" s="144" t="str">
        <x:v>raw=0、raw=max、物理 min/max、越界/保留值、端序字节向量、pack→unpack round-trip；1457/1457 通过。</x:v>
      </x:c>
      <x:c r="H771" s="144" t="str">
        <x:v>coem/BYD_UKE/gen_bsw/Com/Com_PBcfg.c:33392; BYD_5R1V_RadarRearcorner_V2.5_AllNodes.dbc:1406</x:v>
      </x:c>
    </x:row>
    <x:row r="772" ht="72" customHeight="1">
      <x:c r="A772" s="144" t="str">
        <x:v>Com-Signal</x:v>
      </x:c>
      <x:c r="B772" s="144" t="str">
        <x:v>COM-SIG-Tx-0630 / RRR_Obj08A_DxVnce</x:v>
      </x:c>
      <x:c r="C772" s="144" t="str">
        <x:v>PDU=RRR_Obj08A; startBit=142; length=12; byteOrder=Little; type=UINT16; factor=0.01; offset=0; min=0; max=30; unit=m^2; receivers=DASy</x:v>
      </x:c>
      <x:c r="D77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2" s="144" t="str">
        <x:v>M2</x:v>
      </x:c>
      <x:c r="F772" s="144" t="str">
        <x:v>Signal 级可编辑配置、数据类型/缩放/端序合同、RTE 接口、边界值与 round-trip 测试。</x:v>
      </x:c>
      <x:c r="G772" s="144" t="str">
        <x:v>raw=0、raw=max、物理 min/max、越界/保留值、端序字节向量、pack→unpack round-trip；1457/1457 通过。</x:v>
      </x:c>
      <x:c r="H772" s="144" t="str">
        <x:v>coem/BYD_UKE/gen_bsw/Com/Com_PBcfg.c:33445; BYD_5R1V_RadarRearcorner_V2.5_AllNodes.dbc:1389</x:v>
      </x:c>
    </x:row>
    <x:row r="773" ht="72" customHeight="1">
      <x:c r="A773" s="144" t="str">
        <x:v>Com-Signal</x:v>
      </x:c>
      <x:c r="B773" s="144" t="str">
        <x:v>COM-SIG-Tx-0631 / RRR_Obj08A_Dx</x:v>
      </x:c>
      <x:c r="C773" s="144" t="str">
        <x:v>PDU=RRR_Obj08A; startBit=40; length=13; byteOrder=Little; type=UINT16; factor=0.0625; offset=-256; min=-256; max=255.9375; unit=m; receivers=DASy</x:v>
      </x:c>
      <x:c r="D7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3" s="144" t="str">
        <x:v>M2</x:v>
      </x:c>
      <x:c r="F773" s="144" t="str">
        <x:v>Signal 级可编辑配置、数据类型/缩放/端序合同、RTE 接口、边界值与 round-trip 测试。</x:v>
      </x:c>
      <x:c r="G773" s="144" t="str">
        <x:v>raw=0、raw=max、物理 min/max、越界/保留值、端序字节向量、pack→unpack round-trip；1457/1457 通过。</x:v>
      </x:c>
      <x:c r="H773" s="144" t="str">
        <x:v>coem/BYD_UKE/gen_bsw/Com/Com_PBcfg.c:33498; BYD_5R1V_RadarRearcorner_V2.5_AllNodes.dbc:1378</x:v>
      </x:c>
    </x:row>
    <x:row r="774" ht="72" customHeight="1">
      <x:c r="A774" s="144" t="str">
        <x:v>Com-Signal</x:v>
      </x:c>
      <x:c r="B774" s="144" t="str">
        <x:v>COM-SIG-Tx-0632 / RRR_Obj08A_DyAxCoVnce</x:v>
      </x:c>
      <x:c r="C774" s="144" t="str">
        <x:v>PDU=RRR_Obj08A; startBit=312; length=12; byteOrder=Little; type=UINT16; factor=0.01; offset=0; min=0; max=30; unit=m^2/s^2; receivers=DASy</x:v>
      </x:c>
      <x:c r="D7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4" s="144" t="str">
        <x:v>M2</x:v>
      </x:c>
      <x:c r="F774" s="144" t="str">
        <x:v>Signal 级可编辑配置、数据类型/缩放/端序合同、RTE 接口、边界值与 round-trip 测试。</x:v>
      </x:c>
      <x:c r="G774" s="144" t="str">
        <x:v>raw=0、raw=max、物理 min/max、越界/保留值、端序字节向量、pack→unpack round-trip；1457/1457 通过。</x:v>
      </x:c>
      <x:c r="H774" s="144" t="str">
        <x:v>coem/BYD_UKE/gen_bsw/Com/Com_PBcfg.c:33551; BYD_5R1V_RadarRearcorner_V2.5_AllNodes.dbc:1403</x:v>
      </x:c>
    </x:row>
    <x:row r="775" ht="72" customHeight="1">
      <x:c r="A775" s="144" t="str">
        <x:v>Com-Signal</x:v>
      </x:c>
      <x:c r="B775" s="144" t="str">
        <x:v>COM-SIG-Tx-0633 / RRR_Obj08A_DyAyCoVnce</x:v>
      </x:c>
      <x:c r="C775" s="144" t="str">
        <x:v>PDU=RRR_Obj08A; startBit=360; length=12; byteOrder=Little; type=UINT16; factor=0.01; offset=0; min=0; max=30; unit=m^2/s^2; receivers=DASy</x:v>
      </x:c>
      <x:c r="D7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5" s="144" t="str">
        <x:v>M2</x:v>
      </x:c>
      <x:c r="F775" s="144" t="str">
        <x:v>Signal 级可编辑配置、数据类型/缩放/端序合同、RTE 接口、边界值与 round-trip 测试。</x:v>
      </x:c>
      <x:c r="G775" s="144" t="str">
        <x:v>raw=0、raw=max、物理 min/max、越界/保留值、端序字节向量、pack→unpack round-trip；1457/1457 通过。</x:v>
      </x:c>
      <x:c r="H775" s="144" t="str">
        <x:v>coem/BYD_UKE/gen_bsw/Com/Com_PBcfg.c:33604; BYD_5R1V_RadarRearcorner_V2.5_AllNodes.dbc:1407</x:v>
      </x:c>
    </x:row>
    <x:row r="776" ht="72" customHeight="1">
      <x:c r="A776" s="144" t="str">
        <x:v>Com-Signal</x:v>
      </x:c>
      <x:c r="B776" s="144" t="str">
        <x:v>COM-SIG-Tx-0634 / RRR_Obj08A_DyVnce</x:v>
      </x:c>
      <x:c r="C776" s="144" t="str">
        <x:v>PDU=RRR_Obj08A; startBit=154; length=12; byteOrder=Little; type=UINT16; factor=0.01; offset=0; min=0; max=30; unit=m^2; receivers=DASy</x:v>
      </x:c>
      <x:c r="D7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6" s="144" t="str">
        <x:v>M2</x:v>
      </x:c>
      <x:c r="F776" s="144" t="str">
        <x:v>Signal 级可编辑配置、数据类型/缩放/端序合同、RTE 接口、边界值与 round-trip 测试。</x:v>
      </x:c>
      <x:c r="G776" s="144" t="str">
        <x:v>raw=0、raw=max、物理 min/max、越界/保留值、端序字节向量、pack→unpack round-trip；1457/1457 通过。</x:v>
      </x:c>
      <x:c r="H776" s="144" t="str">
        <x:v>coem/BYD_UKE/gen_bsw/Com/Com_PBcfg.c:33657; BYD_5R1V_RadarRearcorner_V2.5_AllNodes.dbc:1390</x:v>
      </x:c>
    </x:row>
    <x:row r="777" ht="72" customHeight="1">
      <x:c r="A777" s="144" t="str">
        <x:v>Com-Signal</x:v>
      </x:c>
      <x:c r="B777" s="144" t="str">
        <x:v>COM-SIG-Tx-0635 / RRR_Obj08A_DyVyCoVnce</x:v>
      </x:c>
      <x:c r="C777" s="144" t="str">
        <x:v>PDU=RRR_Obj08A; startBit=276; length=12; byteOrder=Little; type=UINT16; factor=0.01; offset=0; min=0; max=30; unit=m^2/s; receivers=DASy</x:v>
      </x:c>
      <x:c r="D7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7" s="144" t="str">
        <x:v>M2</x:v>
      </x:c>
      <x:c r="F777" s="144" t="str">
        <x:v>Signal 级可编辑配置、数据类型/缩放/端序合同、RTE 接口、边界值与 round-trip 测试。</x:v>
      </x:c>
      <x:c r="G777" s="144" t="str">
        <x:v>raw=0、raw=max、物理 min/max、越界/保留值、端序字节向量、pack→unpack round-trip；1457/1457 通过。</x:v>
      </x:c>
      <x:c r="H777" s="144" t="str">
        <x:v>coem/BYD_UKE/gen_bsw/Com/Com_PBcfg.c:33710; BYD_5R1V_RadarRearcorner_V2.5_AllNodes.dbc:1400</x:v>
      </x:c>
    </x:row>
    <x:row r="778" ht="72" customHeight="1">
      <x:c r="A778" s="144" t="str">
        <x:v>Com-Signal</x:v>
      </x:c>
      <x:c r="B778" s="144" t="str">
        <x:v>COM-SIG-Tx-0636 / RRR_Obj08A_Dy</x:v>
      </x:c>
      <x:c r="C778" s="144" t="str">
        <x:v>PDU=RRR_Obj08A; startBit=59; length=11; byteOrder=Little; type=UINT16; factor=0.125; offset=-128; min=-128; max=127.875; unit=m; receivers=DASy</x:v>
      </x:c>
      <x:c r="D7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8" s="144" t="str">
        <x:v>M2</x:v>
      </x:c>
      <x:c r="F778" s="144" t="str">
        <x:v>Signal 级可编辑配置、数据类型/缩放/端序合同、RTE 接口、边界值与 round-trip 测试。</x:v>
      </x:c>
      <x:c r="G778" s="144" t="str">
        <x:v>raw=0、raw=max、物理 min/max、越界/保留值、端序字节向量、pack→unpack round-trip；1457/1457 通过。</x:v>
      </x:c>
      <x:c r="H778" s="144" t="str">
        <x:v>coem/BYD_UKE/gen_bsw/Com/Com_PBcfg.c:33763; BYD_5R1V_RadarRearcorner_V2.5_AllNodes.dbc:1379</x:v>
      </x:c>
    </x:row>
    <x:row r="779" ht="72" customHeight="1">
      <x:c r="A779" s="144" t="str">
        <x:v>Com-Signal</x:v>
      </x:c>
      <x:c r="B779" s="144" t="str">
        <x:v>COM-SIG-Tx-0637 / RRR_Obj08A_DzVnce</x:v>
      </x:c>
      <x:c r="C779" s="144" t="str">
        <x:v>PDU=RRR_Obj08A; startBit=166; length=10; byteOrder=Little; type=UINT16; factor=0.01; offset=0; min=0; max=10; unit=m^2; receivers=DASy</x:v>
      </x:c>
      <x:c r="D7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79" s="144" t="str">
        <x:v>M2</x:v>
      </x:c>
      <x:c r="F779" s="144" t="str">
        <x:v>Signal 级可编辑配置、数据类型/缩放/端序合同、RTE 接口、边界值与 round-trip 测试。</x:v>
      </x:c>
      <x:c r="G779" s="144" t="str">
        <x:v>raw=0、raw=max、物理 min/max、越界/保留值、端序字节向量、pack→unpack round-trip；1457/1457 通过。</x:v>
      </x:c>
      <x:c r="H779" s="144" t="str">
        <x:v>coem/BYD_UKE/gen_bsw/Com/Com_PBcfg.c:33816; BYD_5R1V_RadarRearcorner_V2.5_AllNodes.dbc:1391</x:v>
      </x:c>
    </x:row>
    <x:row r="780" ht="72" customHeight="1">
      <x:c r="A780" s="144" t="str">
        <x:v>Com-Signal</x:v>
      </x:c>
      <x:c r="B780" s="144" t="str">
        <x:v>COM-SIG-Tx-0638 / RRR_Obj08A_Dz</x:v>
      </x:c>
      <x:c r="C780" s="144" t="str">
        <x:v>PDU=RRR_Obj08A; startBit=53; length=6; byteOrder=Little; type=UINT8; factor=0.25; offset=-5; min=-5; max=10.75; unit=m; receivers=DASy</x:v>
      </x:c>
      <x:c r="D7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0" s="144" t="str">
        <x:v>M2</x:v>
      </x:c>
      <x:c r="F780" s="144" t="str">
        <x:v>Signal 级可编辑配置、数据类型/缩放/端序合同、RTE 接口、边界值与 round-trip 测试。</x:v>
      </x:c>
      <x:c r="G780" s="144" t="str">
        <x:v>raw=0、raw=max、物理 min/max、越界/保留值、端序字节向量、pack→unpack round-trip；1457/1457 通过。</x:v>
      </x:c>
      <x:c r="H780" s="144" t="str">
        <x:v>coem/BYD_UKE/gen_bsw/Com/Com_PBcfg.c:33869; BYD_5R1V_RadarRearcorner_V2.5_AllNodes.dbc:1380</x:v>
      </x:c>
    </x:row>
    <x:row r="781" ht="72" customHeight="1">
      <x:c r="A781" s="144" t="str">
        <x:v>Com-Signal</x:v>
      </x:c>
      <x:c r="B781" s="144" t="str">
        <x:v>COM-SIG-Tx-0639 / RRR_Obj08A_HeadingYawAngleVnce</x:v>
      </x:c>
      <x:c r="C781" s="144" t="str">
        <x:v>PDU=RRR_Obj08A; startBit=408; length=12; byteOrder=Little; type=UINT16; factor=0.0003; offset=0; min=0; max=1; unit=rad^2; receivers=DASy</x:v>
      </x:c>
      <x:c r="D7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1" s="144" t="str">
        <x:v>M2</x:v>
      </x:c>
      <x:c r="F781" s="144" t="str">
        <x:v>Signal 级可编辑配置、数据类型/缩放/端序合同、RTE 接口、边界值与 round-trip 测试。</x:v>
      </x:c>
      <x:c r="G781" s="144" t="str">
        <x:v>raw=0、raw=max、物理 min/max、越界/保留值、端序字节向量、pack→unpack round-trip；1457/1457 通过。</x:v>
      </x:c>
      <x:c r="H781" s="144" t="str">
        <x:v>coem/BYD_UKE/gen_bsw/Com/Com_PBcfg.c:33922; BYD_5R1V_RadarRearcorner_V2.5_AllNodes.dbc:1411</x:v>
      </x:c>
    </x:row>
    <x:row r="782" ht="72" customHeight="1">
      <x:c r="A782" s="144" t="str">
        <x:v>Com-Signal</x:v>
      </x:c>
      <x:c r="B782" s="144" t="str">
        <x:v>COM-SIG-Tx-0640 / RRR_Obj08A_HeadingYawAngle</x:v>
      </x:c>
      <x:c r="C782" s="144" t="str">
        <x:v>PDU=RRR_Obj08A; startBit=112; length=9; byteOrder=Little; type=UINT16; factor=0.0175; offset=-4.48; min=-3.15; max=3.15; unit=rad; receivers=DASy</x:v>
      </x:c>
      <x:c r="D7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2" s="144" t="str">
        <x:v>M2</x:v>
      </x:c>
      <x:c r="F782" s="144" t="str">
        <x:v>Signal 级可编辑配置、数据类型/缩放/端序合同、RTE 接口、边界值与 round-trip 测试。</x:v>
      </x:c>
      <x:c r="G782" s="144" t="str">
        <x:v>raw=0、raw=max、物理 min/max、越界/保留值、端序字节向量、pack→unpack round-trip；1457/1457 通过。</x:v>
      </x:c>
      <x:c r="H782" s="144" t="str">
        <x:v>coem/BYD_UKE/gen_bsw/Com/Com_PBcfg.c:33975; BYD_5R1V_RadarRearcorner_V2.5_AllNodes.dbc:1385</x:v>
      </x:c>
    </x:row>
    <x:row r="783" ht="72" customHeight="1">
      <x:c r="A783" s="144" t="str">
        <x:v>Com-Signal</x:v>
      </x:c>
      <x:c r="B783" s="144" t="str">
        <x:v>COM-SIG-Tx-0641 / RRR_Obj08A_HeadingYawrate</x:v>
      </x:c>
      <x:c r="C783" s="144" t="str">
        <x:v>PDU=RRR_Obj08A; startBit=240; length=12; byteOrder=Little; type=UINT16; factor=1（Com原始值）; offset=0（Com原始值）; min=按位宽/类型; max=按位宽/类型; unit=-; receivers=-</x:v>
      </x:c>
      <x:c r="D783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83" s="144" t="str">
        <x:v>M2</x:v>
      </x:c>
      <x:c r="F783" s="144" t="str">
        <x:v>Signal 级可编辑配置、数据类型/缩放/端序合同、RTE 接口、边界值与 round-trip 测试。</x:v>
      </x:c>
      <x:c r="G783" s="144" t="str">
        <x:v>raw=0、raw=max、物理 min/max、越界/保留值、端序字节向量、pack→unpack round-trip；1457/1457 通过。</x:v>
      </x:c>
      <x:c r="H783" s="144" t="str">
        <x:v>coem/BYD_UKE/gen_bsw/Com/Com_PBcfg.c:34028</x:v>
      </x:c>
    </x:row>
    <x:row r="784" ht="72" customHeight="1">
      <x:c r="A784" s="144" t="str">
        <x:v>Com-Signal</x:v>
      </x:c>
      <x:c r="B784" s="144" t="str">
        <x:v>COM-SIG-Tx-0642 / RRR_Obj08A_HeightVnce</x:v>
      </x:c>
      <x:c r="C784" s="144" t="str">
        <x:v>PDU=RRR_Obj08A; startBit=444; length=12; byteOrder=Little; type=UINT16; factor=0.01; offset=0; min=0; max=30; unit=m^2; receivers=DASy</x:v>
      </x:c>
      <x:c r="D7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4" s="144" t="str">
        <x:v>M2</x:v>
      </x:c>
      <x:c r="F784" s="144" t="str">
        <x:v>Signal 级可编辑配置、数据类型/缩放/端序合同、RTE 接口、边界值与 round-trip 测试。</x:v>
      </x:c>
      <x:c r="G784" s="144" t="str">
        <x:v>raw=0、raw=max、物理 min/max、越界/保留值、端序字节向量、pack→unpack round-trip；1457/1457 通过。</x:v>
      </x:c>
      <x:c r="H784" s="144" t="str">
        <x:v>coem/BYD_UKE/gen_bsw/Com/Com_PBcfg.c:34081; BYD_5R1V_RadarRearcorner_V2.5_AllNodes.dbc:1370</x:v>
      </x:c>
    </x:row>
    <x:row r="785" ht="72" customHeight="1">
      <x:c r="A785" s="144" t="str">
        <x:v>Com-Signal</x:v>
      </x:c>
      <x:c r="B785" s="144" t="str">
        <x:v>COM-SIG-Tx-0643 / RRR_Obj08A_Height</x:v>
      </x:c>
      <x:c r="C785" s="144" t="str">
        <x:v>PDU=RRR_Obj08A; startBit=135; length=7; byteOrder=Little; type=UINT8; factor=0.125; offset=0; min=0; max=15.875; unit=m; receivers=DASy</x:v>
      </x:c>
      <x:c r="D7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5" s="144" t="str">
        <x:v>M2</x:v>
      </x:c>
      <x:c r="F785" s="144" t="str">
        <x:v>Signal 级可编辑配置、数据类型/缩放/端序合同、RTE 接口、边界值与 round-trip 测试。</x:v>
      </x:c>
      <x:c r="G785" s="144" t="str">
        <x:v>raw=0、raw=max、物理 min/max、越界/保留值、端序字节向量、pack→unpack round-trip；1457/1457 通过。</x:v>
      </x:c>
      <x:c r="H785" s="144" t="str">
        <x:v>coem/BYD_UKE/gen_bsw/Com/Com_PBcfg.c:34134; BYD_5R1V_RadarRearcorner_V2.5_AllNodes.dbc:1388</x:v>
      </x:c>
    </x:row>
    <x:row r="786" ht="72" customHeight="1">
      <x:c r="A786" s="144" t="str">
        <x:v>Com-Signal</x:v>
      </x:c>
      <x:c r="B786" s="144" t="str">
        <x:v>COM-SIG-Tx-0644 / RRR_Obj08A_ID</x:v>
      </x:c>
      <x:c r="C786" s="144" t="str">
        <x:v>PDU=RRR_Obj08A; startBit=32; length=7; byteOrder=Little; type=UINT8; factor=1; offset=0; min=0; max=127; unit=-; receivers=DASy</x:v>
      </x:c>
      <x:c r="D7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6" s="144" t="str">
        <x:v>M2</x:v>
      </x:c>
      <x:c r="F786" s="144" t="str">
        <x:v>Signal 级可编辑配置、数据类型/缩放/端序合同、RTE 接口、边界值与 round-trip 测试。</x:v>
      </x:c>
      <x:c r="G786" s="144" t="str">
        <x:v>raw=0、raw=max、物理 min/max、越界/保留值、端序字节向量、pack→unpack round-trip；1457/1457 通过。</x:v>
      </x:c>
      <x:c r="H786" s="144" t="str">
        <x:v>coem/BYD_UKE/gen_bsw/Com/Com_PBcfg.c:34187; BYD_5R1V_RadarRearcorner_V2.5_AllNodes.dbc:1374</x:v>
      </x:c>
    </x:row>
    <x:row r="787" ht="72" customHeight="1">
      <x:c r="A787" s="144" t="str">
        <x:v>Com-Signal</x:v>
      </x:c>
      <x:c r="B787" s="144" t="str">
        <x:v>COM-SIG-Tx-0645 / RRR_Obj08A_LengthVnce</x:v>
      </x:c>
      <x:c r="C787" s="144" t="str">
        <x:v>PDU=RRR_Obj08A; startBit=420; length=12; byteOrder=Little; type=UINT16; factor=0.01; offset=0; min=0; max=30; unit=m^2; receivers=DASy</x:v>
      </x:c>
      <x:c r="D7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7" s="144" t="str">
        <x:v>M2</x:v>
      </x:c>
      <x:c r="F787" s="144" t="str">
        <x:v>Signal 级可编辑配置、数据类型/缩放/端序合同、RTE 接口、边界值与 round-trip 测试。</x:v>
      </x:c>
      <x:c r="G787" s="144" t="str">
        <x:v>raw=0、raw=max、物理 min/max、越界/保留值、端序字节向量、pack→unpack round-trip；1457/1457 通过。</x:v>
      </x:c>
      <x:c r="H787" s="144" t="str">
        <x:v>coem/BYD_UKE/gen_bsw/Com/Com_PBcfg.c:34240; BYD_5R1V_RadarRearcorner_V2.5_AllNodes.dbc:1412</x:v>
      </x:c>
    </x:row>
    <x:row r="788" ht="72" customHeight="1">
      <x:c r="A788" s="144" t="str">
        <x:v>Com-Signal</x:v>
      </x:c>
      <x:c r="B788" s="144" t="str">
        <x:v>COM-SIG-Tx-0646 / RRR_Obj08A_Length</x:v>
      </x:c>
      <x:c r="C788" s="144" t="str">
        <x:v>PDU=RRR_Obj08A; startBit=121; length=7; byteOrder=Little; type=UINT8; factor=0.125; offset=0; min=0; max=15.875; unit=m; receivers=DASy</x:v>
      </x:c>
      <x:c r="D7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8" s="144" t="str">
        <x:v>M2</x:v>
      </x:c>
      <x:c r="F788" s="144" t="str">
        <x:v>Signal 级可编辑配置、数据类型/缩放/端序合同、RTE 接口、边界值与 round-trip 测试。</x:v>
      </x:c>
      <x:c r="G788" s="144" t="str">
        <x:v>raw=0、raw=max、物理 min/max、越界/保留值、端序字节向量、pack→unpack round-trip；1457/1457 通过。</x:v>
      </x:c>
      <x:c r="H788" s="144" t="str">
        <x:v>coem/BYD_UKE/gen_bsw/Com/Com_PBcfg.c:34293; BYD_5R1V_RadarRearcorner_V2.5_AllNodes.dbc:1386</x:v>
      </x:c>
    </x:row>
    <x:row r="789" ht="72" customHeight="1">
      <x:c r="A789" s="144" t="str">
        <x:v>Com-Signal</x:v>
      </x:c>
      <x:c r="B789" s="144" t="str">
        <x:v>COM-SIG-Tx-0647 / RRR_Obj08A_Measured</x:v>
      </x:c>
      <x:c r="C789" s="144" t="str">
        <x:v>PDU=RRR_Obj08A; startBit=39; length=1; byteOrder=Little; type=UINT8; factor=1; offset=0; min=0; max=1; unit=-; receivers=DASy</x:v>
      </x:c>
      <x:c r="D7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89" s="144" t="str">
        <x:v>M2</x:v>
      </x:c>
      <x:c r="F789" s="144" t="str">
        <x:v>Signal 级可编辑配置、数据类型/缩放/端序合同、RTE 接口、边界值与 round-trip 测试。</x:v>
      </x:c>
      <x:c r="G789" s="144" t="str">
        <x:v>raw=0、raw=max、物理 min/max、越界/保留值、端序字节向量、pack→unpack round-trip；1457/1457 通过。</x:v>
      </x:c>
      <x:c r="H789" s="144" t="str">
        <x:v>coem/BYD_UKE/gen_bsw/Com/Com_PBcfg.c:34346; BYD_5R1V_RadarRearcorner_V2.5_AllNodes.dbc:1377</x:v>
      </x:c>
    </x:row>
    <x:row r="790" ht="72" customHeight="1">
      <x:c r="A790" s="144" t="str">
        <x:v>Com-Signal</x:v>
      </x:c>
      <x:c r="B790" s="144" t="str">
        <x:v>COM-SIG-Tx-0648 / RRR_Obj08A_ObjDetected</x:v>
      </x:c>
      <x:c r="C790" s="144" t="str">
        <x:v>PDU=RRR_Obj08A; startBit=264; length=12; byteOrder=Little; type=UINT16; factor=1（Com原始值）; offset=0（Com原始值）; min=按位宽/类型; max=按位宽/类型; unit=-; receivers=-</x:v>
      </x:c>
      <x:c r="D79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90" s="144" t="str">
        <x:v>M2</x:v>
      </x:c>
      <x:c r="F790" s="144" t="str">
        <x:v>Signal 级可编辑配置、数据类型/缩放/端序合同、RTE 接口、边界值与 round-trip 测试。</x:v>
      </x:c>
      <x:c r="G790" s="144" t="str">
        <x:v>raw=0、raw=max、物理 min/max、越界/保留值、端序字节向量、pack→unpack round-trip；1457/1457 通过。</x:v>
      </x:c>
      <x:c r="H790" s="144" t="str">
        <x:v>coem/BYD_UKE/gen_bsw/Com/Com_PBcfg.c:34399</x:v>
      </x:c>
    </x:row>
    <x:row r="791" ht="72" customHeight="1">
      <x:c r="A791" s="144" t="str">
        <x:v>Com-Signal</x:v>
      </x:c>
      <x:c r="B791" s="144" t="str">
        <x:v>COM-SIG-Tx-0649 / RRR_Obj08A_ProbExist</x:v>
      </x:c>
      <x:c r="C791" s="144" t="str">
        <x:v>PDU=RRR_Obj08A; startBit=456; length=6; byteOrder=Little; type=UINT8; factor=2; offset=0; min=0; max=100; unit=%; receivers=DASy</x:v>
      </x:c>
      <x:c r="D7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1" s="144" t="str">
        <x:v>M2</x:v>
      </x:c>
      <x:c r="F791" s="144" t="str">
        <x:v>Signal 级可编辑配置、数据类型/缩放/端序合同、RTE 接口、边界值与 round-trip 测试。</x:v>
      </x:c>
      <x:c r="G791" s="144" t="str">
        <x:v>raw=0、raw=max、物理 min/max、越界/保留值、端序字节向量、pack→unpack round-trip；1457/1457 通过。</x:v>
      </x:c>
      <x:c r="H791" s="144" t="str">
        <x:v>coem/BYD_UKE/gen_bsw/Com/Com_PBcfg.c:34452; BYD_5R1V_RadarRearcorner_V2.5_AllNodes.dbc:1414</x:v>
      </x:c>
    </x:row>
    <x:row r="792" ht="72" customHeight="1">
      <x:c r="A792" s="144" t="str">
        <x:v>Com-Signal</x:v>
      </x:c>
      <x:c r="B792" s="144" t="str">
        <x:v>COM-SIG-Tx-0650 / RRR_Obj08A_ProbMobileObst</x:v>
      </x:c>
      <x:c r="C792" s="144" t="str">
        <x:v>PDU=RRR_Obj08A; startBit=474; length=6; byteOrder=Little; type=UINT8; factor=2; offset=0; min=0; max=100; unit=%; receivers=DASy</x:v>
      </x:c>
      <x:c r="D7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2" s="144" t="str">
        <x:v>M2</x:v>
      </x:c>
      <x:c r="F792" s="144" t="str">
        <x:v>Signal 级可编辑配置、数据类型/缩放/端序合同、RTE 接口、边界值与 round-trip 测试。</x:v>
      </x:c>
      <x:c r="G792" s="144" t="str">
        <x:v>raw=0、raw=max、物理 min/max、越界/保留值、端序字节向量、pack→unpack round-trip；1457/1457 通过。</x:v>
      </x:c>
      <x:c r="H792" s="144" t="str">
        <x:v>coem/BYD_UKE/gen_bsw/Com/Com_PBcfg.c:34505; BYD_5R1V_RadarRearcorner_V2.5_AllNodes.dbc:1417</x:v>
      </x:c>
    </x:row>
    <x:row r="793" ht="72" customHeight="1">
      <x:c r="A793" s="144" t="str">
        <x:v>Com-Signal</x:v>
      </x:c>
      <x:c r="B793" s="144" t="str">
        <x:v>COM-SIG-Tx-0651 / RRR_Obj08A_ProbNonObstacle</x:v>
      </x:c>
      <x:c r="C793" s="144" t="str">
        <x:v>PDU=RRR_Obj08A; startBit=468; length=6; byteOrder=Little; type=UINT8; factor=2; offset=0; min=0; max=100; unit=%; receivers=DASy</x:v>
      </x:c>
      <x:c r="D7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3" s="144" t="str">
        <x:v>M2</x:v>
      </x:c>
      <x:c r="F793" s="144" t="str">
        <x:v>Signal 级可编辑配置、数据类型/缩放/端序合同、RTE 接口、边界值与 round-trip 测试。</x:v>
      </x:c>
      <x:c r="G793" s="144" t="str">
        <x:v>raw=0、raw=max、物理 min/max、越界/保留值、端序字节向量、pack→unpack round-trip；1457/1457 通过。</x:v>
      </x:c>
      <x:c r="H793" s="144" t="str">
        <x:v>coem/BYD_UKE/gen_bsw/Com/Com_PBcfg.c:34558; BYD_5R1V_RadarRearcorner_V2.5_AllNodes.dbc:1416</x:v>
      </x:c>
    </x:row>
    <x:row r="794" ht="72" customHeight="1">
      <x:c r="A794" s="144" t="str">
        <x:v>Com-Signal</x:v>
      </x:c>
      <x:c r="B794" s="144" t="str">
        <x:v>COM-SIG-Tx-0652 / RRR_Obj08A_ProbObstacle</x:v>
      </x:c>
      <x:c r="C794" s="144" t="str">
        <x:v>PDU=RRR_Obj08A; startBit=462; length=6; byteOrder=Little; type=UINT8; factor=2; offset=0; min=0; max=100; unit=%; receivers=DASy</x:v>
      </x:c>
      <x:c r="D7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4" s="144" t="str">
        <x:v>M2</x:v>
      </x:c>
      <x:c r="F794" s="144" t="str">
        <x:v>Signal 级可编辑配置、数据类型/缩放/端序合同、RTE 接口、边界值与 round-trip 测试。</x:v>
      </x:c>
      <x:c r="G794" s="144" t="str">
        <x:v>raw=0、raw=max、物理 min/max、越界/保留值、端序字节向量、pack→unpack round-trip；1457/1457 通过。</x:v>
      </x:c>
      <x:c r="H794" s="144" t="str">
        <x:v>coem/BYD_UKE/gen_bsw/Com/Com_PBcfg.c:34611; BYD_5R1V_RadarRearcorner_V2.5_AllNodes.dbc:1415</x:v>
      </x:c>
    </x:row>
    <x:row r="795" ht="72" customHeight="1">
      <x:c r="A795" s="144" t="str">
        <x:v>Com-Signal</x:v>
      </x:c>
      <x:c r="B795" s="144" t="str">
        <x:v>COM-SIG-Tx-0653 / RRR_Obj08A_ProtBlockCtr</x:v>
      </x:c>
      <x:c r="C795" s="144" t="str">
        <x:v>PDU=RRR_Obj08A; startBit=24; length=4; byteOrder=Little; type=UINT8; factor=1; offset=0; min=0; max=15; unit=-; receivers=DASy</x:v>
      </x:c>
      <x:c r="D7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5" s="144" t="str">
        <x:v>M2</x:v>
      </x:c>
      <x:c r="F795" s="144" t="str">
        <x:v>Signal 级可编辑配置、数据类型/缩放/端序合同、RTE 接口、边界值与 round-trip 测试。</x:v>
      </x:c>
      <x:c r="G795" s="144" t="str">
        <x:v>raw=0、raw=max、物理 min/max、越界/保留值、端序字节向量、pack→unpack round-trip；1457/1457 通过。</x:v>
      </x:c>
      <x:c r="H795" s="144" t="str">
        <x:v>coem/BYD_UKE/gen_bsw/Com/Com_PBcfg.c:34664; BYD_5R1V_RadarRearcorner_V2.5_AllNodes.dbc:1373</x:v>
      </x:c>
    </x:row>
    <x:row r="796" ht="72" customHeight="1">
      <x:c r="A796" s="144" t="str">
        <x:v>Com-Signal</x:v>
      </x:c>
      <x:c r="B796" s="144" t="str">
        <x:v>COM-SIG-Tx-0654 / RRR_Obj08A_RCS</x:v>
      </x:c>
      <x:c r="C796" s="144" t="str">
        <x:v>PDU=RRR_Obj08A; startBit=252; length=12; byteOrder=Little; type=UINT16; factor=1（Com原始值）; offset=0（Com原始值）; min=按位宽/类型; max=按位宽/类型; unit=-; receivers=-</x:v>
      </x:c>
      <x:c r="D796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96" s="144" t="str">
        <x:v>M2</x:v>
      </x:c>
      <x:c r="F796" s="144" t="str">
        <x:v>Signal 级可编辑配置、数据类型/缩放/端序合同、RTE 接口、边界值与 round-trip 测试。</x:v>
      </x:c>
      <x:c r="G796" s="144" t="str">
        <x:v>raw=0、raw=max、物理 min/max、越界/保留值、端序字节向量、pack→unpack round-trip；1457/1457 通过。</x:v>
      </x:c>
      <x:c r="H796" s="144" t="str">
        <x:v>coem/BYD_UKE/gen_bsw/Com/Com_PBcfg.c:34717</x:v>
      </x:c>
    </x:row>
    <x:row r="797" ht="72" customHeight="1">
      <x:c r="A797" s="144" t="str">
        <x:v>Com-Signal</x:v>
      </x:c>
      <x:c r="B797" s="144" t="str">
        <x:v>COM-SIG-Tx-0655 / RRR_Obj08A_RefPosIndex</x:v>
      </x:c>
      <x:c r="C797" s="144" t="str">
        <x:v>PDU=RRR_Obj08A; startBit=224; length=4; byteOrder=Little; type=UINT8; factor=1; offset=0; min=0; max=15; unit=-; receivers=DASy</x:v>
      </x:c>
      <x:c r="D7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7" s="144" t="str">
        <x:v>M2</x:v>
      </x:c>
      <x:c r="F797" s="144" t="str">
        <x:v>Signal 级可编辑配置、数据类型/缩放/端序合同、RTE 接口、边界值与 round-trip 测试。</x:v>
      </x:c>
      <x:c r="G797" s="144" t="str">
        <x:v>raw=0、raw=max、物理 min/max、越界/保留值、端序字节向量、pack→unpack round-trip；1457/1457 通过。</x:v>
      </x:c>
      <x:c r="H797" s="144" t="str">
        <x:v>coem/BYD_UKE/gen_bsw/Com/Com_PBcfg.c:34770; BYD_5R1V_RadarRearcorner_V2.5_AllNodes.dbc:1375</x:v>
      </x:c>
    </x:row>
    <x:row r="798" ht="72" customHeight="1">
      <x:c r="A798" s="144" t="str">
        <x:v>Com-Signal</x:v>
      </x:c>
      <x:c r="B798" s="144" t="str">
        <x:v>COM-SIG-Tx-0656 / RRR_Obj08A_Valid</x:v>
      </x:c>
      <x:c r="C798" s="144" t="str">
        <x:v>PDU=RRR_Obj08A; startBit=70; length=1; byteOrder=Little; type=UINT8; factor=1; offset=0; min=0; max=1; unit=-; receivers=DASy</x:v>
      </x:c>
      <x:c r="D7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8" s="144" t="str">
        <x:v>M2</x:v>
      </x:c>
      <x:c r="F798" s="144" t="str">
        <x:v>Signal 级可编辑配置、数据类型/缩放/端序合同、RTE 接口、边界值与 round-trip 测试。</x:v>
      </x:c>
      <x:c r="G798" s="144" t="str">
        <x:v>raw=0、raw=max、物理 min/max、越界/保留值、端序字节向量、pack→unpack round-trip；1457/1457 通过。</x:v>
      </x:c>
      <x:c r="H798" s="144" t="str">
        <x:v>coem/BYD_UKE/gen_bsw/Com/Com_PBcfg.c:34823; BYD_5R1V_RadarRearcorner_V2.5_AllNodes.dbc:1376</x:v>
      </x:c>
    </x:row>
    <x:row r="799" ht="72" customHeight="1">
      <x:c r="A799" s="144" t="str">
        <x:v>Com-Signal</x:v>
      </x:c>
      <x:c r="B799" s="144" t="str">
        <x:v>COM-SIG-Tx-0657 / RRR_Obj08A_VxAxCoVnce</x:v>
      </x:c>
      <x:c r="C799" s="144" t="str">
        <x:v>PDU=RRR_Obj08A; startBit=324; length=12; byteOrder=Little; type=UINT16; factor=0.01; offset=0; min=0; max=30; unit=m^2/s^3; receivers=DASy</x:v>
      </x:c>
      <x:c r="D7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799" s="144" t="str">
        <x:v>M2</x:v>
      </x:c>
      <x:c r="F799" s="144" t="str">
        <x:v>Signal 级可编辑配置、数据类型/缩放/端序合同、RTE 接口、边界值与 round-trip 测试。</x:v>
      </x:c>
      <x:c r="G799" s="144" t="str">
        <x:v>raw=0、raw=max、物理 min/max、越界/保留值、端序字节向量、pack→unpack round-trip；1457/1457 通过。</x:v>
      </x:c>
      <x:c r="H799" s="144" t="str">
        <x:v>coem/BYD_UKE/gen_bsw/Com/Com_PBcfg.c:34876; BYD_5R1V_RadarRearcorner_V2.5_AllNodes.dbc:1404</x:v>
      </x:c>
    </x:row>
    <x:row r="800" ht="72" customHeight="1">
      <x:c r="A800" s="144" t="str">
        <x:v>Com-Signal</x:v>
      </x:c>
      <x:c r="B800" s="144" t="str">
        <x:v>COM-SIG-Tx-0658 / RRR_Obj08A_VxAyCoVnce</x:v>
      </x:c>
      <x:c r="C800" s="144" t="str">
        <x:v>PDU=RRR_Obj08A; startBit=372; length=12; byteOrder=Little; type=UINT16; factor=0.01; offset=0; min=0; max=30; unit=m^2/s^3; receivers=DASy</x:v>
      </x:c>
      <x:c r="D80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0" s="144" t="str">
        <x:v>M2</x:v>
      </x:c>
      <x:c r="F800" s="144" t="str">
        <x:v>Signal 级可编辑配置、数据类型/缩放/端序合同、RTE 接口、边界值与 round-trip 测试。</x:v>
      </x:c>
      <x:c r="G800" s="144" t="str">
        <x:v>raw=0、raw=max、物理 min/max、越界/保留值、端序字节向量、pack→unpack round-trip；1457/1457 通过。</x:v>
      </x:c>
      <x:c r="H800" s="144" t="str">
        <x:v>coem/BYD_UKE/gen_bsw/Com/Com_PBcfg.c:34929; BYD_5R1V_RadarRearcorner_V2.5_AllNodes.dbc:1408</x:v>
      </x:c>
    </x:row>
    <x:row r="801" ht="72" customHeight="1">
      <x:c r="A801" s="144" t="str">
        <x:v>Com-Signal</x:v>
      </x:c>
      <x:c r="B801" s="144" t="str">
        <x:v>COM-SIG-Tx-0659 / RRR_Obj08A_VxVnce</x:v>
      </x:c>
      <x:c r="C801" s="144" t="str">
        <x:v>PDU=RRR_Obj08A; startBit=176; length=12; byteOrder=Little; type=UINT16; factor=0.01; offset=0; min=0; max=30; unit=m^2/s^2; receivers=DASy</x:v>
      </x:c>
      <x:c r="D8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1" s="144" t="str">
        <x:v>M2</x:v>
      </x:c>
      <x:c r="F801" s="144" t="str">
        <x:v>Signal 级可编辑配置、数据类型/缩放/端序合同、RTE 接口、边界值与 round-trip 测试。</x:v>
      </x:c>
      <x:c r="G801" s="144" t="str">
        <x:v>raw=0、raw=max、物理 min/max、越界/保留值、端序字节向量、pack→unpack round-trip；1457/1457 通过。</x:v>
      </x:c>
      <x:c r="H801" s="144" t="str">
        <x:v>coem/BYD_UKE/gen_bsw/Com/Com_PBcfg.c:34982; BYD_5R1V_RadarRearcorner_V2.5_AllNodes.dbc:1392</x:v>
      </x:c>
    </x:row>
    <x:row r="802" ht="72" customHeight="1">
      <x:c r="A802" s="144" t="str">
        <x:v>Com-Signal</x:v>
      </x:c>
      <x:c r="B802" s="144" t="str">
        <x:v>COM-SIG-Tx-0660 / RRR_Obj08A_VxVyCoVnce</x:v>
      </x:c>
      <x:c r="C802" s="144" t="str">
        <x:v>PDU=RRR_Obj08A; startBit=288; length=12; byteOrder=Little; type=UINT16; factor=0.01; offset=0; min=0; max=30; unit=m^2/s^2; receivers=DASy</x:v>
      </x:c>
      <x:c r="D8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2" s="144" t="str">
        <x:v>M2</x:v>
      </x:c>
      <x:c r="F802" s="144" t="str">
        <x:v>Signal 级可编辑配置、数据类型/缩放/端序合同、RTE 接口、边界值与 round-trip 测试。</x:v>
      </x:c>
      <x:c r="G802" s="144" t="str">
        <x:v>raw=0、raw=max、物理 min/max、越界/保留值、端序字节向量、pack→unpack round-trip；1457/1457 通过。</x:v>
      </x:c>
      <x:c r="H802" s="144" t="str">
        <x:v>coem/BYD_UKE/gen_bsw/Com/Com_PBcfg.c:35035; BYD_5R1V_RadarRearcorner_V2.5_AllNodes.dbc:1401</x:v>
      </x:c>
    </x:row>
    <x:row r="803" ht="72" customHeight="1">
      <x:c r="A803" s="144" t="str">
        <x:v>Com-Signal</x:v>
      </x:c>
      <x:c r="B803" s="144" t="str">
        <x:v>COM-SIG-Tx-0661 / RRR_Obj08A_Vx</x:v>
      </x:c>
      <x:c r="C803" s="144" t="str">
        <x:v>PDU=RRR_Obj08A; startBit=71; length=12; byteOrder=Little; type=UINT16; factor=0.0625; offset=-128; min=-128; max=127.9375; unit=m/s; receivers=DASy</x:v>
      </x:c>
      <x:c r="D8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3" s="144" t="str">
        <x:v>M2</x:v>
      </x:c>
      <x:c r="F803" s="144" t="str">
        <x:v>Signal 级可编辑配置、数据类型/缩放/端序合同、RTE 接口、边界值与 round-trip 测试。</x:v>
      </x:c>
      <x:c r="G803" s="144" t="str">
        <x:v>raw=0、raw=max、物理 min/max、越界/保留值、端序字节向量、pack→unpack round-trip；1457/1457 通过。</x:v>
      </x:c>
      <x:c r="H803" s="144" t="str">
        <x:v>coem/BYD_UKE/gen_bsw/Com/Com_PBcfg.c:35088; BYD_5R1V_RadarRearcorner_V2.5_AllNodes.dbc:1381</x:v>
      </x:c>
    </x:row>
    <x:row r="804" ht="72" customHeight="1">
      <x:c r="A804" s="144" t="str">
        <x:v>Com-Signal</x:v>
      </x:c>
      <x:c r="B804" s="144" t="str">
        <x:v>COM-SIG-Tx-0662 / RRR_Obj08A_VyAxCoVnce</x:v>
      </x:c>
      <x:c r="C804" s="144" t="str">
        <x:v>PDU=RRR_Obj08A; startBit=336; length=12; byteOrder=Little; type=UINT16; factor=0.01; offset=0; min=0; max=30; unit=m^2/s^3; receivers=DASy</x:v>
      </x:c>
      <x:c r="D8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4" s="144" t="str">
        <x:v>M2</x:v>
      </x:c>
      <x:c r="F804" s="144" t="str">
        <x:v>Signal 级可编辑配置、数据类型/缩放/端序合同、RTE 接口、边界值与 round-trip 测试。</x:v>
      </x:c>
      <x:c r="G804" s="144" t="str">
        <x:v>raw=0、raw=max、物理 min/max、越界/保留值、端序字节向量、pack→unpack round-trip；1457/1457 通过。</x:v>
      </x:c>
      <x:c r="H804" s="144" t="str">
        <x:v>coem/BYD_UKE/gen_bsw/Com/Com_PBcfg.c:35141; BYD_5R1V_RadarRearcorner_V2.5_AllNodes.dbc:1405</x:v>
      </x:c>
    </x:row>
    <x:row r="805" ht="72" customHeight="1">
      <x:c r="A805" s="144" t="str">
        <x:v>Com-Signal</x:v>
      </x:c>
      <x:c r="B805" s="144" t="str">
        <x:v>COM-SIG-Tx-0663 / RRR_Obj08A_VyAyCoVnce</x:v>
      </x:c>
      <x:c r="C805" s="144" t="str">
        <x:v>PDU=RRR_Obj08A; startBit=384; length=12; byteOrder=Little; type=UINT16; factor=0.01; offset=0; min=0; max=30; unit=m^2/s^3; receivers=DASy</x:v>
      </x:c>
      <x:c r="D8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5" s="144" t="str">
        <x:v>M2</x:v>
      </x:c>
      <x:c r="F805" s="144" t="str">
        <x:v>Signal 级可编辑配置、数据类型/缩放/端序合同、RTE 接口、边界值与 round-trip 测试。</x:v>
      </x:c>
      <x:c r="G805" s="144" t="str">
        <x:v>raw=0、raw=max、物理 min/max、越界/保留值、端序字节向量、pack→unpack round-trip；1457/1457 通过。</x:v>
      </x:c>
      <x:c r="H805" s="144" t="str">
        <x:v>coem/BYD_UKE/gen_bsw/Com/Com_PBcfg.c:35194; BYD_5R1V_RadarRearcorner_V2.5_AllNodes.dbc:1409</x:v>
      </x:c>
    </x:row>
    <x:row r="806" ht="72" customHeight="1">
      <x:c r="A806" s="144" t="str">
        <x:v>Com-Signal</x:v>
      </x:c>
      <x:c r="B806" s="144" t="str">
        <x:v>COM-SIG-Tx-0664 / RRR_Obj08A_VyVnce</x:v>
      </x:c>
      <x:c r="C806" s="144" t="str">
        <x:v>PDU=RRR_Obj08A; startBit=188; length=12; byteOrder=Little; type=UINT16; factor=0.01; offset=0; min=0; max=30; unit=m^2/s^2; receivers=DASy</x:v>
      </x:c>
      <x:c r="D8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6" s="144" t="str">
        <x:v>M2</x:v>
      </x:c>
      <x:c r="F806" s="144" t="str">
        <x:v>Signal 级可编辑配置、数据类型/缩放/端序合同、RTE 接口、边界值与 round-trip 测试。</x:v>
      </x:c>
      <x:c r="G806" s="144" t="str">
        <x:v>raw=0、raw=max、物理 min/max、越界/保留值、端序字节向量、pack→unpack round-trip；1457/1457 通过。</x:v>
      </x:c>
      <x:c r="H806" s="144" t="str">
        <x:v>coem/BYD_UKE/gen_bsw/Com/Com_PBcfg.c:35247; BYD_5R1V_RadarRearcorner_V2.5_AllNodes.dbc:1393</x:v>
      </x:c>
    </x:row>
    <x:row r="807" ht="72" customHeight="1">
      <x:c r="A807" s="144" t="str">
        <x:v>Com-Signal</x:v>
      </x:c>
      <x:c r="B807" s="144" t="str">
        <x:v>COM-SIG-Tx-0665 / RRR_Obj08A_Vy</x:v>
      </x:c>
      <x:c r="C807" s="144" t="str">
        <x:v>PDU=RRR_Obj08A; startBit=83; length=10; byteOrder=Little; type=UINT16; factor=0.125; offset=-64; min=-64; max=63.875; unit=m/s; receivers=DASy</x:v>
      </x:c>
      <x:c r="D8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7" s="144" t="str">
        <x:v>M2</x:v>
      </x:c>
      <x:c r="F807" s="144" t="str">
        <x:v>Signal 级可编辑配置、数据类型/缩放/端序合同、RTE 接口、边界值与 round-trip 测试。</x:v>
      </x:c>
      <x:c r="G807" s="144" t="str">
        <x:v>raw=0、raw=max、物理 min/max、越界/保留值、端序字节向量、pack→unpack round-trip；1457/1457 通过。</x:v>
      </x:c>
      <x:c r="H807" s="144" t="str">
        <x:v>coem/BYD_UKE/gen_bsw/Com/Com_PBcfg.c:35300; BYD_5R1V_RadarRearcorner_V2.5_AllNodes.dbc:1382</x:v>
      </x:c>
    </x:row>
    <x:row r="808" ht="72" customHeight="1">
      <x:c r="A808" s="144" t="str">
        <x:v>Com-Signal</x:v>
      </x:c>
      <x:c r="B808" s="144" t="str">
        <x:v>COM-SIG-Tx-0666 / RRR_Obj08A_WidthVnce</x:v>
      </x:c>
      <x:c r="C808" s="144" t="str">
        <x:v>PDU=RRR_Obj08A; startBit=432; length=12; byteOrder=Little; type=UINT16; factor=0.01; offset=0; min=0; max=30; unit=m^2; receivers=DASy</x:v>
      </x:c>
      <x:c r="D8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8" s="144" t="str">
        <x:v>M2</x:v>
      </x:c>
      <x:c r="F808" s="144" t="str">
        <x:v>Signal 级可编辑配置、数据类型/缩放/端序合同、RTE 接口、边界值与 round-trip 测试。</x:v>
      </x:c>
      <x:c r="G808" s="144" t="str">
        <x:v>raw=0、raw=max、物理 min/max、越界/保留值、端序字节向量、pack→unpack round-trip；1457/1457 通过。</x:v>
      </x:c>
      <x:c r="H808" s="144" t="str">
        <x:v>coem/BYD_UKE/gen_bsw/Com/Com_PBcfg.c:35353; BYD_5R1V_RadarRearcorner_V2.5_AllNodes.dbc:1413</x:v>
      </x:c>
    </x:row>
    <x:row r="809" ht="72" customHeight="1">
      <x:c r="A809" s="144" t="str">
        <x:v>Com-Signal</x:v>
      </x:c>
      <x:c r="B809" s="144" t="str">
        <x:v>COM-SIG-Tx-0667 / RRR_Obj08A_Width</x:v>
      </x:c>
      <x:c r="C809" s="144" t="str">
        <x:v>PDU=RRR_Obj08A; startBit=128; length=7; byteOrder=Little; type=UINT8; factor=0.125; offset=0; min=0; max=15.875; unit=m; receivers=DASy</x:v>
      </x:c>
      <x:c r="D80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09" s="144" t="str">
        <x:v>M2</x:v>
      </x:c>
      <x:c r="F809" s="144" t="str">
        <x:v>Signal 级可编辑配置、数据类型/缩放/端序合同、RTE 接口、边界值与 round-trip 测试。</x:v>
      </x:c>
      <x:c r="G809" s="144" t="str">
        <x:v>raw=0、raw=max、物理 min/max、越界/保留值、端序字节向量、pack→unpack round-trip；1457/1457 通过。</x:v>
      </x:c>
      <x:c r="H809" s="144" t="str">
        <x:v>coem/BYD_UKE/gen_bsw/Com/Com_PBcfg.c:35406; BYD_5R1V_RadarRearcorner_V2.5_AllNodes.dbc:1387</x:v>
      </x:c>
    </x:row>
    <x:row r="810" ht="72" customHeight="1">
      <x:c r="A810" s="144" t="str">
        <x:v>Com-Signal</x:v>
      </x:c>
      <x:c r="B810" s="144" t="str">
        <x:v>COM-SIG-Tx-0668 / RRR_Obj08A_Type</x:v>
      </x:c>
      <x:c r="C810" s="144" t="str">
        <x:v>PDU=RRR_Obj08B; startBit=82; length=6; byteOrder=Little; type=UINT8; factor=1（Com原始值）; offset=0（Com原始值）; min=按位宽/类型; max=按位宽/类型; unit=-; receivers=-</x:v>
      </x:c>
      <x:c r="D81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10" s="144" t="str">
        <x:v>M2</x:v>
      </x:c>
      <x:c r="F810" s="144" t="str">
        <x:v>Signal 级可编辑配置、数据类型/缩放/端序合同、RTE 接口、边界值与 round-trip 测试。</x:v>
      </x:c>
      <x:c r="G810" s="144" t="str">
        <x:v>raw=0、raw=max、物理 min/max、越界/保留值、端序字节向量、pack→unpack round-trip；1457/1457 通过。</x:v>
      </x:c>
      <x:c r="H810" s="144" t="str">
        <x:v>coem/BYD_UKE/gen_bsw/Com/Com_PBcfg.c:35459</x:v>
      </x:c>
    </x:row>
    <x:row r="811" ht="72" customHeight="1">
      <x:c r="A811" s="144" t="str">
        <x:v>Com-Signal</x:v>
      </x:c>
      <x:c r="B811" s="144" t="str">
        <x:v>COM-SIG-Tx-0669 / RRR_Obj08B_AliveCtr</x:v>
      </x:c>
      <x:c r="C811" s="144" t="str">
        <x:v>PDU=RRR_Obj08B; startBit=16; length=8; byteOrder=Little; type=UINT8; factor=1; offset=0; min=0; max=255; unit=-; receivers=DASy</x:v>
      </x:c>
      <x:c r="D81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1" s="144" t="str">
        <x:v>M2</x:v>
      </x:c>
      <x:c r="F811" s="144" t="str">
        <x:v>Signal 级可编辑配置、数据类型/缩放/端序合同、RTE 接口、边界值与 round-trip 测试。</x:v>
      </x:c>
      <x:c r="G811" s="144" t="str">
        <x:v>raw=0、raw=max、物理 min/max、越界/保留值、端序字节向量、pack→unpack round-trip；1457/1457 通过。</x:v>
      </x:c>
      <x:c r="H811" s="144" t="str">
        <x:v>coem/BYD_UKE/gen_bsw/Com/Com_PBcfg.c:35512; BYD_5R1V_RadarRearcorner_V2.5_AllNodes.dbc:1425</x:v>
      </x:c>
    </x:row>
    <x:row r="812" ht="72" customHeight="1">
      <x:c r="A812" s="144" t="str">
        <x:v>Com-Signal</x:v>
      </x:c>
      <x:c r="B812" s="144" t="str">
        <x:v>COM-SIG-Tx-0670 / RRR_Obj08B_BehaviorType</x:v>
      </x:c>
      <x:c r="C812" s="144" t="str">
        <x:v>PDU=RRR_Obj08B; startBit=88; length=3; byteOrder=Little; type=UINT8; factor=1; offset=0; min=0; max=7; unit=-; receivers=DASy</x:v>
      </x:c>
      <x:c r="D81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2" s="144" t="str">
        <x:v>M2</x:v>
      </x:c>
      <x:c r="F812" s="144" t="str">
        <x:v>Signal 级可编辑配置、数据类型/缩放/端序合同、RTE 接口、边界值与 round-trip 测试。</x:v>
      </x:c>
      <x:c r="G812" s="144" t="str">
        <x:v>raw=0、raw=max、物理 min/max、越界/保留值、端序字节向量、pack→unpack round-trip；1457/1457 通过。</x:v>
      </x:c>
      <x:c r="H812" s="144" t="str">
        <x:v>coem/BYD_UKE/gen_bsw/Com/Com_PBcfg.c:35565; BYD_5R1V_RadarRearcorner_V2.5_AllNodes.dbc:1433</x:v>
      </x:c>
    </x:row>
    <x:row r="813" ht="72" customHeight="1">
      <x:c r="A813" s="144" t="str">
        <x:v>Com-Signal</x:v>
      </x:c>
      <x:c r="B813" s="144" t="str">
        <x:v>COM-SIG-Tx-0671 / RRR_Obj08B_CRC</x:v>
      </x:c>
      <x:c r="C813" s="144" t="str">
        <x:v>PDU=RRR_Obj08B; startBit=0; length=16; byteOrder=Little; type=UINT16; factor=1; offset=0; min=0; max=65535; unit=-; receivers=DASy</x:v>
      </x:c>
      <x:c r="D81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3" s="144" t="str">
        <x:v>M2</x:v>
      </x:c>
      <x:c r="F813" s="144" t="str">
        <x:v>Signal 级可编辑配置、数据类型/缩放/端序合同、RTE 接口、边界值与 round-trip 测试。</x:v>
      </x:c>
      <x:c r="G813" s="144" t="str">
        <x:v>raw=0、raw=max、物理 min/max、越界/保留值、端序字节向量、pack→unpack round-trip；1457/1457 通过。</x:v>
      </x:c>
      <x:c r="H813" s="144" t="str">
        <x:v>coem/BYD_UKE/gen_bsw/Com/Com_PBcfg.c:35618; BYD_5R1V_RadarRearcorner_V2.5_AllNodes.dbc:1424</x:v>
      </x:c>
    </x:row>
    <x:row r="814" ht="72" customHeight="1">
      <x:c r="A814" s="144" t="str">
        <x:v>Com-Signal</x:v>
      </x:c>
      <x:c r="B814" s="144" t="str">
        <x:v>COM-SIG-Tx-0672 / RRR_Obj08B_MovingProbability</x:v>
      </x:c>
      <x:c r="C814" s="144" t="str">
        <x:v>PDU=RRR_Obj08B; startBit=76; length=6; byteOrder=Little; type=UINT8; factor=2; offset=0; min=0; max=100; unit=%; receivers=DASy</x:v>
      </x:c>
      <x:c r="D81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4" s="144" t="str">
        <x:v>M2</x:v>
      </x:c>
      <x:c r="F814" s="144" t="str">
        <x:v>Signal 级可编辑配置、数据类型/缩放/端序合同、RTE 接口、边界值与 round-trip 测试。</x:v>
      </x:c>
      <x:c r="G814" s="144" t="str">
        <x:v>raw=0、raw=max、物理 min/max、越界/保留值、端序字节向量、pack→unpack round-trip；1457/1457 通过。</x:v>
      </x:c>
      <x:c r="H814" s="144" t="str">
        <x:v>coem/BYD_UKE/gen_bsw/Com/Com_PBcfg.c:35671; BYD_5R1V_RadarRearcorner_V2.5_AllNodes.dbc:1421</x:v>
      </x:c>
    </x:row>
    <x:row r="815" ht="72" customHeight="1">
      <x:c r="A815" s="144" t="str">
        <x:v>Com-Signal</x:v>
      </x:c>
      <x:c r="B815" s="144" t="str">
        <x:v>COM-SIG-Tx-0673 / RRR_Obj08B_Prob4PlusWhlCAR</x:v>
      </x:c>
      <x:c r="C815" s="144" t="str">
        <x:v>PDU=RRR_Obj08B; startBit=46; length=6; byteOrder=Little; type=UINT8; factor=2; offset=0; min=0; max=100; unit=%; receivers=DASy</x:v>
      </x:c>
      <x:c r="D81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5" s="144" t="str">
        <x:v>M2</x:v>
      </x:c>
      <x:c r="F815" s="144" t="str">
        <x:v>Signal 级可编辑配置、数据类型/缩放/端序合同、RTE 接口、边界值与 round-trip 测试。</x:v>
      </x:c>
      <x:c r="G815" s="144" t="str">
        <x:v>raw=0、raw=max、物理 min/max、越界/保留值、端序字节向量、pack→unpack round-trip；1457/1457 通过。</x:v>
      </x:c>
      <x:c r="H815" s="144" t="str">
        <x:v>coem/BYD_UKE/gen_bsw/Com/Com_PBcfg.c:35724; BYD_5R1V_RadarRearcorner_V2.5_AllNodes.dbc:1430</x:v>
      </x:c>
    </x:row>
    <x:row r="816" ht="72" customHeight="1">
      <x:c r="A816" s="144" t="str">
        <x:v>Com-Signal</x:v>
      </x:c>
      <x:c r="B816" s="144" t="str">
        <x:v>COM-SIG-Tx-0674 / RRR_Obj08B_Prob4PlusWhlbHGV</x:v>
      </x:c>
      <x:c r="C816" s="144" t="str">
        <x:v>PDU=RRR_Obj08B; startBit=52; length=6; byteOrder=Little; type=UINT8; factor=2; offset=0; min=0; max=100; unit=%; receivers=DASy</x:v>
      </x:c>
      <x:c r="D81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6" s="144" t="str">
        <x:v>M2</x:v>
      </x:c>
      <x:c r="F816" s="144" t="str">
        <x:v>Signal 级可编辑配置、数据类型/缩放/端序合同、RTE 接口、边界值与 round-trip 测试。</x:v>
      </x:c>
      <x:c r="G816" s="144" t="str">
        <x:v>raw=0、raw=max、物理 min/max、越界/保留值、端序字节向量、pack→unpack round-trip；1457/1457 通过。</x:v>
      </x:c>
      <x:c r="H816" s="144" t="str">
        <x:v>coem/BYD_UKE/gen_bsw/Com/Com_PBcfg.c:35777; BYD_5R1V_RadarRearcorner_V2.5_AllNodes.dbc:1431</x:v>
      </x:c>
    </x:row>
    <x:row r="817" ht="72" customHeight="1">
      <x:c r="A817" s="144" t="str">
        <x:v>Com-Signal</x:v>
      </x:c>
      <x:c r="B817" s="144" t="str">
        <x:v>COM-SIG-Tx-0675 / RRR_Obj08B_ProbGNDReflex</x:v>
      </x:c>
      <x:c r="C817" s="144" t="str">
        <x:v>PDU=RRR_Obj08B; startBit=58; length=6; byteOrder=Little; type=UINT8; factor=2; offset=0; min=0; max=100; unit=%; receivers=DASy</x:v>
      </x:c>
      <x:c r="D81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7" s="144" t="str">
        <x:v>M2</x:v>
      </x:c>
      <x:c r="F817" s="144" t="str">
        <x:v>Signal 级可编辑配置、数据类型/缩放/端序合同、RTE 接口、边界值与 round-trip 测试。</x:v>
      </x:c>
      <x:c r="G817" s="144" t="str">
        <x:v>raw=0、raw=max、物理 min/max、越界/保留值、端序字节向量、pack→unpack round-trip；1457/1457 通过。</x:v>
      </x:c>
      <x:c r="H817" s="144" t="str">
        <x:v>coem/BYD_UKE/gen_bsw/Com/Com_PBcfg.c:35830; BYD_5R1V_RadarRearcorner_V2.5_AllNodes.dbc:1432</x:v>
      </x:c>
    </x:row>
    <x:row r="818" ht="72" customHeight="1">
      <x:c r="A818" s="144" t="str">
        <x:v>Com-Signal</x:v>
      </x:c>
      <x:c r="B818" s="144" t="str">
        <x:v>COM-SIG-Tx-0676 / RRR_Obj08B_ProbMob2Whl</x:v>
      </x:c>
      <x:c r="C818" s="144" t="str">
        <x:v>PDU=RRR_Obj08B; startBit=34; length=6; byteOrder=Little; type=UINT8; factor=2; offset=0; min=0; max=100; unit=%; receivers=DASy</x:v>
      </x:c>
      <x:c r="D81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8" s="144" t="str">
        <x:v>M2</x:v>
      </x:c>
      <x:c r="F818" s="144" t="str">
        <x:v>Signal 级可编辑配置、数据类型/缩放/端序合同、RTE 接口、边界值与 round-trip 测试。</x:v>
      </x:c>
      <x:c r="G818" s="144" t="str">
        <x:v>raw=0、raw=max、物理 min/max、越界/保留值、端序字节向量、pack→unpack round-trip；1457/1457 通过。</x:v>
      </x:c>
      <x:c r="H818" s="144" t="str">
        <x:v>coem/BYD_UKE/gen_bsw/Com/Com_PBcfg.c:35883; BYD_5R1V_RadarRearcorner_V2.5_AllNodes.dbc:1428</x:v>
      </x:c>
    </x:row>
    <x:row r="819" ht="72" customHeight="1">
      <x:c r="A819" s="144" t="str">
        <x:v>Com-Signal</x:v>
      </x:c>
      <x:c r="B819" s="144" t="str">
        <x:v>COM-SIG-Tx-0677 / RRR_Obj08B_ProbMob4PlusWhl</x:v>
      </x:c>
      <x:c r="C819" s="144" t="str">
        <x:v>PDU=RRR_Obj08B; startBit=28; length=6; byteOrder=Little; type=UINT8; factor=2; offset=0; min=0; max=100; unit=%; receivers=DASy</x:v>
      </x:c>
      <x:c r="D81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19" s="144" t="str">
        <x:v>M2</x:v>
      </x:c>
      <x:c r="F819" s="144" t="str">
        <x:v>Signal 级可编辑配置、数据类型/缩放/端序合同、RTE 接口、边界值与 round-trip 测试。</x:v>
      </x:c>
      <x:c r="G819" s="144" t="str">
        <x:v>raw=0、raw=max、物理 min/max、越界/保留值、端序字节向量、pack→unpack round-trip；1457/1457 通过。</x:v>
      </x:c>
      <x:c r="H819" s="144" t="str">
        <x:v>coem/BYD_UKE/gen_bsw/Com/Com_PBcfg.c:35936; BYD_5R1V_RadarRearcorner_V2.5_AllNodes.dbc:1427</x:v>
      </x:c>
    </x:row>
    <x:row r="820" ht="72" customHeight="1">
      <x:c r="A820" s="144" t="str">
        <x:v>Com-Signal</x:v>
      </x:c>
      <x:c r="B820" s="144" t="str">
        <x:v>COM-SIG-Tx-0678 / RRR_Obj08B_ProbMobPed</x:v>
      </x:c>
      <x:c r="C820" s="144" t="str">
        <x:v>PDU=RRR_Obj08B; startBit=40; length=6; byteOrder=Little; type=UINT8; factor=2; offset=0; min=0; max=100; unit=%; receivers=DASy</x:v>
      </x:c>
      <x:c r="D82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0" s="144" t="str">
        <x:v>M2</x:v>
      </x:c>
      <x:c r="F820" s="144" t="str">
        <x:v>Signal 级可编辑配置、数据类型/缩放/端序合同、RTE 接口、边界值与 round-trip 测试。</x:v>
      </x:c>
      <x:c r="G820" s="144" t="str">
        <x:v>raw=0、raw=max、物理 min/max、越界/保留值、端序字节向量、pack→unpack round-trip；1457/1457 通过。</x:v>
      </x:c>
      <x:c r="H820" s="144" t="str">
        <x:v>coem/BYD_UKE/gen_bsw/Com/Com_PBcfg.c:35989; BYD_5R1V_RadarRearcorner_V2.5_AllNodes.dbc:1429</x:v>
      </x:c>
    </x:row>
    <x:row r="821" ht="72" customHeight="1">
      <x:c r="A821" s="144" t="str">
        <x:v>Com-Signal</x:v>
      </x:c>
      <x:c r="B821" s="144" t="str">
        <x:v>COM-SIG-Tx-0679 / RRR_Obj08B_ProbStatBarrier</x:v>
      </x:c>
      <x:c r="C821" s="144" t="str">
        <x:v>PDU=RRR_Obj08B; startBit=64; length=6; byteOrder=Little; type=UINT8; factor=2; offset=0; min=0; max=100; unit=%; receivers=DASy</x:v>
      </x:c>
      <x:c r="D82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1" s="144" t="str">
        <x:v>M2</x:v>
      </x:c>
      <x:c r="F821" s="144" t="str">
        <x:v>Signal 级可编辑配置、数据类型/缩放/端序合同、RTE 接口、边界值与 round-trip 测试。</x:v>
      </x:c>
      <x:c r="G821" s="144" t="str">
        <x:v>raw=0、raw=max、物理 min/max、越界/保留值、端序字节向量、pack→unpack round-trip；1457/1457 通过。</x:v>
      </x:c>
      <x:c r="H821" s="144" t="str">
        <x:v>coem/BYD_UKE/gen_bsw/Com/Com_PBcfg.c:36042; BYD_5R1V_RadarRearcorner_V2.5_AllNodes.dbc:1423</x:v>
      </x:c>
    </x:row>
    <x:row r="822" ht="72" customHeight="1">
      <x:c r="A822" s="144" t="str">
        <x:v>Com-Signal</x:v>
      </x:c>
      <x:c r="B822" s="144" t="str">
        <x:v>COM-SIG-Tx-0680 / RRR_Obj08B_ProbStatObst</x:v>
      </x:c>
      <x:c r="C822" s="144" t="str">
        <x:v>PDU=RRR_Obj08B; startBit=70; length=6; byteOrder=Little; type=UINT8; factor=2; offset=0; min=0; max=100; unit=%; receivers=DASy</x:v>
      </x:c>
      <x:c r="D82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2" s="144" t="str">
        <x:v>M2</x:v>
      </x:c>
      <x:c r="F822" s="144" t="str">
        <x:v>Signal 级可编辑配置、数据类型/缩放/端序合同、RTE 接口、边界值与 round-trip 测试。</x:v>
      </x:c>
      <x:c r="G822" s="144" t="str">
        <x:v>raw=0、raw=max、物理 min/max、越界/保留值、端序字节向量、pack→unpack round-trip；1457/1457 通过。</x:v>
      </x:c>
      <x:c r="H822" s="144" t="str">
        <x:v>coem/BYD_UKE/gen_bsw/Com/Com_PBcfg.c:36095; BYD_5R1V_RadarRearcorner_V2.5_AllNodes.dbc:1422</x:v>
      </x:c>
    </x:row>
    <x:row r="823" ht="72" customHeight="1">
      <x:c r="A823" s="144" t="str">
        <x:v>Com-Signal</x:v>
      </x:c>
      <x:c r="B823" s="144" t="str">
        <x:v>COM-SIG-Tx-0681 / RRR_Obj08B_ProtBlockCtr</x:v>
      </x:c>
      <x:c r="C823" s="144" t="str">
        <x:v>PDU=RRR_Obj08B; startBit=24; length=4; byteOrder=Little; type=UINT8; factor=1; offset=0; min=0; max=15; unit=-; receivers=DASy</x:v>
      </x:c>
      <x:c r="D82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3" s="144" t="str">
        <x:v>M2</x:v>
      </x:c>
      <x:c r="F823" s="144" t="str">
        <x:v>Signal 级可编辑配置、数据类型/缩放/端序合同、RTE 接口、边界值与 round-trip 测试。</x:v>
      </x:c>
      <x:c r="G823" s="144" t="str">
        <x:v>raw=0、raw=max、物理 min/max、越界/保留值、端序字节向量、pack→unpack round-trip；1457/1457 通过。</x:v>
      </x:c>
      <x:c r="H823" s="144" t="str">
        <x:v>coem/BYD_UKE/gen_bsw/Com/Com_PBcfg.c:36148; BYD_5R1V_RadarRearcorner_V2.5_AllNodes.dbc:1426</x:v>
      </x:c>
    </x:row>
    <x:row r="824" ht="72" customHeight="1">
      <x:c r="A824" s="144" t="str">
        <x:v>Com-Signal</x:v>
      </x:c>
      <x:c r="B824" s="144" t="str">
        <x:v>COM-SIG-Tx-0682 / RRR_Obj09A_Age</x:v>
      </x:c>
      <x:c r="C824" s="144" t="str">
        <x:v>PDU=RRR_Obj09A; startBit=228; length=12; byteOrder=Little; type=UINT16; factor=1（Com原始值）; offset=0（Com原始值）; min=按位宽/类型; max=按位宽/类型; unit=-; receivers=-</x:v>
      </x:c>
      <x:c r="D824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24" s="144" t="str">
        <x:v>M2</x:v>
      </x:c>
      <x:c r="F824" s="144" t="str">
        <x:v>Signal 级可编辑配置、数据类型/缩放/端序合同、RTE 接口、边界值与 round-trip 测试。</x:v>
      </x:c>
      <x:c r="G824" s="144" t="str">
        <x:v>raw=0、raw=max、物理 min/max、越界/保留值、端序字节向量、pack→unpack round-trip；1457/1457 通过。</x:v>
      </x:c>
      <x:c r="H824" s="144" t="str">
        <x:v>coem/BYD_UKE/gen_bsw/Com/Com_PBcfg.c:36201</x:v>
      </x:c>
    </x:row>
    <x:row r="825" ht="72" customHeight="1">
      <x:c r="A825" s="144" t="str">
        <x:v>Com-Signal</x:v>
      </x:c>
      <x:c r="B825" s="144" t="str">
        <x:v>COM-SIG-Tx-0683 / RRR_Obj09A_AliveCtr</x:v>
      </x:c>
      <x:c r="C825" s="144" t="str">
        <x:v>PDU=RRR_Obj09A; startBit=16; length=8; byteOrder=Little; type=UINT8; factor=1; offset=0; min=0; max=255; unit=-; receivers=DASy</x:v>
      </x:c>
      <x:c r="D82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5" s="144" t="str">
        <x:v>M2</x:v>
      </x:c>
      <x:c r="F825" s="144" t="str">
        <x:v>Signal 级可编辑配置、数据类型/缩放/端序合同、RTE 接口、边界值与 round-trip 测试。</x:v>
      </x:c>
      <x:c r="G825" s="144" t="str">
        <x:v>raw=0、raw=max、物理 min/max、越界/保留值、端序字节向量、pack→unpack round-trip；1457/1457 通过。</x:v>
      </x:c>
      <x:c r="H825" s="144" t="str">
        <x:v>coem/BYD_UKE/gen_bsw/Com/Com_PBcfg.c:36254; BYD_5R1V_RadarRearcorner_V2.5_AllNodes.dbc:1438</x:v>
      </x:c>
    </x:row>
    <x:row r="826" ht="72" customHeight="1">
      <x:c r="A826" s="144" t="str">
        <x:v>Com-Signal</x:v>
      </x:c>
      <x:c r="B826" s="144" t="str">
        <x:v>COM-SIG-Tx-0684 / RRR_Obj09A_AxAyCoVnce</x:v>
      </x:c>
      <x:c r="C826" s="144" t="str">
        <x:v>PDU=RRR_Obj09A; startBit=396; length=12; byteOrder=Little; type=UINT16; factor=0.01; offset=0; min=0; max=30; unit=m^2/s^4; receivers=DASy</x:v>
      </x:c>
      <x:c r="D82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6" s="144" t="str">
        <x:v>M2</x:v>
      </x:c>
      <x:c r="F826" s="144" t="str">
        <x:v>Signal 级可编辑配置、数据类型/缩放/端序合同、RTE 接口、边界值与 round-trip 测试。</x:v>
      </x:c>
      <x:c r="G826" s="144" t="str">
        <x:v>raw=0、raw=max、物理 min/max、越界/保留值、端序字节向量、pack→unpack round-trip；1457/1457 通过。</x:v>
      </x:c>
      <x:c r="H826" s="144" t="str">
        <x:v>coem/BYD_UKE/gen_bsw/Com/Com_PBcfg.c:36307; BYD_5R1V_RadarRearcorner_V2.5_AllNodes.dbc:1476</x:v>
      </x:c>
    </x:row>
    <x:row r="827" ht="72" customHeight="1">
      <x:c r="A827" s="144" t="str">
        <x:v>Com-Signal</x:v>
      </x:c>
      <x:c r="B827" s="144" t="str">
        <x:v>COM-SIG-Tx-0685 / RRR_Obj09A_AxVnce</x:v>
      </x:c>
      <x:c r="C827" s="144" t="str">
        <x:v>PDU=RRR_Obj09A; startBit=200; length=12; byteOrder=Little; type=UINT16; factor=0.01; offset=0; min=0; max=30; unit=m^2/s^4; receivers=DASy</x:v>
      </x:c>
      <x:c r="D82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7" s="144" t="str">
        <x:v>M2</x:v>
      </x:c>
      <x:c r="F827" s="144" t="str">
        <x:v>Signal 级可编辑配置、数据类型/缩放/端序合同、RTE 接口、边界值与 round-trip 测试。</x:v>
      </x:c>
      <x:c r="G827" s="144" t="str">
        <x:v>raw=0、raw=max、物理 min/max、越界/保留值、端序字节向量、pack→unpack round-trip；1457/1457 通过。</x:v>
      </x:c>
      <x:c r="H827" s="144" t="str">
        <x:v>coem/BYD_UKE/gen_bsw/Com/Com_PBcfg.c:36360; BYD_5R1V_RadarRearcorner_V2.5_AllNodes.dbc:1460</x:v>
      </x:c>
    </x:row>
    <x:row r="828" ht="72" customHeight="1">
      <x:c r="A828" s="144" t="str">
        <x:v>Com-Signal</x:v>
      </x:c>
      <x:c r="B828" s="144" t="str">
        <x:v>COM-SIG-Tx-0686 / RRR_Obj09A_Ax</x:v>
      </x:c>
      <x:c r="C828" s="144" t="str">
        <x:v>PDU=RRR_Obj09A; startBit=93; length=10; byteOrder=Little; type=UINT16; factor=0.03125; offset=-16; min=-16; max=15.96875; unit=m/s^2; receivers=DASy</x:v>
      </x:c>
      <x:c r="D82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8" s="144" t="str">
        <x:v>M2</x:v>
      </x:c>
      <x:c r="F828" s="144" t="str">
        <x:v>Signal 级可编辑配置、数据类型/缩放/端序合同、RTE 接口、边界值与 round-trip 测试。</x:v>
      </x:c>
      <x:c r="G828" s="144" t="str">
        <x:v>raw=0、raw=max、物理 min/max、越界/保留值、端序字节向量、pack→unpack round-trip；1457/1457 通过。</x:v>
      </x:c>
      <x:c r="H828" s="144" t="str">
        <x:v>coem/BYD_UKE/gen_bsw/Com/Com_PBcfg.c:36413; BYD_5R1V_RadarRearcorner_V2.5_AllNodes.dbc:1449</x:v>
      </x:c>
    </x:row>
    <x:row r="829" ht="72" customHeight="1">
      <x:c r="A829" s="144" t="str">
        <x:v>Com-Signal</x:v>
      </x:c>
      <x:c r="B829" s="144" t="str">
        <x:v>COM-SIG-Tx-0687 / RRR_Obj09A_AyVnce</x:v>
      </x:c>
      <x:c r="C829" s="144" t="str">
        <x:v>PDU=RRR_Obj09A; startBit=212; length=12; byteOrder=Little; type=UINT16; factor=0.01; offset=0; min=0; max=30; unit=m^2/s^4; receivers=DASy</x:v>
      </x:c>
      <x:c r="D82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29" s="144" t="str">
        <x:v>M2</x:v>
      </x:c>
      <x:c r="F829" s="144" t="str">
        <x:v>Signal 级可编辑配置、数据类型/缩放/端序合同、RTE 接口、边界值与 round-trip 测试。</x:v>
      </x:c>
      <x:c r="G829" s="144" t="str">
        <x:v>raw=0、raw=max、物理 min/max、越界/保留值、端序字节向量、pack→unpack round-trip；1457/1457 通过。</x:v>
      </x:c>
      <x:c r="H829" s="144" t="str">
        <x:v>coem/BYD_UKE/gen_bsw/Com/Com_PBcfg.c:36466; BYD_5R1V_RadarRearcorner_V2.5_AllNodes.dbc:1461</x:v>
      </x:c>
    </x:row>
    <x:row r="830" ht="72" customHeight="1">
      <x:c r="A830" s="144" t="str">
        <x:v>Com-Signal</x:v>
      </x:c>
      <x:c r="B830" s="144" t="str">
        <x:v>COM-SIG-Tx-0688 / RRR_Obj09A_Ay</x:v>
      </x:c>
      <x:c r="C830" s="144" t="str">
        <x:v>PDU=RRR_Obj09A; startBit=103; length=9; byteOrder=Little; type=UINT16; factor=0.0625; offset=-16; min=-16; max=15.9375; unit=m/s^2; receivers=DASy</x:v>
      </x:c>
      <x:c r="D83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0" s="144" t="str">
        <x:v>M2</x:v>
      </x:c>
      <x:c r="F830" s="144" t="str">
        <x:v>Signal 级可编辑配置、数据类型/缩放/端序合同、RTE 接口、边界值与 round-trip 测试。</x:v>
      </x:c>
      <x:c r="G830" s="144" t="str">
        <x:v>raw=0、raw=max、物理 min/max、越界/保留值、端序字节向量、pack→unpack round-trip；1457/1457 通过。</x:v>
      </x:c>
      <x:c r="H830" s="144" t="str">
        <x:v>coem/BYD_UKE/gen_bsw/Com/Com_PBcfg.c:36519; BYD_5R1V_RadarRearcorner_V2.5_AllNodes.dbc:1450</x:v>
      </x:c>
    </x:row>
    <x:row r="831" ht="72" customHeight="1">
      <x:c r="A831" s="144" t="str">
        <x:v>Com-Signal</x:v>
      </x:c>
      <x:c r="B831" s="144" t="str">
        <x:v>COM-SIG-Tx-0689 / RRR_Obj09A_CRC</x:v>
      </x:c>
      <x:c r="C831" s="144" t="str">
        <x:v>PDU=RRR_Obj09A; startBit=0; length=16; byteOrder=Little; type=UINT16; factor=1; offset=0; min=0; max=65535; unit=-; receivers=DASy</x:v>
      </x:c>
      <x:c r="D83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1" s="144" t="str">
        <x:v>M2</x:v>
      </x:c>
      <x:c r="F831" s="144" t="str">
        <x:v>Signal 级可编辑配置、数据类型/缩放/端序合同、RTE 接口、边界值与 round-trip 测试。</x:v>
      </x:c>
      <x:c r="G831" s="144" t="str">
        <x:v>raw=0、raw=max、物理 min/max、越界/保留值、端序字节向量、pack→unpack round-trip；1457/1457 通过。</x:v>
      </x:c>
      <x:c r="H831" s="144" t="str">
        <x:v>coem/BYD_UKE/gen_bsw/Com/Com_PBcfg.c:36572; BYD_5R1V_RadarRearcorner_V2.5_AllNodes.dbc:1437</x:v>
      </x:c>
    </x:row>
    <x:row r="832" ht="72" customHeight="1">
      <x:c r="A832" s="144" t="str">
        <x:v>Com-Signal</x:v>
      </x:c>
      <x:c r="B832" s="144" t="str">
        <x:v>COM-SIG-Tx-0690 / RRR_Obj09A_DxAxCoVnce</x:v>
      </x:c>
      <x:c r="C832" s="144" t="str">
        <x:v>PDU=RRR_Obj09A; startBit=300; length=12; byteOrder=Little; type=UINT16; factor=0.01; offset=0; min=0; max=30; unit=m^2/s^2; receivers=DASy</x:v>
      </x:c>
      <x:c r="D83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2" s="144" t="str">
        <x:v>M2</x:v>
      </x:c>
      <x:c r="F832" s="144" t="str">
        <x:v>Signal 级可编辑配置、数据类型/缩放/端序合同、RTE 接口、边界值与 round-trip 测试。</x:v>
      </x:c>
      <x:c r="G832" s="144" t="str">
        <x:v>raw=0、raw=max、物理 min/max、越界/保留值、端序字节向量、pack→unpack round-trip；1457/1457 通过。</x:v>
      </x:c>
      <x:c r="H832" s="144" t="str">
        <x:v>coem/BYD_UKE/gen_bsw/Com/Com_PBcfg.c:36625; BYD_5R1V_RadarRearcorner_V2.5_AllNodes.dbc:1468</x:v>
      </x:c>
    </x:row>
    <x:row r="833" ht="72" customHeight="1">
      <x:c r="A833" s="144" t="str">
        <x:v>Com-Signal</x:v>
      </x:c>
      <x:c r="B833" s="144" t="str">
        <x:v>COM-SIG-Tx-0691 / RRR_Obj09A_DxAyCoVnce</x:v>
      </x:c>
      <x:c r="C833" s="144" t="str">
        <x:v>PDU=RRR_Obj09A; startBit=348; length=12; byteOrder=Little; type=UINT16; factor=0.01; offset=0; min=0; max=30; unit=m^2/s^2; receivers=DASy</x:v>
      </x:c>
      <x:c r="D83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3" s="144" t="str">
        <x:v>M2</x:v>
      </x:c>
      <x:c r="F833" s="144" t="str">
        <x:v>Signal 级可编辑配置、数据类型/缩放/端序合同、RTE 接口、边界值与 round-trip 测试。</x:v>
      </x:c>
      <x:c r="G833" s="144" t="str">
        <x:v>raw=0、raw=max、物理 min/max、越界/保留值、端序字节向量、pack→unpack round-trip；1457/1457 通过。</x:v>
      </x:c>
      <x:c r="H833" s="144" t="str">
        <x:v>coem/BYD_UKE/gen_bsw/Com/Com_PBcfg.c:36678; BYD_5R1V_RadarRearcorner_V2.5_AllNodes.dbc:1472</x:v>
      </x:c>
    </x:row>
    <x:row r="834" ht="72" customHeight="1">
      <x:c r="A834" s="144" t="str">
        <x:v>Com-Signal</x:v>
      </x:c>
      <x:c r="B834" s="144" t="str">
        <x:v>COM-SIG-Tx-0692 / RRR_Obj09A_DxVnce</x:v>
      </x:c>
      <x:c r="C834" s="144" t="str">
        <x:v>PDU=RRR_Obj09A; startBit=142; length=12; byteOrder=Little; type=UINT16; factor=0.01; offset=0; min=0; max=30; unit=m^2; receivers=DASy</x:v>
      </x:c>
      <x:c r="D83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4" s="144" t="str">
        <x:v>M2</x:v>
      </x:c>
      <x:c r="F834" s="144" t="str">
        <x:v>Signal 级可编辑配置、数据类型/缩放/端序合同、RTE 接口、边界值与 round-trip 测试。</x:v>
      </x:c>
      <x:c r="G834" s="144" t="str">
        <x:v>raw=0、raw=max、物理 min/max、越界/保留值、端序字节向量、pack→unpack round-trip；1457/1457 通过。</x:v>
      </x:c>
      <x:c r="H834" s="144" t="str">
        <x:v>coem/BYD_UKE/gen_bsw/Com/Com_PBcfg.c:36731; BYD_5R1V_RadarRearcorner_V2.5_AllNodes.dbc:1455</x:v>
      </x:c>
    </x:row>
    <x:row r="835" ht="72" customHeight="1">
      <x:c r="A835" s="144" t="str">
        <x:v>Com-Signal</x:v>
      </x:c>
      <x:c r="B835" s="144" t="str">
        <x:v>COM-SIG-Tx-0693 / RRR_Obj09A_Dx</x:v>
      </x:c>
      <x:c r="C835" s="144" t="str">
        <x:v>PDU=RRR_Obj09A; startBit=40; length=13; byteOrder=Little; type=UINT16; factor=0.0625; offset=-256; min=-256; max=255.9375; unit=m; receivers=DASy</x:v>
      </x:c>
      <x:c r="D83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5" s="144" t="str">
        <x:v>M2</x:v>
      </x:c>
      <x:c r="F835" s="144" t="str">
        <x:v>Signal 级可编辑配置、数据类型/缩放/端序合同、RTE 接口、边界值与 round-trip 测试。</x:v>
      </x:c>
      <x:c r="G835" s="144" t="str">
        <x:v>raw=0、raw=max、物理 min/max、越界/保留值、端序字节向量、pack→unpack round-trip；1457/1457 通过。</x:v>
      </x:c>
      <x:c r="H835" s="144" t="str">
        <x:v>coem/BYD_UKE/gen_bsw/Com/Com_PBcfg.c:36784; BYD_5R1V_RadarRearcorner_V2.5_AllNodes.dbc:1444</x:v>
      </x:c>
    </x:row>
    <x:row r="836" ht="72" customHeight="1">
      <x:c r="A836" s="144" t="str">
        <x:v>Com-Signal</x:v>
      </x:c>
      <x:c r="B836" s="144" t="str">
        <x:v>COM-SIG-Tx-0694 / RRR_Obj09A_DyAxCoVnce</x:v>
      </x:c>
      <x:c r="C836" s="144" t="str">
        <x:v>PDU=RRR_Obj09A; startBit=312; length=12; byteOrder=Little; type=UINT16; factor=0.01; offset=0; min=0; max=30; unit=m^2/s^2; receivers=DASy</x:v>
      </x:c>
      <x:c r="D83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6" s="144" t="str">
        <x:v>M2</x:v>
      </x:c>
      <x:c r="F836" s="144" t="str">
        <x:v>Signal 级可编辑配置、数据类型/缩放/端序合同、RTE 接口、边界值与 round-trip 测试。</x:v>
      </x:c>
      <x:c r="G836" s="144" t="str">
        <x:v>raw=0、raw=max、物理 min/max、越界/保留值、端序字节向量、pack→unpack round-trip；1457/1457 通过。</x:v>
      </x:c>
      <x:c r="H836" s="144" t="str">
        <x:v>coem/BYD_UKE/gen_bsw/Com/Com_PBcfg.c:36837; BYD_5R1V_RadarRearcorner_V2.5_AllNodes.dbc:1469</x:v>
      </x:c>
    </x:row>
    <x:row r="837" ht="72" customHeight="1">
      <x:c r="A837" s="144" t="str">
        <x:v>Com-Signal</x:v>
      </x:c>
      <x:c r="B837" s="144" t="str">
        <x:v>COM-SIG-Tx-0695 / RRR_Obj09A_DyAyCoVnce</x:v>
      </x:c>
      <x:c r="C837" s="144" t="str">
        <x:v>PDU=RRR_Obj09A; startBit=360; length=12; byteOrder=Little; type=UINT16; factor=0.01; offset=0; min=0; max=30; unit=m^2/s^2; receivers=DASy</x:v>
      </x:c>
      <x:c r="D83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7" s="144" t="str">
        <x:v>M2</x:v>
      </x:c>
      <x:c r="F837" s="144" t="str">
        <x:v>Signal 级可编辑配置、数据类型/缩放/端序合同、RTE 接口、边界值与 round-trip 测试。</x:v>
      </x:c>
      <x:c r="G837" s="144" t="str">
        <x:v>raw=0、raw=max、物理 min/max、越界/保留值、端序字节向量、pack→unpack round-trip；1457/1457 通过。</x:v>
      </x:c>
      <x:c r="H837" s="144" t="str">
        <x:v>coem/BYD_UKE/gen_bsw/Com/Com_PBcfg.c:36890; BYD_5R1V_RadarRearcorner_V2.5_AllNodes.dbc:1473</x:v>
      </x:c>
    </x:row>
    <x:row r="838" ht="72" customHeight="1">
      <x:c r="A838" s="144" t="str">
        <x:v>Com-Signal</x:v>
      </x:c>
      <x:c r="B838" s="144" t="str">
        <x:v>COM-SIG-Tx-0696 / RRR_Obj09A_DyVnce</x:v>
      </x:c>
      <x:c r="C838" s="144" t="str">
        <x:v>PDU=RRR_Obj09A; startBit=154; length=12; byteOrder=Little; type=UINT16; factor=0.01; offset=0; min=0; max=30; unit=m^2; receivers=DASy</x:v>
      </x:c>
      <x:c r="D83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8" s="144" t="str">
        <x:v>M2</x:v>
      </x:c>
      <x:c r="F838" s="144" t="str">
        <x:v>Signal 级可编辑配置、数据类型/缩放/端序合同、RTE 接口、边界值与 round-trip 测试。</x:v>
      </x:c>
      <x:c r="G838" s="144" t="str">
        <x:v>raw=0、raw=max、物理 min/max、越界/保留值、端序字节向量、pack→unpack round-trip；1457/1457 通过。</x:v>
      </x:c>
      <x:c r="H838" s="144" t="str">
        <x:v>coem/BYD_UKE/gen_bsw/Com/Com_PBcfg.c:36943; BYD_5R1V_RadarRearcorner_V2.5_AllNodes.dbc:1456</x:v>
      </x:c>
    </x:row>
    <x:row r="839" ht="72" customHeight="1">
      <x:c r="A839" s="144" t="str">
        <x:v>Com-Signal</x:v>
      </x:c>
      <x:c r="B839" s="144" t="str">
        <x:v>COM-SIG-Tx-0697 / RRR_Obj09A_DyVyCoVnce</x:v>
      </x:c>
      <x:c r="C839" s="144" t="str">
        <x:v>PDU=RRR_Obj09A; startBit=276; length=12; byteOrder=Little; type=UINT16; factor=0.01; offset=0; min=0; max=30; unit=m^2/s; receivers=DASy</x:v>
      </x:c>
      <x:c r="D83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39" s="144" t="str">
        <x:v>M2</x:v>
      </x:c>
      <x:c r="F839" s="144" t="str">
        <x:v>Signal 级可编辑配置、数据类型/缩放/端序合同、RTE 接口、边界值与 round-trip 测试。</x:v>
      </x:c>
      <x:c r="G839" s="144" t="str">
        <x:v>raw=0、raw=max、物理 min/max、越界/保留值、端序字节向量、pack→unpack round-trip；1457/1457 通过。</x:v>
      </x:c>
      <x:c r="H839" s="144" t="str">
        <x:v>coem/BYD_UKE/gen_bsw/Com/Com_PBcfg.c:36996; BYD_5R1V_RadarRearcorner_V2.5_AllNodes.dbc:1466</x:v>
      </x:c>
    </x:row>
    <x:row r="840" ht="72" customHeight="1">
      <x:c r="A840" s="144" t="str">
        <x:v>Com-Signal</x:v>
      </x:c>
      <x:c r="B840" s="144" t="str">
        <x:v>COM-SIG-Tx-0698 / RRR_Obj09A_Dy</x:v>
      </x:c>
      <x:c r="C840" s="144" t="str">
        <x:v>PDU=RRR_Obj09A; startBit=59; length=11; byteOrder=Little; type=UINT16; factor=0.125; offset=-128; min=-128; max=127.875; unit=m; receivers=DASy</x:v>
      </x:c>
      <x:c r="D84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0" s="144" t="str">
        <x:v>M2</x:v>
      </x:c>
      <x:c r="F840" s="144" t="str">
        <x:v>Signal 级可编辑配置、数据类型/缩放/端序合同、RTE 接口、边界值与 round-trip 测试。</x:v>
      </x:c>
      <x:c r="G840" s="144" t="str">
        <x:v>raw=0、raw=max、物理 min/max、越界/保留值、端序字节向量、pack→unpack round-trip；1457/1457 通过。</x:v>
      </x:c>
      <x:c r="H840" s="144" t="str">
        <x:v>coem/BYD_UKE/gen_bsw/Com/Com_PBcfg.c:37049; BYD_5R1V_RadarRearcorner_V2.5_AllNodes.dbc:1445</x:v>
      </x:c>
    </x:row>
    <x:row r="841" ht="72" customHeight="1">
      <x:c r="A841" s="144" t="str">
        <x:v>Com-Signal</x:v>
      </x:c>
      <x:c r="B841" s="144" t="str">
        <x:v>COM-SIG-Tx-0699 / RRR_Obj09A_DzVnce</x:v>
      </x:c>
      <x:c r="C841" s="144" t="str">
        <x:v>PDU=RRR_Obj09A; startBit=166; length=10; byteOrder=Little; type=UINT16; factor=0.01; offset=0; min=0; max=10; unit=m^2; receivers=DASy</x:v>
      </x:c>
      <x:c r="D84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1" s="144" t="str">
        <x:v>M2</x:v>
      </x:c>
      <x:c r="F841" s="144" t="str">
        <x:v>Signal 级可编辑配置、数据类型/缩放/端序合同、RTE 接口、边界值与 round-trip 测试。</x:v>
      </x:c>
      <x:c r="G841" s="144" t="str">
        <x:v>raw=0、raw=max、物理 min/max、越界/保留值、端序字节向量、pack→unpack round-trip；1457/1457 通过。</x:v>
      </x:c>
      <x:c r="H841" s="144" t="str">
        <x:v>coem/BYD_UKE/gen_bsw/Com/Com_PBcfg.c:37102; BYD_5R1V_RadarRearcorner_V2.5_AllNodes.dbc:1457</x:v>
      </x:c>
    </x:row>
    <x:row r="842" ht="72" customHeight="1">
      <x:c r="A842" s="144" t="str">
        <x:v>Com-Signal</x:v>
      </x:c>
      <x:c r="B842" s="144" t="str">
        <x:v>COM-SIG-Tx-0700 / RRR_Obj09A_Dz</x:v>
      </x:c>
      <x:c r="C842" s="144" t="str">
        <x:v>PDU=RRR_Obj09A; startBit=53; length=6; byteOrder=Little; type=UINT8; factor=0.25; offset=-5; min=-5; max=10.75; unit=m; receivers=DASy</x:v>
      </x:c>
      <x:c r="D84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2" s="144" t="str">
        <x:v>M2</x:v>
      </x:c>
      <x:c r="F842" s="144" t="str">
        <x:v>Signal 级可编辑配置、数据类型/缩放/端序合同、RTE 接口、边界值与 round-trip 测试。</x:v>
      </x:c>
      <x:c r="G842" s="144" t="str">
        <x:v>raw=0、raw=max、物理 min/max、越界/保留值、端序字节向量、pack→unpack round-trip；1457/1457 通过。</x:v>
      </x:c>
      <x:c r="H842" s="144" t="str">
        <x:v>coem/BYD_UKE/gen_bsw/Com/Com_PBcfg.c:37155; BYD_5R1V_RadarRearcorner_V2.5_AllNodes.dbc:1446</x:v>
      </x:c>
    </x:row>
    <x:row r="843" ht="72" customHeight="1">
      <x:c r="A843" s="144" t="str">
        <x:v>Com-Signal</x:v>
      </x:c>
      <x:c r="B843" s="144" t="str">
        <x:v>COM-SIG-Tx-0701 / RRR_Obj09A_HeadingYawAngleVnce</x:v>
      </x:c>
      <x:c r="C843" s="144" t="str">
        <x:v>PDU=RRR_Obj09A; startBit=408; length=12; byteOrder=Little; type=UINT16; factor=0.0003; offset=0; min=0; max=1; unit=rad^2; receivers=DASy</x:v>
      </x:c>
      <x:c r="D84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3" s="144" t="str">
        <x:v>M2</x:v>
      </x:c>
      <x:c r="F843" s="144" t="str">
        <x:v>Signal 级可编辑配置、数据类型/缩放/端序合同、RTE 接口、边界值与 round-trip 测试。</x:v>
      </x:c>
      <x:c r="G843" s="144" t="str">
        <x:v>raw=0、raw=max、物理 min/max、越界/保留值、端序字节向量、pack→unpack round-trip；1457/1457 通过。</x:v>
      </x:c>
      <x:c r="H843" s="144" t="str">
        <x:v>coem/BYD_UKE/gen_bsw/Com/Com_PBcfg.c:37208; BYD_5R1V_RadarRearcorner_V2.5_AllNodes.dbc:1477</x:v>
      </x:c>
    </x:row>
    <x:row r="844" ht="72" customHeight="1">
      <x:c r="A844" s="144" t="str">
        <x:v>Com-Signal</x:v>
      </x:c>
      <x:c r="B844" s="144" t="str">
        <x:v>COM-SIG-Tx-0702 / RRR_Obj09A_HeadingYawAngle</x:v>
      </x:c>
      <x:c r="C844" s="144" t="str">
        <x:v>PDU=RRR_Obj09A; startBit=112; length=9; byteOrder=Little; type=UINT16; factor=0.0175; offset=-4.48; min=-3.15; max=3.15; unit=rad; receivers=DASy</x:v>
      </x:c>
      <x:c r="D84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4" s="144" t="str">
        <x:v>M2</x:v>
      </x:c>
      <x:c r="F844" s="144" t="str">
        <x:v>Signal 级可编辑配置、数据类型/缩放/端序合同、RTE 接口、边界值与 round-trip 测试。</x:v>
      </x:c>
      <x:c r="G844" s="144" t="str">
        <x:v>raw=0、raw=max、物理 min/max、越界/保留值、端序字节向量、pack→unpack round-trip；1457/1457 通过。</x:v>
      </x:c>
      <x:c r="H844" s="144" t="str">
        <x:v>coem/BYD_UKE/gen_bsw/Com/Com_PBcfg.c:37261; BYD_5R1V_RadarRearcorner_V2.5_AllNodes.dbc:1451</x:v>
      </x:c>
    </x:row>
    <x:row r="845" ht="72" customHeight="1">
      <x:c r="A845" s="144" t="str">
        <x:v>Com-Signal</x:v>
      </x:c>
      <x:c r="B845" s="144" t="str">
        <x:v>COM-SIG-Tx-0703 / RRR_Obj09A_HeadingYawrate</x:v>
      </x:c>
      <x:c r="C845" s="144" t="str">
        <x:v>PDU=RRR_Obj09A; startBit=240; length=12; byteOrder=Little; type=UINT16; factor=1（Com原始值）; offset=0（Com原始值）; min=按位宽/类型; max=按位宽/类型; unit=-; receivers=-</x:v>
      </x:c>
      <x:c r="D845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45" s="144" t="str">
        <x:v>M2</x:v>
      </x:c>
      <x:c r="F845" s="144" t="str">
        <x:v>Signal 级可编辑配置、数据类型/缩放/端序合同、RTE 接口、边界值与 round-trip 测试。</x:v>
      </x:c>
      <x:c r="G845" s="144" t="str">
        <x:v>raw=0、raw=max、物理 min/max、越界/保留值、端序字节向量、pack→unpack round-trip；1457/1457 通过。</x:v>
      </x:c>
      <x:c r="H845" s="144" t="str">
        <x:v>coem/BYD_UKE/gen_bsw/Com/Com_PBcfg.c:37314</x:v>
      </x:c>
    </x:row>
    <x:row r="846" ht="72" customHeight="1">
      <x:c r="A846" s="144" t="str">
        <x:v>Com-Signal</x:v>
      </x:c>
      <x:c r="B846" s="144" t="str">
        <x:v>COM-SIG-Tx-0704 / RRR_Obj09A_HeightVnce</x:v>
      </x:c>
      <x:c r="C846" s="144" t="str">
        <x:v>PDU=RRR_Obj09A; startBit=444; length=12; byteOrder=Little; type=UINT16; factor=0.01; offset=0; min=0; max=30; unit=m^2; receivers=DASy</x:v>
      </x:c>
      <x:c r="D84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6" s="144" t="str">
        <x:v>M2</x:v>
      </x:c>
      <x:c r="F846" s="144" t="str">
        <x:v>Signal 级可编辑配置、数据类型/缩放/端序合同、RTE 接口、边界值与 round-trip 测试。</x:v>
      </x:c>
      <x:c r="G846" s="144" t="str">
        <x:v>raw=0、raw=max、物理 min/max、越界/保留值、端序字节向量、pack→unpack round-trip；1457/1457 通过。</x:v>
      </x:c>
      <x:c r="H846" s="144" t="str">
        <x:v>coem/BYD_UKE/gen_bsw/Com/Com_PBcfg.c:37367; BYD_5R1V_RadarRearcorner_V2.5_AllNodes.dbc:1436</x:v>
      </x:c>
    </x:row>
    <x:row r="847" ht="72" customHeight="1">
      <x:c r="A847" s="144" t="str">
        <x:v>Com-Signal</x:v>
      </x:c>
      <x:c r="B847" s="144" t="str">
        <x:v>COM-SIG-Tx-0705 / RRR_Obj09A_Height</x:v>
      </x:c>
      <x:c r="C847" s="144" t="str">
        <x:v>PDU=RRR_Obj09A; startBit=135; length=7; byteOrder=Little; type=UINT8; factor=0.125; offset=0; min=0; max=15.875; unit=m; receivers=DASy</x:v>
      </x:c>
      <x:c r="D84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7" s="144" t="str">
        <x:v>M2</x:v>
      </x:c>
      <x:c r="F847" s="144" t="str">
        <x:v>Signal 级可编辑配置、数据类型/缩放/端序合同、RTE 接口、边界值与 round-trip 测试。</x:v>
      </x:c>
      <x:c r="G847" s="144" t="str">
        <x:v>raw=0、raw=max、物理 min/max、越界/保留值、端序字节向量、pack→unpack round-trip；1457/1457 通过。</x:v>
      </x:c>
      <x:c r="H847" s="144" t="str">
        <x:v>coem/BYD_UKE/gen_bsw/Com/Com_PBcfg.c:37420; BYD_5R1V_RadarRearcorner_V2.5_AllNodes.dbc:1454</x:v>
      </x:c>
    </x:row>
    <x:row r="848" ht="72" customHeight="1">
      <x:c r="A848" s="144" t="str">
        <x:v>Com-Signal</x:v>
      </x:c>
      <x:c r="B848" s="144" t="str">
        <x:v>COM-SIG-Tx-0706 / RRR_Obj09A_ID</x:v>
      </x:c>
      <x:c r="C848" s="144" t="str">
        <x:v>PDU=RRR_Obj09A; startBit=32; length=7; byteOrder=Little; type=UINT8; factor=1; offset=0; min=0; max=127; unit=-; receivers=DASy</x:v>
      </x:c>
      <x:c r="D84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8" s="144" t="str">
        <x:v>M2</x:v>
      </x:c>
      <x:c r="F848" s="144" t="str">
        <x:v>Signal 级可编辑配置、数据类型/缩放/端序合同、RTE 接口、边界值与 round-trip 测试。</x:v>
      </x:c>
      <x:c r="G848" s="144" t="str">
        <x:v>raw=0、raw=max、物理 min/max、越界/保留值、端序字节向量、pack→unpack round-trip；1457/1457 通过。</x:v>
      </x:c>
      <x:c r="H848" s="144" t="str">
        <x:v>coem/BYD_UKE/gen_bsw/Com/Com_PBcfg.c:37473; BYD_5R1V_RadarRearcorner_V2.5_AllNodes.dbc:1440</x:v>
      </x:c>
    </x:row>
    <x:row r="849" ht="72" customHeight="1">
      <x:c r="A849" s="144" t="str">
        <x:v>Com-Signal</x:v>
      </x:c>
      <x:c r="B849" s="144" t="str">
        <x:v>COM-SIG-Tx-0707 / RRR_Obj09A_LengthVnce</x:v>
      </x:c>
      <x:c r="C849" s="144" t="str">
        <x:v>PDU=RRR_Obj09A; startBit=420; length=12; byteOrder=Little; type=UINT16; factor=0.01; offset=0; min=0; max=30; unit=m^2; receivers=DASy</x:v>
      </x:c>
      <x:c r="D84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49" s="144" t="str">
        <x:v>M2</x:v>
      </x:c>
      <x:c r="F849" s="144" t="str">
        <x:v>Signal 级可编辑配置、数据类型/缩放/端序合同、RTE 接口、边界值与 round-trip 测试。</x:v>
      </x:c>
      <x:c r="G849" s="144" t="str">
        <x:v>raw=0、raw=max、物理 min/max、越界/保留值、端序字节向量、pack→unpack round-trip；1457/1457 通过。</x:v>
      </x:c>
      <x:c r="H849" s="144" t="str">
        <x:v>coem/BYD_UKE/gen_bsw/Com/Com_PBcfg.c:37526; BYD_5R1V_RadarRearcorner_V2.5_AllNodes.dbc:1478</x:v>
      </x:c>
    </x:row>
    <x:row r="850" ht="72" customHeight="1">
      <x:c r="A850" s="144" t="str">
        <x:v>Com-Signal</x:v>
      </x:c>
      <x:c r="B850" s="144" t="str">
        <x:v>COM-SIG-Tx-0708 / RRR_Obj09A_Length</x:v>
      </x:c>
      <x:c r="C850" s="144" t="str">
        <x:v>PDU=RRR_Obj09A; startBit=121; length=7; byteOrder=Little; type=UINT8; factor=0.125; offset=0; min=0; max=15.875; unit=m; receivers=DASy</x:v>
      </x:c>
      <x:c r="D85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0" s="144" t="str">
        <x:v>M2</x:v>
      </x:c>
      <x:c r="F850" s="144" t="str">
        <x:v>Signal 级可编辑配置、数据类型/缩放/端序合同、RTE 接口、边界值与 round-trip 测试。</x:v>
      </x:c>
      <x:c r="G850" s="144" t="str">
        <x:v>raw=0、raw=max、物理 min/max、越界/保留值、端序字节向量、pack→unpack round-trip；1457/1457 通过。</x:v>
      </x:c>
      <x:c r="H850" s="144" t="str">
        <x:v>coem/BYD_UKE/gen_bsw/Com/Com_PBcfg.c:37579; BYD_5R1V_RadarRearcorner_V2.5_AllNodes.dbc:1452</x:v>
      </x:c>
    </x:row>
    <x:row r="851" ht="72" customHeight="1">
      <x:c r="A851" s="144" t="str">
        <x:v>Com-Signal</x:v>
      </x:c>
      <x:c r="B851" s="144" t="str">
        <x:v>COM-SIG-Tx-0709 / RRR_Obj09A_Measured</x:v>
      </x:c>
      <x:c r="C851" s="144" t="str">
        <x:v>PDU=RRR_Obj09A; startBit=39; length=1; byteOrder=Little; type=UINT8; factor=1; offset=0; min=0; max=1; unit=-; receivers=DASy</x:v>
      </x:c>
      <x:c r="D85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1" s="144" t="str">
        <x:v>M2</x:v>
      </x:c>
      <x:c r="F851" s="144" t="str">
        <x:v>Signal 级可编辑配置、数据类型/缩放/端序合同、RTE 接口、边界值与 round-trip 测试。</x:v>
      </x:c>
      <x:c r="G851" s="144" t="str">
        <x:v>raw=0、raw=max、物理 min/max、越界/保留值、端序字节向量、pack→unpack round-trip；1457/1457 通过。</x:v>
      </x:c>
      <x:c r="H851" s="144" t="str">
        <x:v>coem/BYD_UKE/gen_bsw/Com/Com_PBcfg.c:37632; BYD_5R1V_RadarRearcorner_V2.5_AllNodes.dbc:1443</x:v>
      </x:c>
    </x:row>
    <x:row r="852" ht="72" customHeight="1">
      <x:c r="A852" s="144" t="str">
        <x:v>Com-Signal</x:v>
      </x:c>
      <x:c r="B852" s="144" t="str">
        <x:v>COM-SIG-Tx-0710 / RRR_Obj09A_ObjDetected</x:v>
      </x:c>
      <x:c r="C852" s="144" t="str">
        <x:v>PDU=RRR_Obj09A; startBit=264; length=12; byteOrder=Little; type=UINT16; factor=1（Com原始值）; offset=0（Com原始值）; min=按位宽/类型; max=按位宽/类型; unit=-; receivers=-</x:v>
      </x:c>
      <x:c r="D85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52" s="144" t="str">
        <x:v>M2</x:v>
      </x:c>
      <x:c r="F852" s="144" t="str">
        <x:v>Signal 级可编辑配置、数据类型/缩放/端序合同、RTE 接口、边界值与 round-trip 测试。</x:v>
      </x:c>
      <x:c r="G852" s="144" t="str">
        <x:v>raw=0、raw=max、物理 min/max、越界/保留值、端序字节向量、pack→unpack round-trip；1457/1457 通过。</x:v>
      </x:c>
      <x:c r="H852" s="144" t="str">
        <x:v>coem/BYD_UKE/gen_bsw/Com/Com_PBcfg.c:37685</x:v>
      </x:c>
    </x:row>
    <x:row r="853" ht="72" customHeight="1">
      <x:c r="A853" s="144" t="str">
        <x:v>Com-Signal</x:v>
      </x:c>
      <x:c r="B853" s="144" t="str">
        <x:v>COM-SIG-Tx-0711 / RRR_Obj09A_ProbExist</x:v>
      </x:c>
      <x:c r="C853" s="144" t="str">
        <x:v>PDU=RRR_Obj09A; startBit=456; length=6; byteOrder=Little; type=UINT8; factor=2; offset=0; min=0; max=100; unit=%; receivers=DASy</x:v>
      </x:c>
      <x:c r="D85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3" s="144" t="str">
        <x:v>M2</x:v>
      </x:c>
      <x:c r="F853" s="144" t="str">
        <x:v>Signal 级可编辑配置、数据类型/缩放/端序合同、RTE 接口、边界值与 round-trip 测试。</x:v>
      </x:c>
      <x:c r="G853" s="144" t="str">
        <x:v>raw=0、raw=max、物理 min/max、越界/保留值、端序字节向量、pack→unpack round-trip；1457/1457 通过。</x:v>
      </x:c>
      <x:c r="H853" s="144" t="str">
        <x:v>coem/BYD_UKE/gen_bsw/Com/Com_PBcfg.c:37738; BYD_5R1V_RadarRearcorner_V2.5_AllNodes.dbc:1480</x:v>
      </x:c>
    </x:row>
    <x:row r="854" ht="72" customHeight="1">
      <x:c r="A854" s="144" t="str">
        <x:v>Com-Signal</x:v>
      </x:c>
      <x:c r="B854" s="144" t="str">
        <x:v>COM-SIG-Tx-0712 / RRR_Obj09A_ProbMobileObst</x:v>
      </x:c>
      <x:c r="C854" s="144" t="str">
        <x:v>PDU=RRR_Obj09A; startBit=474; length=6; byteOrder=Little; type=UINT8; factor=2; offset=0; min=0; max=100; unit=%; receivers=DASy</x:v>
      </x:c>
      <x:c r="D85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4" s="144" t="str">
        <x:v>M2</x:v>
      </x:c>
      <x:c r="F854" s="144" t="str">
        <x:v>Signal 级可编辑配置、数据类型/缩放/端序合同、RTE 接口、边界值与 round-trip 测试。</x:v>
      </x:c>
      <x:c r="G854" s="144" t="str">
        <x:v>raw=0、raw=max、物理 min/max、越界/保留值、端序字节向量、pack→unpack round-trip；1457/1457 通过。</x:v>
      </x:c>
      <x:c r="H854" s="144" t="str">
        <x:v>coem/BYD_UKE/gen_bsw/Com/Com_PBcfg.c:37791; BYD_5R1V_RadarRearcorner_V2.5_AllNodes.dbc:1483</x:v>
      </x:c>
    </x:row>
    <x:row r="855" ht="72" customHeight="1">
      <x:c r="A855" s="144" t="str">
        <x:v>Com-Signal</x:v>
      </x:c>
      <x:c r="B855" s="144" t="str">
        <x:v>COM-SIG-Tx-0713 / RRR_Obj09A_ProbNonObstacle</x:v>
      </x:c>
      <x:c r="C855" s="144" t="str">
        <x:v>PDU=RRR_Obj09A; startBit=468; length=6; byteOrder=Little; type=UINT8; factor=2; offset=0; min=0; max=100; unit=%; receivers=DASy</x:v>
      </x:c>
      <x:c r="D85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5" s="144" t="str">
        <x:v>M2</x:v>
      </x:c>
      <x:c r="F855" s="144" t="str">
        <x:v>Signal 级可编辑配置、数据类型/缩放/端序合同、RTE 接口、边界值与 round-trip 测试。</x:v>
      </x:c>
      <x:c r="G855" s="144" t="str">
        <x:v>raw=0、raw=max、物理 min/max、越界/保留值、端序字节向量、pack→unpack round-trip；1457/1457 通过。</x:v>
      </x:c>
      <x:c r="H855" s="144" t="str">
        <x:v>coem/BYD_UKE/gen_bsw/Com/Com_PBcfg.c:37844; BYD_5R1V_RadarRearcorner_V2.5_AllNodes.dbc:1482</x:v>
      </x:c>
    </x:row>
    <x:row r="856" ht="72" customHeight="1">
      <x:c r="A856" s="144" t="str">
        <x:v>Com-Signal</x:v>
      </x:c>
      <x:c r="B856" s="144" t="str">
        <x:v>COM-SIG-Tx-0714 / RRR_Obj09A_ProbObstacle</x:v>
      </x:c>
      <x:c r="C856" s="144" t="str">
        <x:v>PDU=RRR_Obj09A; startBit=462; length=6; byteOrder=Little; type=UINT8; factor=2; offset=0; min=0; max=100; unit=%; receivers=DASy</x:v>
      </x:c>
      <x:c r="D85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6" s="144" t="str">
        <x:v>M2</x:v>
      </x:c>
      <x:c r="F856" s="144" t="str">
        <x:v>Signal 级可编辑配置、数据类型/缩放/端序合同、RTE 接口、边界值与 round-trip 测试。</x:v>
      </x:c>
      <x:c r="G856" s="144" t="str">
        <x:v>raw=0、raw=max、物理 min/max、越界/保留值、端序字节向量、pack→unpack round-trip；1457/1457 通过。</x:v>
      </x:c>
      <x:c r="H856" s="144" t="str">
        <x:v>coem/BYD_UKE/gen_bsw/Com/Com_PBcfg.c:37897; BYD_5R1V_RadarRearcorner_V2.5_AllNodes.dbc:1481</x:v>
      </x:c>
    </x:row>
    <x:row r="857" ht="72" customHeight="1">
      <x:c r="A857" s="144" t="str">
        <x:v>Com-Signal</x:v>
      </x:c>
      <x:c r="B857" s="144" t="str">
        <x:v>COM-SIG-Tx-0715 / RRR_Obj09A_ProtBlockCtr</x:v>
      </x:c>
      <x:c r="C857" s="144" t="str">
        <x:v>PDU=RRR_Obj09A; startBit=24; length=4; byteOrder=Little; type=UINT8; factor=1; offset=0; min=0; max=15; unit=-; receivers=DASy</x:v>
      </x:c>
      <x:c r="D85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7" s="144" t="str">
        <x:v>M2</x:v>
      </x:c>
      <x:c r="F857" s="144" t="str">
        <x:v>Signal 级可编辑配置、数据类型/缩放/端序合同、RTE 接口、边界值与 round-trip 测试。</x:v>
      </x:c>
      <x:c r="G857" s="144" t="str">
        <x:v>raw=0、raw=max、物理 min/max、越界/保留值、端序字节向量、pack→unpack round-trip；1457/1457 通过。</x:v>
      </x:c>
      <x:c r="H857" s="144" t="str">
        <x:v>coem/BYD_UKE/gen_bsw/Com/Com_PBcfg.c:37950; BYD_5R1V_RadarRearcorner_V2.5_AllNodes.dbc:1439</x:v>
      </x:c>
    </x:row>
    <x:row r="858" ht="72" customHeight="1">
      <x:c r="A858" s="144" t="str">
        <x:v>Com-Signal</x:v>
      </x:c>
      <x:c r="B858" s="144" t="str">
        <x:v>COM-SIG-Tx-0716 / RRR_Obj09A_RCS</x:v>
      </x:c>
      <x:c r="C858" s="144" t="str">
        <x:v>PDU=RRR_Obj09A; startBit=252; length=12; byteOrder=Little; type=UINT16; factor=1（Com原始值）; offset=0（Com原始值）; min=按位宽/类型; max=按位宽/类型; unit=-; receivers=-</x:v>
      </x:c>
      <x:c r="D858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58" s="144" t="str">
        <x:v>M2</x:v>
      </x:c>
      <x:c r="F858" s="144" t="str">
        <x:v>Signal 级可编辑配置、数据类型/缩放/端序合同、RTE 接口、边界值与 round-trip 测试。</x:v>
      </x:c>
      <x:c r="G858" s="144" t="str">
        <x:v>raw=0、raw=max、物理 min/max、越界/保留值、端序字节向量、pack→unpack round-trip；1457/1457 通过。</x:v>
      </x:c>
      <x:c r="H858" s="144" t="str">
        <x:v>coem/BYD_UKE/gen_bsw/Com/Com_PBcfg.c:38003</x:v>
      </x:c>
    </x:row>
    <x:row r="859" ht="72" customHeight="1">
      <x:c r="A859" s="144" t="str">
        <x:v>Com-Signal</x:v>
      </x:c>
      <x:c r="B859" s="144" t="str">
        <x:v>COM-SIG-Tx-0717 / RRR_Obj09A_RefPosIndex</x:v>
      </x:c>
      <x:c r="C859" s="144" t="str">
        <x:v>PDU=RRR_Obj09A; startBit=224; length=4; byteOrder=Little; type=UINT8; factor=1; offset=0; min=0; max=15; unit=-; receivers=DASy</x:v>
      </x:c>
      <x:c r="D85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59" s="144" t="str">
        <x:v>M2</x:v>
      </x:c>
      <x:c r="F859" s="144" t="str">
        <x:v>Signal 级可编辑配置、数据类型/缩放/端序合同、RTE 接口、边界值与 round-trip 测试。</x:v>
      </x:c>
      <x:c r="G859" s="144" t="str">
        <x:v>raw=0、raw=max、物理 min/max、越界/保留值、端序字节向量、pack→unpack round-trip；1457/1457 通过。</x:v>
      </x:c>
      <x:c r="H859" s="144" t="str">
        <x:v>coem/BYD_UKE/gen_bsw/Com/Com_PBcfg.c:38056; BYD_5R1V_RadarRearcorner_V2.5_AllNodes.dbc:1441</x:v>
      </x:c>
    </x:row>
    <x:row r="860" ht="72" customHeight="1">
      <x:c r="A860" s="144" t="str">
        <x:v>Com-Signal</x:v>
      </x:c>
      <x:c r="B860" s="144" t="str">
        <x:v>COM-SIG-Tx-0718 / RRR_Obj09A_Valid</x:v>
      </x:c>
      <x:c r="C860" s="144" t="str">
        <x:v>PDU=RRR_Obj09A; startBit=70; length=1; byteOrder=Little; type=UINT8; factor=1; offset=0; min=0; max=1; unit=-; receivers=DASy</x:v>
      </x:c>
      <x:c r="D86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0" s="144" t="str">
        <x:v>M2</x:v>
      </x:c>
      <x:c r="F860" s="144" t="str">
        <x:v>Signal 级可编辑配置、数据类型/缩放/端序合同、RTE 接口、边界值与 round-trip 测试。</x:v>
      </x:c>
      <x:c r="G860" s="144" t="str">
        <x:v>raw=0、raw=max、物理 min/max、越界/保留值、端序字节向量、pack→unpack round-trip；1457/1457 通过。</x:v>
      </x:c>
      <x:c r="H860" s="144" t="str">
        <x:v>coem/BYD_UKE/gen_bsw/Com/Com_PBcfg.c:38109; BYD_5R1V_RadarRearcorner_V2.5_AllNodes.dbc:1442</x:v>
      </x:c>
    </x:row>
    <x:row r="861" ht="72" customHeight="1">
      <x:c r="A861" s="144" t="str">
        <x:v>Com-Signal</x:v>
      </x:c>
      <x:c r="B861" s="144" t="str">
        <x:v>COM-SIG-Tx-0719 / RRR_Obj09A_VxAxCoVnce</x:v>
      </x:c>
      <x:c r="C861" s="144" t="str">
        <x:v>PDU=RRR_Obj09A; startBit=324; length=12; byteOrder=Little; type=UINT16; factor=0.01; offset=0; min=0; max=30; unit=m^2/s^3; receivers=DASy</x:v>
      </x:c>
      <x:c r="D86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1" s="144" t="str">
        <x:v>M2</x:v>
      </x:c>
      <x:c r="F861" s="144" t="str">
        <x:v>Signal 级可编辑配置、数据类型/缩放/端序合同、RTE 接口、边界值与 round-trip 测试。</x:v>
      </x:c>
      <x:c r="G861" s="144" t="str">
        <x:v>raw=0、raw=max、物理 min/max、越界/保留值、端序字节向量、pack→unpack round-trip；1457/1457 通过。</x:v>
      </x:c>
      <x:c r="H861" s="144" t="str">
        <x:v>coem/BYD_UKE/gen_bsw/Com/Com_PBcfg.c:38162; BYD_5R1V_RadarRearcorner_V2.5_AllNodes.dbc:1470</x:v>
      </x:c>
    </x:row>
    <x:row r="862" ht="72" customHeight="1">
      <x:c r="A862" s="144" t="str">
        <x:v>Com-Signal</x:v>
      </x:c>
      <x:c r="B862" s="144" t="str">
        <x:v>COM-SIG-Tx-0720 / RRR_Obj09A_VxAyCoVnce</x:v>
      </x:c>
      <x:c r="C862" s="144" t="str">
        <x:v>PDU=RRR_Obj09A; startBit=372; length=12; byteOrder=Little; type=UINT16; factor=0.01; offset=0; min=0; max=30; unit=m^2/s^3; receivers=DASy</x:v>
      </x:c>
      <x:c r="D86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2" s="144" t="str">
        <x:v>M2</x:v>
      </x:c>
      <x:c r="F862" s="144" t="str">
        <x:v>Signal 级可编辑配置、数据类型/缩放/端序合同、RTE 接口、边界值与 round-trip 测试。</x:v>
      </x:c>
      <x:c r="G862" s="144" t="str">
        <x:v>raw=0、raw=max、物理 min/max、越界/保留值、端序字节向量、pack→unpack round-trip；1457/1457 通过。</x:v>
      </x:c>
      <x:c r="H862" s="144" t="str">
        <x:v>coem/BYD_UKE/gen_bsw/Com/Com_PBcfg.c:38215; BYD_5R1V_RadarRearcorner_V2.5_AllNodes.dbc:1474</x:v>
      </x:c>
    </x:row>
    <x:row r="863" ht="72" customHeight="1">
      <x:c r="A863" s="144" t="str">
        <x:v>Com-Signal</x:v>
      </x:c>
      <x:c r="B863" s="144" t="str">
        <x:v>COM-SIG-Tx-0721 / RRR_Obj09A_VxVnce</x:v>
      </x:c>
      <x:c r="C863" s="144" t="str">
        <x:v>PDU=RRR_Obj09A; startBit=176; length=12; byteOrder=Little; type=UINT16; factor=0.01; offset=0; min=0; max=30; unit=m^2/s^2; receivers=DASy</x:v>
      </x:c>
      <x:c r="D86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3" s="144" t="str">
        <x:v>M2</x:v>
      </x:c>
      <x:c r="F863" s="144" t="str">
        <x:v>Signal 级可编辑配置、数据类型/缩放/端序合同、RTE 接口、边界值与 round-trip 测试。</x:v>
      </x:c>
      <x:c r="G863" s="144" t="str">
        <x:v>raw=0、raw=max、物理 min/max、越界/保留值、端序字节向量、pack→unpack round-trip；1457/1457 通过。</x:v>
      </x:c>
      <x:c r="H863" s="144" t="str">
        <x:v>coem/BYD_UKE/gen_bsw/Com/Com_PBcfg.c:38268; BYD_5R1V_RadarRearcorner_V2.5_AllNodes.dbc:1458</x:v>
      </x:c>
    </x:row>
    <x:row r="864" ht="72" customHeight="1">
      <x:c r="A864" s="144" t="str">
        <x:v>Com-Signal</x:v>
      </x:c>
      <x:c r="B864" s="144" t="str">
        <x:v>COM-SIG-Tx-0722 / RRR_Obj09A_VxVyCoVnce</x:v>
      </x:c>
      <x:c r="C864" s="144" t="str">
        <x:v>PDU=RRR_Obj09A; startBit=288; length=12; byteOrder=Little; type=UINT16; factor=0.01; offset=0; min=0; max=30; unit=m^2/s^2; receivers=DASy</x:v>
      </x:c>
      <x:c r="D86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4" s="144" t="str">
        <x:v>M2</x:v>
      </x:c>
      <x:c r="F864" s="144" t="str">
        <x:v>Signal 级可编辑配置、数据类型/缩放/端序合同、RTE 接口、边界值与 round-trip 测试。</x:v>
      </x:c>
      <x:c r="G864" s="144" t="str">
        <x:v>raw=0、raw=max、物理 min/max、越界/保留值、端序字节向量、pack→unpack round-trip；1457/1457 通过。</x:v>
      </x:c>
      <x:c r="H864" s="144" t="str">
        <x:v>coem/BYD_UKE/gen_bsw/Com/Com_PBcfg.c:38321; BYD_5R1V_RadarRearcorner_V2.5_AllNodes.dbc:1467</x:v>
      </x:c>
    </x:row>
    <x:row r="865" ht="72" customHeight="1">
      <x:c r="A865" s="144" t="str">
        <x:v>Com-Signal</x:v>
      </x:c>
      <x:c r="B865" s="144" t="str">
        <x:v>COM-SIG-Tx-0723 / RRR_Obj09A_Vx</x:v>
      </x:c>
      <x:c r="C865" s="144" t="str">
        <x:v>PDU=RRR_Obj09A; startBit=71; length=12; byteOrder=Little; type=UINT16; factor=0.0625; offset=-128; min=-128; max=127.9375; unit=m/s; receivers=DASy</x:v>
      </x:c>
      <x:c r="D86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5" s="144" t="str">
        <x:v>M2</x:v>
      </x:c>
      <x:c r="F865" s="144" t="str">
        <x:v>Signal 级可编辑配置、数据类型/缩放/端序合同、RTE 接口、边界值与 round-trip 测试。</x:v>
      </x:c>
      <x:c r="G865" s="144" t="str">
        <x:v>raw=0、raw=max、物理 min/max、越界/保留值、端序字节向量、pack→unpack round-trip；1457/1457 通过。</x:v>
      </x:c>
      <x:c r="H865" s="144" t="str">
        <x:v>coem/BYD_UKE/gen_bsw/Com/Com_PBcfg.c:38374; BYD_5R1V_RadarRearcorner_V2.5_AllNodes.dbc:1447</x:v>
      </x:c>
    </x:row>
    <x:row r="866" ht="72" customHeight="1">
      <x:c r="A866" s="144" t="str">
        <x:v>Com-Signal</x:v>
      </x:c>
      <x:c r="B866" s="144" t="str">
        <x:v>COM-SIG-Tx-0724 / RRR_Obj09A_VyAxCoVnce</x:v>
      </x:c>
      <x:c r="C866" s="144" t="str">
        <x:v>PDU=RRR_Obj09A; startBit=336; length=12; byteOrder=Little; type=UINT16; factor=0.01; offset=0; min=0; max=30; unit=m^2/s^3; receivers=DASy</x:v>
      </x:c>
      <x:c r="D86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6" s="144" t="str">
        <x:v>M2</x:v>
      </x:c>
      <x:c r="F866" s="144" t="str">
        <x:v>Signal 级可编辑配置、数据类型/缩放/端序合同、RTE 接口、边界值与 round-trip 测试。</x:v>
      </x:c>
      <x:c r="G866" s="144" t="str">
        <x:v>raw=0、raw=max、物理 min/max、越界/保留值、端序字节向量、pack→unpack round-trip；1457/1457 通过。</x:v>
      </x:c>
      <x:c r="H866" s="144" t="str">
        <x:v>coem/BYD_UKE/gen_bsw/Com/Com_PBcfg.c:38427; BYD_5R1V_RadarRearcorner_V2.5_AllNodes.dbc:1471</x:v>
      </x:c>
    </x:row>
    <x:row r="867" ht="72" customHeight="1">
      <x:c r="A867" s="144" t="str">
        <x:v>Com-Signal</x:v>
      </x:c>
      <x:c r="B867" s="144" t="str">
        <x:v>COM-SIG-Tx-0725 / RRR_Obj09A_VyAyCoVnce</x:v>
      </x:c>
      <x:c r="C867" s="144" t="str">
        <x:v>PDU=RRR_Obj09A; startBit=384; length=12; byteOrder=Little; type=UINT16; factor=0.01; offset=0; min=0; max=30; unit=m^2/s^3; receivers=DASy</x:v>
      </x:c>
      <x:c r="D86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7" s="144" t="str">
        <x:v>M2</x:v>
      </x:c>
      <x:c r="F867" s="144" t="str">
        <x:v>Signal 级可编辑配置、数据类型/缩放/端序合同、RTE 接口、边界值与 round-trip 测试。</x:v>
      </x:c>
      <x:c r="G867" s="144" t="str">
        <x:v>raw=0、raw=max、物理 min/max、越界/保留值、端序字节向量、pack→unpack round-trip；1457/1457 通过。</x:v>
      </x:c>
      <x:c r="H867" s="144" t="str">
        <x:v>coem/BYD_UKE/gen_bsw/Com/Com_PBcfg.c:38480; BYD_5R1V_RadarRearcorner_V2.5_AllNodes.dbc:1475</x:v>
      </x:c>
    </x:row>
    <x:row r="868" ht="72" customHeight="1">
      <x:c r="A868" s="144" t="str">
        <x:v>Com-Signal</x:v>
      </x:c>
      <x:c r="B868" s="144" t="str">
        <x:v>COM-SIG-Tx-0726 / RRR_Obj09A_VyVnce</x:v>
      </x:c>
      <x:c r="C868" s="144" t="str">
        <x:v>PDU=RRR_Obj09A; startBit=188; length=12; byteOrder=Little; type=UINT16; factor=0.01; offset=0; min=0; max=30; unit=m^2/s^2; receivers=DASy</x:v>
      </x:c>
      <x:c r="D86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8" s="144" t="str">
        <x:v>M2</x:v>
      </x:c>
      <x:c r="F868" s="144" t="str">
        <x:v>Signal 级可编辑配置、数据类型/缩放/端序合同、RTE 接口、边界值与 round-trip 测试。</x:v>
      </x:c>
      <x:c r="G868" s="144" t="str">
        <x:v>raw=0、raw=max、物理 min/max、越界/保留值、端序字节向量、pack→unpack round-trip；1457/1457 通过。</x:v>
      </x:c>
      <x:c r="H868" s="144" t="str">
        <x:v>coem/BYD_UKE/gen_bsw/Com/Com_PBcfg.c:38533; BYD_5R1V_RadarRearcorner_V2.5_AllNodes.dbc:1459</x:v>
      </x:c>
    </x:row>
    <x:row r="869" ht="72" customHeight="1">
      <x:c r="A869" s="144" t="str">
        <x:v>Com-Signal</x:v>
      </x:c>
      <x:c r="B869" s="144" t="str">
        <x:v>COM-SIG-Tx-0727 / RRR_Obj09A_Vy</x:v>
      </x:c>
      <x:c r="C869" s="144" t="str">
        <x:v>PDU=RRR_Obj09A; startBit=83; length=10; byteOrder=Little; type=UINT16; factor=0.125; offset=-64; min=-64; max=63.875; unit=m/s; receivers=DASy</x:v>
      </x:c>
      <x:c r="D86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69" s="144" t="str">
        <x:v>M2</x:v>
      </x:c>
      <x:c r="F869" s="144" t="str">
        <x:v>Signal 级可编辑配置、数据类型/缩放/端序合同、RTE 接口、边界值与 round-trip 测试。</x:v>
      </x:c>
      <x:c r="G869" s="144" t="str">
        <x:v>raw=0、raw=max、物理 min/max、越界/保留值、端序字节向量、pack→unpack round-trip；1457/1457 通过。</x:v>
      </x:c>
      <x:c r="H869" s="144" t="str">
        <x:v>coem/BYD_UKE/gen_bsw/Com/Com_PBcfg.c:38586; BYD_5R1V_RadarRearcorner_V2.5_AllNodes.dbc:1448</x:v>
      </x:c>
    </x:row>
    <x:row r="870" ht="72" customHeight="1">
      <x:c r="A870" s="144" t="str">
        <x:v>Com-Signal</x:v>
      </x:c>
      <x:c r="B870" s="144" t="str">
        <x:v>COM-SIG-Tx-0728 / RRR_Obj09A_WidthVnce</x:v>
      </x:c>
      <x:c r="C870" s="144" t="str">
        <x:v>PDU=RRR_Obj09A; startBit=432; length=12; byteOrder=Little; type=UINT16; factor=0.01; offset=0; min=0; max=30; unit=m^2; receivers=DASy</x:v>
      </x:c>
      <x:c r="D87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0" s="144" t="str">
        <x:v>M2</x:v>
      </x:c>
      <x:c r="F870" s="144" t="str">
        <x:v>Signal 级可编辑配置、数据类型/缩放/端序合同、RTE 接口、边界值与 round-trip 测试。</x:v>
      </x:c>
      <x:c r="G870" s="144" t="str">
        <x:v>raw=0、raw=max、物理 min/max、越界/保留值、端序字节向量、pack→unpack round-trip；1457/1457 通过。</x:v>
      </x:c>
      <x:c r="H870" s="144" t="str">
        <x:v>coem/BYD_UKE/gen_bsw/Com/Com_PBcfg.c:38639; BYD_5R1V_RadarRearcorner_V2.5_AllNodes.dbc:1479</x:v>
      </x:c>
    </x:row>
    <x:row r="871" ht="72" customHeight="1">
      <x:c r="A871" s="144" t="str">
        <x:v>Com-Signal</x:v>
      </x:c>
      <x:c r="B871" s="144" t="str">
        <x:v>COM-SIG-Tx-0729 / RRR_Obj09A_Width</x:v>
      </x:c>
      <x:c r="C871" s="144" t="str">
        <x:v>PDU=RRR_Obj09A; startBit=128; length=7; byteOrder=Little; type=UINT8; factor=0.125; offset=0; min=0; max=15.875; unit=m; receivers=DASy</x:v>
      </x:c>
      <x:c r="D87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1" s="144" t="str">
        <x:v>M2</x:v>
      </x:c>
      <x:c r="F871" s="144" t="str">
        <x:v>Signal 级可编辑配置、数据类型/缩放/端序合同、RTE 接口、边界值与 round-trip 测试。</x:v>
      </x:c>
      <x:c r="G871" s="144" t="str">
        <x:v>raw=0、raw=max、物理 min/max、越界/保留值、端序字节向量、pack→unpack round-trip；1457/1457 通过。</x:v>
      </x:c>
      <x:c r="H871" s="144" t="str">
        <x:v>coem/BYD_UKE/gen_bsw/Com/Com_PBcfg.c:38692; BYD_5R1V_RadarRearcorner_V2.5_AllNodes.dbc:1453</x:v>
      </x:c>
    </x:row>
    <x:row r="872" ht="72" customHeight="1">
      <x:c r="A872" s="144" t="str">
        <x:v>Com-Signal</x:v>
      </x:c>
      <x:c r="B872" s="144" t="str">
        <x:v>COM-SIG-Tx-0730 / RRR_Obj09A_Type</x:v>
      </x:c>
      <x:c r="C872" s="144" t="str">
        <x:v>PDU=RRR_Obj09B; startBit=82; length=6; byteOrder=Little; type=UINT8; factor=1（Com原始值）; offset=0（Com原始值）; min=按位宽/类型; max=按位宽/类型; unit=-; receivers=-</x:v>
      </x:c>
      <x:c r="D872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72" s="144" t="str">
        <x:v>M2</x:v>
      </x:c>
      <x:c r="F872" s="144" t="str">
        <x:v>Signal 级可编辑配置、数据类型/缩放/端序合同、RTE 接口、边界值与 round-trip 测试。</x:v>
      </x:c>
      <x:c r="G872" s="144" t="str">
        <x:v>raw=0、raw=max、物理 min/max、越界/保留值、端序字节向量、pack→unpack round-trip；1457/1457 通过。</x:v>
      </x:c>
      <x:c r="H872" s="144" t="str">
        <x:v>coem/BYD_UKE/gen_bsw/Com/Com_PBcfg.c:38745</x:v>
      </x:c>
    </x:row>
    <x:row r="873" ht="72" customHeight="1">
      <x:c r="A873" s="144" t="str">
        <x:v>Com-Signal</x:v>
      </x:c>
      <x:c r="B873" s="144" t="str">
        <x:v>COM-SIG-Tx-0731 / RRR_Obj09B_AliveCtr</x:v>
      </x:c>
      <x:c r="C873" s="144" t="str">
        <x:v>PDU=RRR_Obj09B; startBit=16; length=8; byteOrder=Little; type=UINT8; factor=1; offset=0; min=0; max=255; unit=-; receivers=DASy</x:v>
      </x:c>
      <x:c r="D87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3" s="144" t="str">
        <x:v>M2</x:v>
      </x:c>
      <x:c r="F873" s="144" t="str">
        <x:v>Signal 级可编辑配置、数据类型/缩放/端序合同、RTE 接口、边界值与 round-trip 测试。</x:v>
      </x:c>
      <x:c r="G873" s="144" t="str">
        <x:v>raw=0、raw=max、物理 min/max、越界/保留值、端序字节向量、pack→unpack round-trip；1457/1457 通过。</x:v>
      </x:c>
      <x:c r="H873" s="144" t="str">
        <x:v>coem/BYD_UKE/gen_bsw/Com/Com_PBcfg.c:38798; BYD_5R1V_RadarRearcorner_V2.5_AllNodes.dbc:1491</x:v>
      </x:c>
    </x:row>
    <x:row r="874" ht="72" customHeight="1">
      <x:c r="A874" s="144" t="str">
        <x:v>Com-Signal</x:v>
      </x:c>
      <x:c r="B874" s="144" t="str">
        <x:v>COM-SIG-Tx-0732 / RRR_Obj09B_BehaviorType</x:v>
      </x:c>
      <x:c r="C874" s="144" t="str">
        <x:v>PDU=RRR_Obj09B; startBit=88; length=3; byteOrder=Little; type=UINT8; factor=1; offset=0; min=0; max=7; unit=-; receivers=DASy</x:v>
      </x:c>
      <x:c r="D87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4" s="144" t="str">
        <x:v>M2</x:v>
      </x:c>
      <x:c r="F874" s="144" t="str">
        <x:v>Signal 级可编辑配置、数据类型/缩放/端序合同、RTE 接口、边界值与 round-trip 测试。</x:v>
      </x:c>
      <x:c r="G874" s="144" t="str">
        <x:v>raw=0、raw=max、物理 min/max、越界/保留值、端序字节向量、pack→unpack round-trip；1457/1457 通过。</x:v>
      </x:c>
      <x:c r="H874" s="144" t="str">
        <x:v>coem/BYD_UKE/gen_bsw/Com/Com_PBcfg.c:38851; BYD_5R1V_RadarRearcorner_V2.5_AllNodes.dbc:1499</x:v>
      </x:c>
    </x:row>
    <x:row r="875" ht="72" customHeight="1">
      <x:c r="A875" s="144" t="str">
        <x:v>Com-Signal</x:v>
      </x:c>
      <x:c r="B875" s="144" t="str">
        <x:v>COM-SIG-Tx-0733 / RRR_Obj09B_CRC</x:v>
      </x:c>
      <x:c r="C875" s="144" t="str">
        <x:v>PDU=RRR_Obj09B; startBit=0; length=16; byteOrder=Little; type=UINT16; factor=1; offset=0; min=0; max=65535; unit=-; receivers=DASy</x:v>
      </x:c>
      <x:c r="D87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5" s="144" t="str">
        <x:v>M2</x:v>
      </x:c>
      <x:c r="F875" s="144" t="str">
        <x:v>Signal 级可编辑配置、数据类型/缩放/端序合同、RTE 接口、边界值与 round-trip 测试。</x:v>
      </x:c>
      <x:c r="G875" s="144" t="str">
        <x:v>raw=0、raw=max、物理 min/max、越界/保留值、端序字节向量、pack→unpack round-trip；1457/1457 通过。</x:v>
      </x:c>
      <x:c r="H875" s="144" t="str">
        <x:v>coem/BYD_UKE/gen_bsw/Com/Com_PBcfg.c:38904; BYD_5R1V_RadarRearcorner_V2.5_AllNodes.dbc:1490</x:v>
      </x:c>
    </x:row>
    <x:row r="876" ht="72" customHeight="1">
      <x:c r="A876" s="144" t="str">
        <x:v>Com-Signal</x:v>
      </x:c>
      <x:c r="B876" s="144" t="str">
        <x:v>COM-SIG-Tx-0734 / RRR_Obj09B_MovingProbability</x:v>
      </x:c>
      <x:c r="C876" s="144" t="str">
        <x:v>PDU=RRR_Obj09B; startBit=76; length=6; byteOrder=Little; type=UINT8; factor=2; offset=0; min=0; max=100; unit=%; receivers=DASy</x:v>
      </x:c>
      <x:c r="D87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6" s="144" t="str">
        <x:v>M2</x:v>
      </x:c>
      <x:c r="F876" s="144" t="str">
        <x:v>Signal 级可编辑配置、数据类型/缩放/端序合同、RTE 接口、边界值与 round-trip 测试。</x:v>
      </x:c>
      <x:c r="G876" s="144" t="str">
        <x:v>raw=0、raw=max、物理 min/max、越界/保留值、端序字节向量、pack→unpack round-trip；1457/1457 通过。</x:v>
      </x:c>
      <x:c r="H876" s="144" t="str">
        <x:v>coem/BYD_UKE/gen_bsw/Com/Com_PBcfg.c:38957; BYD_5R1V_RadarRearcorner_V2.5_AllNodes.dbc:1487</x:v>
      </x:c>
    </x:row>
    <x:row r="877" ht="72" customHeight="1">
      <x:c r="A877" s="144" t="str">
        <x:v>Com-Signal</x:v>
      </x:c>
      <x:c r="B877" s="144" t="str">
        <x:v>COM-SIG-Tx-0735 / RRR_Obj09B_Prob4PlusWhlCAR</x:v>
      </x:c>
      <x:c r="C877" s="144" t="str">
        <x:v>PDU=RRR_Obj09B; startBit=46; length=6; byteOrder=Little; type=UINT8; factor=2; offset=0; min=0; max=100; unit=%; receivers=DASy</x:v>
      </x:c>
      <x:c r="D87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7" s="144" t="str">
        <x:v>M2</x:v>
      </x:c>
      <x:c r="F877" s="144" t="str">
        <x:v>Signal 级可编辑配置、数据类型/缩放/端序合同、RTE 接口、边界值与 round-trip 测试。</x:v>
      </x:c>
      <x:c r="G877" s="144" t="str">
        <x:v>raw=0、raw=max、物理 min/max、越界/保留值、端序字节向量、pack→unpack round-trip；1457/1457 通过。</x:v>
      </x:c>
      <x:c r="H877" s="144" t="str">
        <x:v>coem/BYD_UKE/gen_bsw/Com/Com_PBcfg.c:39010; BYD_5R1V_RadarRearcorner_V2.5_AllNodes.dbc:1496</x:v>
      </x:c>
    </x:row>
    <x:row r="878" ht="72" customHeight="1">
      <x:c r="A878" s="144" t="str">
        <x:v>Com-Signal</x:v>
      </x:c>
      <x:c r="B878" s="144" t="str">
        <x:v>COM-SIG-Tx-0736 / RRR_Obj09B_Prob4PlusWhlbHGV</x:v>
      </x:c>
      <x:c r="C878" s="144" t="str">
        <x:v>PDU=RRR_Obj09B; startBit=52; length=6; byteOrder=Little; type=UINT8; factor=2; offset=0; min=0; max=100; unit=%; receivers=DASy</x:v>
      </x:c>
      <x:c r="D87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8" s="144" t="str">
        <x:v>M2</x:v>
      </x:c>
      <x:c r="F878" s="144" t="str">
        <x:v>Signal 级可编辑配置、数据类型/缩放/端序合同、RTE 接口、边界值与 round-trip 测试。</x:v>
      </x:c>
      <x:c r="G878" s="144" t="str">
        <x:v>raw=0、raw=max、物理 min/max、越界/保留值、端序字节向量、pack→unpack round-trip；1457/1457 通过。</x:v>
      </x:c>
      <x:c r="H878" s="144" t="str">
        <x:v>coem/BYD_UKE/gen_bsw/Com/Com_PBcfg.c:39063; BYD_5R1V_RadarRearcorner_V2.5_AllNodes.dbc:1497</x:v>
      </x:c>
    </x:row>
    <x:row r="879" ht="72" customHeight="1">
      <x:c r="A879" s="144" t="str">
        <x:v>Com-Signal</x:v>
      </x:c>
      <x:c r="B879" s="144" t="str">
        <x:v>COM-SIG-Tx-0737 / RRR_Obj09B_ProbGNDReflex</x:v>
      </x:c>
      <x:c r="C879" s="144" t="str">
        <x:v>PDU=RRR_Obj09B; startBit=58; length=6; byteOrder=Little; type=UINT8; factor=2; offset=0; min=0; max=100; unit=%; receivers=DASy</x:v>
      </x:c>
      <x:c r="D87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79" s="144" t="str">
        <x:v>M2</x:v>
      </x:c>
      <x:c r="F879" s="144" t="str">
        <x:v>Signal 级可编辑配置、数据类型/缩放/端序合同、RTE 接口、边界值与 round-trip 测试。</x:v>
      </x:c>
      <x:c r="G879" s="144" t="str">
        <x:v>raw=0、raw=max、物理 min/max、越界/保留值、端序字节向量、pack→unpack round-trip；1457/1457 通过。</x:v>
      </x:c>
      <x:c r="H879" s="144" t="str">
        <x:v>coem/BYD_UKE/gen_bsw/Com/Com_PBcfg.c:39116; BYD_5R1V_RadarRearcorner_V2.5_AllNodes.dbc:1498</x:v>
      </x:c>
    </x:row>
    <x:row r="880" ht="72" customHeight="1">
      <x:c r="A880" s="144" t="str">
        <x:v>Com-Signal</x:v>
      </x:c>
      <x:c r="B880" s="144" t="str">
        <x:v>COM-SIG-Tx-0738 / RRR_Obj09B_ProbMob2Whl</x:v>
      </x:c>
      <x:c r="C880" s="144" t="str">
        <x:v>PDU=RRR_Obj09B; startBit=34; length=6; byteOrder=Little; type=UINT8; factor=2; offset=0; min=0; max=100; unit=%; receivers=DASy</x:v>
      </x:c>
      <x:c r="D88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0" s="144" t="str">
        <x:v>M2</x:v>
      </x:c>
      <x:c r="F880" s="144" t="str">
        <x:v>Signal 级可编辑配置、数据类型/缩放/端序合同、RTE 接口、边界值与 round-trip 测试。</x:v>
      </x:c>
      <x:c r="G880" s="144" t="str">
        <x:v>raw=0、raw=max、物理 min/max、越界/保留值、端序字节向量、pack→unpack round-trip；1457/1457 通过。</x:v>
      </x:c>
      <x:c r="H880" s="144" t="str">
        <x:v>coem/BYD_UKE/gen_bsw/Com/Com_PBcfg.c:39169; BYD_5R1V_RadarRearcorner_V2.5_AllNodes.dbc:1494</x:v>
      </x:c>
    </x:row>
    <x:row r="881" ht="72" customHeight="1">
      <x:c r="A881" s="144" t="str">
        <x:v>Com-Signal</x:v>
      </x:c>
      <x:c r="B881" s="144" t="str">
        <x:v>COM-SIG-Tx-0739 / RRR_Obj09B_ProbMob4PlusWhl</x:v>
      </x:c>
      <x:c r="C881" s="144" t="str">
        <x:v>PDU=RRR_Obj09B; startBit=28; length=6; byteOrder=Little; type=UINT8; factor=2; offset=0; min=0; max=100; unit=%; receivers=DASy</x:v>
      </x:c>
      <x:c r="D88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1" s="144" t="str">
        <x:v>M2</x:v>
      </x:c>
      <x:c r="F881" s="144" t="str">
        <x:v>Signal 级可编辑配置、数据类型/缩放/端序合同、RTE 接口、边界值与 round-trip 测试。</x:v>
      </x:c>
      <x:c r="G881" s="144" t="str">
        <x:v>raw=0、raw=max、物理 min/max、越界/保留值、端序字节向量、pack→unpack round-trip；1457/1457 通过。</x:v>
      </x:c>
      <x:c r="H881" s="144" t="str">
        <x:v>coem/BYD_UKE/gen_bsw/Com/Com_PBcfg.c:39222; BYD_5R1V_RadarRearcorner_V2.5_AllNodes.dbc:1493</x:v>
      </x:c>
    </x:row>
    <x:row r="882" ht="72" customHeight="1">
      <x:c r="A882" s="144" t="str">
        <x:v>Com-Signal</x:v>
      </x:c>
      <x:c r="B882" s="144" t="str">
        <x:v>COM-SIG-Tx-0740 / RRR_Obj09B_ProbMobPed</x:v>
      </x:c>
      <x:c r="C882" s="144" t="str">
        <x:v>PDU=RRR_Obj09B; startBit=40; length=6; byteOrder=Little; type=UINT8; factor=2; offset=0; min=0; max=100; unit=%; receivers=DASy</x:v>
      </x:c>
      <x:c r="D88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2" s="144" t="str">
        <x:v>M2</x:v>
      </x:c>
      <x:c r="F882" s="144" t="str">
        <x:v>Signal 级可编辑配置、数据类型/缩放/端序合同、RTE 接口、边界值与 round-trip 测试。</x:v>
      </x:c>
      <x:c r="G882" s="144" t="str">
        <x:v>raw=0、raw=max、物理 min/max、越界/保留值、端序字节向量、pack→unpack round-trip；1457/1457 通过。</x:v>
      </x:c>
      <x:c r="H882" s="144" t="str">
        <x:v>coem/BYD_UKE/gen_bsw/Com/Com_PBcfg.c:39275; BYD_5R1V_RadarRearcorner_V2.5_AllNodes.dbc:1495</x:v>
      </x:c>
    </x:row>
    <x:row r="883" ht="72" customHeight="1">
      <x:c r="A883" s="144" t="str">
        <x:v>Com-Signal</x:v>
      </x:c>
      <x:c r="B883" s="144" t="str">
        <x:v>COM-SIG-Tx-0741 / RRR_Obj09B_ProbStatBarrier</x:v>
      </x:c>
      <x:c r="C883" s="144" t="str">
        <x:v>PDU=RRR_Obj09B; startBit=64; length=6; byteOrder=Little; type=UINT8; factor=2; offset=0; min=0; max=100; unit=%; receivers=DASy</x:v>
      </x:c>
      <x:c r="D88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3" s="144" t="str">
        <x:v>M2</x:v>
      </x:c>
      <x:c r="F883" s="144" t="str">
        <x:v>Signal 级可编辑配置、数据类型/缩放/端序合同、RTE 接口、边界值与 round-trip 测试。</x:v>
      </x:c>
      <x:c r="G883" s="144" t="str">
        <x:v>raw=0、raw=max、物理 min/max、越界/保留值、端序字节向量、pack→unpack round-trip；1457/1457 通过。</x:v>
      </x:c>
      <x:c r="H883" s="144" t="str">
        <x:v>coem/BYD_UKE/gen_bsw/Com/Com_PBcfg.c:39328; BYD_5R1V_RadarRearcorner_V2.5_AllNodes.dbc:1489</x:v>
      </x:c>
    </x:row>
    <x:row r="884" ht="72" customHeight="1">
      <x:c r="A884" s="144" t="str">
        <x:v>Com-Signal</x:v>
      </x:c>
      <x:c r="B884" s="144" t="str">
        <x:v>COM-SIG-Tx-0742 / RRR_Obj09B_ProbStatObst</x:v>
      </x:c>
      <x:c r="C884" s="144" t="str">
        <x:v>PDU=RRR_Obj09B; startBit=70; length=6; byteOrder=Little; type=UINT8; factor=2; offset=0; min=0; max=100; unit=%; receivers=DASy</x:v>
      </x:c>
      <x:c r="D88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4" s="144" t="str">
        <x:v>M2</x:v>
      </x:c>
      <x:c r="F884" s="144" t="str">
        <x:v>Signal 级可编辑配置、数据类型/缩放/端序合同、RTE 接口、边界值与 round-trip 测试。</x:v>
      </x:c>
      <x:c r="G884" s="144" t="str">
        <x:v>raw=0、raw=max、物理 min/max、越界/保留值、端序字节向量、pack→unpack round-trip；1457/1457 通过。</x:v>
      </x:c>
      <x:c r="H884" s="144" t="str">
        <x:v>coem/BYD_UKE/gen_bsw/Com/Com_PBcfg.c:39381; BYD_5R1V_RadarRearcorner_V2.5_AllNodes.dbc:1488</x:v>
      </x:c>
    </x:row>
    <x:row r="885" ht="72" customHeight="1">
      <x:c r="A885" s="144" t="str">
        <x:v>Com-Signal</x:v>
      </x:c>
      <x:c r="B885" s="144" t="str">
        <x:v>COM-SIG-Tx-0743 / RRR_Obj09B_ProtBlockCtr</x:v>
      </x:c>
      <x:c r="C885" s="144" t="str">
        <x:v>PDU=RRR_Obj09B; startBit=24; length=4; byteOrder=Little; type=UINT8; factor=1; offset=0; min=0; max=15; unit=-; receivers=DASy</x:v>
      </x:c>
      <x:c r="D88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5" s="144" t="str">
        <x:v>M2</x:v>
      </x:c>
      <x:c r="F885" s="144" t="str">
        <x:v>Signal 级可编辑配置、数据类型/缩放/端序合同、RTE 接口、边界值与 round-trip 测试。</x:v>
      </x:c>
      <x:c r="G885" s="144" t="str">
        <x:v>raw=0、raw=max、物理 min/max、越界/保留值、端序字节向量、pack→unpack round-trip；1457/1457 通过。</x:v>
      </x:c>
      <x:c r="H885" s="144" t="str">
        <x:v>coem/BYD_UKE/gen_bsw/Com/Com_PBcfg.c:39434; BYD_5R1V_RadarRearcorner_V2.5_AllNodes.dbc:1492</x:v>
      </x:c>
    </x:row>
    <x:row r="886" ht="72" customHeight="1">
      <x:c r="A886" s="144" t="str">
        <x:v>Com-Signal</x:v>
      </x:c>
      <x:c r="B886" s="144" t="str">
        <x:v>COM-SIG-Tx-0744 / RRR_ObjHdr_AliveCtr</x:v>
      </x:c>
      <x:c r="C886" s="144" t="str">
        <x:v>PDU=RRR_ObjHdr; startBit=16; length=8; byteOrder=Little; type=UINT8; factor=1; offset=0; min=0; max=255; unit=-; receivers=DASy</x:v>
      </x:c>
      <x:c r="D88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6" s="144" t="str">
        <x:v>M2</x:v>
      </x:c>
      <x:c r="F886" s="144" t="str">
        <x:v>Signal 级可编辑配置、数据类型/缩放/端序合同、RTE 接口、边界值与 round-trip 测试。</x:v>
      </x:c>
      <x:c r="G886" s="144" t="str">
        <x:v>raw=0、raw=max、物理 min/max、越界/保留值、端序字节向量、pack→unpack round-trip；1457/1457 通过。</x:v>
      </x:c>
      <x:c r="H886" s="144" t="str">
        <x:v>coem/BYD_UKE/gen_bsw/Com/Com_PBcfg.c:39487; BYD_5R1V_RadarRearcorner_V2.5_AllNodes.dbc:818</x:v>
      </x:c>
    </x:row>
    <x:row r="887" ht="72" customHeight="1">
      <x:c r="A887" s="144" t="str">
        <x:v>Com-Signal</x:v>
      </x:c>
      <x:c r="B887" s="144" t="str">
        <x:v>COM-SIG-Tx-0745 / RRR_ObjHdr_AziOutOfSpec</x:v>
      </x:c>
      <x:c r="C887" s="144" t="str">
        <x:v>PDU=RRR_ObjHdr; startBit=183; length=1; byteOrder=Little; type=UINT8; factor=1; offset=0; min=0; max=1; unit=-; receivers=DASy</x:v>
      </x:c>
      <x:c r="D88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7" s="144" t="str">
        <x:v>M2</x:v>
      </x:c>
      <x:c r="F887" s="144" t="str">
        <x:v>Signal 级可编辑配置、数据类型/缩放/端序合同、RTE 接口、边界值与 round-trip 测试。</x:v>
      </x:c>
      <x:c r="G887" s="144" t="str">
        <x:v>raw=0、raw=max、物理 min/max、越界/保留值、端序字节向量、pack→unpack round-trip；1457/1457 通过。</x:v>
      </x:c>
      <x:c r="H887" s="144" t="str">
        <x:v>coem/BYD_UKE/gen_bsw/Com/Com_PBcfg.c:39540; BYD_5R1V_RadarRearcorner_V2.5_AllNodes.dbc:830</x:v>
      </x:c>
    </x:row>
    <x:row r="888" ht="72" customHeight="1">
      <x:c r="A888" s="144" t="str">
        <x:v>Com-Signal</x:v>
      </x:c>
      <x:c r="B888" s="144" t="str">
        <x:v>COM-SIG-Tx-0746 / RRR_ObjHdr_CRC</x:v>
      </x:c>
      <x:c r="C888" s="144" t="str">
        <x:v>PDU=RRR_ObjHdr; startBit=0; length=16; byteOrder=Little; type=UINT16; factor=1; offset=0; min=0; max=65535; unit=-; receivers=DASy</x:v>
      </x:c>
      <x:c r="D88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8" s="144" t="str">
        <x:v>M2</x:v>
      </x:c>
      <x:c r="F888" s="144" t="str">
        <x:v>Signal 级可编辑配置、数据类型/缩放/端序合同、RTE 接口、边界值与 round-trip 测试。</x:v>
      </x:c>
      <x:c r="G888" s="144" t="str">
        <x:v>raw=0、raw=max、物理 min/max、越界/保留值、端序字节向量、pack→unpack round-trip；1457/1457 通过。</x:v>
      </x:c>
      <x:c r="H888" s="144" t="str">
        <x:v>coem/BYD_UKE/gen_bsw/Com/Com_PBcfg.c:39593; BYD_5R1V_RadarRearcorner_V2.5_AllNodes.dbc:817</x:v>
      </x:c>
    </x:row>
    <x:row r="889" ht="72" customHeight="1">
      <x:c r="A889" s="144" t="str">
        <x:v>Com-Signal</x:v>
      </x:c>
      <x:c r="B889" s="144" t="str">
        <x:v>COM-SIG-Tx-0747 / RRR_ObjHdr_DetectionRange</x:v>
      </x:c>
      <x:c r="C889" s="144" t="str">
        <x:v>PDU=RRR_ObjHdr; startBit=248; length=9; byteOrder=Little; type=UINT16; factor=1; offset=0; min=0; max=511; unit=m; receivers=DASy</x:v>
      </x:c>
      <x:c r="D88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89" s="144" t="str">
        <x:v>M2</x:v>
      </x:c>
      <x:c r="F889" s="144" t="str">
        <x:v>Signal 级可编辑配置、数据类型/缩放/端序合同、RTE 接口、边界值与 round-trip 测试。</x:v>
      </x:c>
      <x:c r="G889" s="144" t="str">
        <x:v>raw=0、raw=max、物理 min/max、越界/保留值、端序字节向量、pack→unpack round-trip；1457/1457 通过。</x:v>
      </x:c>
      <x:c r="H889" s="144" t="str">
        <x:v>coem/BYD_UKE/gen_bsw/Com/Com_PBcfg.c:39646; BYD_5R1V_RadarRearcorner_V2.5_AllNodes.dbc:839</x:v>
      </x:c>
    </x:row>
    <x:row r="890" ht="72" customHeight="1">
      <x:c r="A890" s="144" t="str">
        <x:v>Com-Signal</x:v>
      </x:c>
      <x:c r="B890" s="144" t="str">
        <x:v>COM-SIG-Tx-0748 / RRR_ObjHdr_ElevOutOfSpec</x:v>
      </x:c>
      <x:c r="C890" s="144" t="str">
        <x:v>PDU=RRR_ObjHdr; startBit=199; length=1; byteOrder=Little; type=UINT8; factor=1; offset=0; min=0; max=1; unit=-; receivers=DASy</x:v>
      </x:c>
      <x:c r="D89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0" s="144" t="str">
        <x:v>M2</x:v>
      </x:c>
      <x:c r="F890" s="144" t="str">
        <x:v>Signal 级可编辑配置、数据类型/缩放/端序合同、RTE 接口、边界值与 round-trip 测试。</x:v>
      </x:c>
      <x:c r="G890" s="144" t="str">
        <x:v>raw=0、raw=max、物理 min/max、越界/保留值、端序字节向量、pack→unpack round-trip；1457/1457 通过。</x:v>
      </x:c>
      <x:c r="H890" s="144" t="str">
        <x:v>coem/BYD_UKE/gen_bsw/Com/Com_PBcfg.c:39699; BYD_5R1V_RadarRearcorner_V2.5_AllNodes.dbc:831</x:v>
      </x:c>
    </x:row>
    <x:row r="891" ht="72" customHeight="1">
      <x:c r="A891" s="144" t="str">
        <x:v>Com-Signal</x:v>
      </x:c>
      <x:c r="B891" s="144" t="str">
        <x:v>COM-SIG-Tx-0749 / RRR_ObjHdr_MountPosX</x:v>
      </x:c>
      <x:c r="C891" s="144" t="str">
        <x:v>PDU=RRR_ObjHdr; startBit=136; length=9; byteOrder=Little; type=UINT16; factor=0.02; offset=-5.12; min=-5.12; max=5.1; unit=m; receivers=DASy</x:v>
      </x:c>
      <x:c r="D89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1" s="144" t="str">
        <x:v>M2</x:v>
      </x:c>
      <x:c r="F891" s="144" t="str">
        <x:v>Signal 级可编辑配置、数据类型/缩放/端序合同、RTE 接口、边界值与 round-trip 测试。</x:v>
      </x:c>
      <x:c r="G891" s="144" t="str">
        <x:v>raw=0、raw=max、物理 min/max、越界/保留值、端序字节向量、pack→unpack round-trip；1457/1457 通过。</x:v>
      </x:c>
      <x:c r="H891" s="144" t="str">
        <x:v>coem/BYD_UKE/gen_bsw/Com/Com_PBcfg.c:39752; BYD_5R1V_RadarRearcorner_V2.5_AllNodes.dbc:826</x:v>
      </x:c>
    </x:row>
    <x:row r="892" ht="72" customHeight="1">
      <x:c r="A892" s="144" t="str">
        <x:v>Com-Signal</x:v>
      </x:c>
      <x:c r="B892" s="144" t="str">
        <x:v>COM-SIG-Tx-0750 / RRR_ObjHdr_MountPosY</x:v>
      </x:c>
      <x:c r="C892" s="144" t="str">
        <x:v>PDU=RRR_ObjHdr; startBit=128; length=8; byteOrder=Little; type=UINT8; factor=0.01; offset=-1.28; min=-1.28; max=1.27; unit=m; receivers=DASy</x:v>
      </x:c>
      <x:c r="D89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2" s="144" t="str">
        <x:v>M2</x:v>
      </x:c>
      <x:c r="F892" s="144" t="str">
        <x:v>Signal 级可编辑配置、数据类型/缩放/端序合同、RTE 接口、边界值与 round-trip 测试。</x:v>
      </x:c>
      <x:c r="G892" s="144" t="str">
        <x:v>raw=0、raw=max、物理 min/max、越界/保留值、端序字节向量、pack→unpack round-trip；1457/1457 通过。</x:v>
      </x:c>
      <x:c r="H892" s="144" t="str">
        <x:v>coem/BYD_UKE/gen_bsw/Com/Com_PBcfg.c:39805; BYD_5R1V_RadarRearcorner_V2.5_AllNodes.dbc:827</x:v>
      </x:c>
    </x:row>
    <x:row r="893" ht="72" customHeight="1">
      <x:c r="A893" s="144" t="str">
        <x:v>Com-Signal</x:v>
      </x:c>
      <x:c r="B893" s="144" t="str">
        <x:v>COM-SIG-Tx-0751 / RRR_ObjHdr_MountPosZ</x:v>
      </x:c>
      <x:c r="C893" s="144" t="str">
        <x:v>PDU=RRR_ObjHdr; startBit=145; length=5; byteOrder=Little; type=UINT8; factor=0.05; offset=0; min=0; max=1.55; unit=m; receivers=DASy</x:v>
      </x:c>
      <x:c r="D89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3" s="144" t="str">
        <x:v>M2</x:v>
      </x:c>
      <x:c r="F893" s="144" t="str">
        <x:v>Signal 级可编辑配置、数据类型/缩放/端序合同、RTE 接口、边界值与 round-trip 测试。</x:v>
      </x:c>
      <x:c r="G893" s="144" t="str">
        <x:v>raw=0、raw=max、物理 min/max、越界/保留值、端序字节向量、pack→unpack round-trip；1457/1457 通过。</x:v>
      </x:c>
      <x:c r="H893" s="144" t="str">
        <x:v>coem/BYD_UKE/gen_bsw/Com/Com_PBcfg.c:39858; BYD_5R1V_RadarRearcorner_V2.5_AllNodes.dbc:828</x:v>
      </x:c>
    </x:row>
    <x:row r="894" ht="72" customHeight="1">
      <x:c r="A894" s="144" t="str">
        <x:v>Com-Signal</x:v>
      </x:c>
      <x:c r="B894" s="144" t="str">
        <x:v>COM-SIG-Tx-0752 / RRR_ObjHdr_ObjectDownSel</x:v>
      </x:c>
      <x:c r="C894" s="144" t="str">
        <x:v>PDU=RRR_ObjHdr; startBit=151; length=1; byteOrder=Little; type=UINT8; factor=1; offset=0; min=0; max=1; unit=-; receivers=DASy</x:v>
      </x:c>
      <x:c r="D89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4" s="144" t="str">
        <x:v>M2</x:v>
      </x:c>
      <x:c r="F894" s="144" t="str">
        <x:v>Signal 级可编辑配置、数据类型/缩放/端序合同、RTE 接口、边界值与 round-trip 测试。</x:v>
      </x:c>
      <x:c r="G894" s="144" t="str">
        <x:v>raw=0、raw=max、物理 min/max、越界/保留值、端序字节向量、pack→unpack round-trip；1457/1457 通过。</x:v>
      </x:c>
      <x:c r="H894" s="144" t="str">
        <x:v>coem/BYD_UKE/gen_bsw/Com/Com_PBcfg.c:39911; BYD_5R1V_RadarRearcorner_V2.5_AllNodes.dbc:829</x:v>
      </x:c>
    </x:row>
    <x:row r="895" ht="72" customHeight="1">
      <x:c r="A895" s="144" t="str">
        <x:v>Com-Signal</x:v>
      </x:c>
      <x:c r="B895" s="144" t="str">
        <x:v>COM-SIG-Tx-0753 / RRR_ObjHdr_PitchAngleLower</x:v>
      </x:c>
      <x:c r="C895" s="144" t="str">
        <x:v>PDU=RRR_ObjHdr; startBit=212; length=12; byteOrder=Little; type=UINT16; factor=0.00017; offset=-0.34816; min=-0.34816; max=0.34799; unit=rad; receivers=DASy</x:v>
      </x:c>
      <x:c r="D89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5" s="144" t="str">
        <x:v>M2</x:v>
      </x:c>
      <x:c r="F895" s="144" t="str">
        <x:v>Signal 级可编辑配置、数据类型/缩放/端序合同、RTE 接口、边界值与 round-trip 测试。</x:v>
      </x:c>
      <x:c r="G895" s="144" t="str">
        <x:v>raw=0、raw=max、物理 min/max、越界/保留值、端序字节向量、pack→unpack round-trip；1457/1457 通过。</x:v>
      </x:c>
      <x:c r="H895" s="144" t="str">
        <x:v>coem/BYD_UKE/gen_bsw/Com/Com_PBcfg.c:39964; BYD_5R1V_RadarRearcorner_V2.5_AllNodes.dbc:836</x:v>
      </x:c>
    </x:row>
    <x:row r="896" ht="72" customHeight="1">
      <x:c r="A896" s="144" t="str">
        <x:v>Com-Signal</x:v>
      </x:c>
      <x:c r="B896" s="144" t="str">
        <x:v>COM-SIG-Tx-0754 / RRR_ObjHdr_PitchAngleUpper</x:v>
      </x:c>
      <x:c r="C896" s="144" t="str">
        <x:v>PDU=RRR_ObjHdr; startBit=224; length=12; byteOrder=Little; type=UINT16; factor=0.00017; offset=-0.34816; min=-0.34816; max=0.34799; unit=rad; receivers=DASy</x:v>
      </x:c>
      <x:c r="D89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6" s="144" t="str">
        <x:v>M2</x:v>
      </x:c>
      <x:c r="F896" s="144" t="str">
        <x:v>Signal 级可编辑配置、数据类型/缩放/端序合同、RTE 接口、边界值与 round-trip 测试。</x:v>
      </x:c>
      <x:c r="G896" s="144" t="str">
        <x:v>raw=0、raw=max、物理 min/max、越界/保留值、端序字节向量、pack→unpack round-trip；1457/1457 通过。</x:v>
      </x:c>
      <x:c r="H896" s="144" t="str">
        <x:v>coem/BYD_UKE/gen_bsw/Com/Com_PBcfg.c:40017; BYD_5R1V_RadarRearcorner_V2.5_AllNodes.dbc:837</x:v>
      </x:c>
    </x:row>
    <x:row r="897" ht="72" customHeight="1">
      <x:c r="A897" s="144" t="str">
        <x:v>Com-Signal</x:v>
      </x:c>
      <x:c r="B897" s="144" t="str">
        <x:v>COM-SIG-Tx-0755 / RRR_ObjHdr_PitchMountAngle</x:v>
      </x:c>
      <x:c r="C897" s="144" t="str">
        <x:v>PDU=RRR_ObjHdr; startBit=200; length=12; byteOrder=Little; type=UINT16; factor=0.00017; offset=-0.34816; min=-0.34816; max=0.34799; unit=rad; receivers=DASy</x:v>
      </x:c>
      <x:c r="D89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7" s="144" t="str">
        <x:v>M2</x:v>
      </x:c>
      <x:c r="F897" s="144" t="str">
        <x:v>Signal 级可编辑配置、数据类型/缩放/端序合同、RTE 接口、边界值与 round-trip 测试。</x:v>
      </x:c>
      <x:c r="G897" s="144" t="str">
        <x:v>raw=0、raw=max、物理 min/max、越界/保留值、端序字节向量、pack→unpack round-trip；1457/1457 通过。</x:v>
      </x:c>
      <x:c r="H897" s="144" t="str">
        <x:v>coem/BYD_UKE/gen_bsw/Com/Com_PBcfg.c:40070; BYD_5R1V_RadarRearcorner_V2.5_AllNodes.dbc:835</x:v>
      </x:c>
    </x:row>
    <x:row r="898" ht="72" customHeight="1">
      <x:c r="A898" s="144" t="str">
        <x:v>Com-Signal</x:v>
      </x:c>
      <x:c r="B898" s="144" t="str">
        <x:v>COM-SIG-Tx-0756 / RRR_ObjHdr_ProtBlockCtr</x:v>
      </x:c>
      <x:c r="C898" s="144" t="str">
        <x:v>PDU=RRR_ObjHdr; startBit=24; length=4; byteOrder=Little; type=UINT8; factor=1; offset=0; min=0; max=15; unit=-; receivers=DASy</x:v>
      </x:c>
      <x:c r="D89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8" s="144" t="str">
        <x:v>M2</x:v>
      </x:c>
      <x:c r="F898" s="144" t="str">
        <x:v>Signal 级可编辑配置、数据类型/缩放/端序合同、RTE 接口、边界值与 round-trip 测试。</x:v>
      </x:c>
      <x:c r="G898" s="144" t="str">
        <x:v>raw=0、raw=max、物理 min/max、越界/保留值、端序字节向量、pack→unpack round-trip；1457/1457 通过。</x:v>
      </x:c>
      <x:c r="H898" s="144" t="str">
        <x:v>coem/BYD_UKE/gen_bsw/Com/Com_PBcfg.c:40123; BYD_5R1V_RadarRearcorner_V2.5_AllNodes.dbc:819</x:v>
      </x:c>
    </x:row>
    <x:row r="899" ht="72" customHeight="1">
      <x:c r="A899" s="144" t="str">
        <x:v>Com-Signal</x:v>
      </x:c>
      <x:c r="B899" s="144" t="str">
        <x:v>COM-SIG-Tx-0757 / RRR_ObjHdr_ProtObjectCount</x:v>
      </x:c>
      <x:c r="C899" s="144" t="str">
        <x:v>PDU=RRR_ObjHdr; startBit=48; length=6; byteOrder=Little; type=UINT8; factor=1; offset=0; min=0; max=40; unit=-; receivers=DASy</x:v>
      </x:c>
      <x:c r="D899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899" s="144" t="str">
        <x:v>M2</x:v>
      </x:c>
      <x:c r="F899" s="144" t="str">
        <x:v>Signal 级可编辑配置、数据类型/缩放/端序合同、RTE 接口、边界值与 round-trip 测试。</x:v>
      </x:c>
      <x:c r="G899" s="144" t="str">
        <x:v>raw=0、raw=max、物理 min/max、越界/保留值、端序字节向量、pack→unpack round-trip；1457/1457 通过。</x:v>
      </x:c>
      <x:c r="H899" s="144" t="str">
        <x:v>coem/BYD_UKE/gen_bsw/Com/Com_PBcfg.c:40176; BYD_5R1V_RadarRearcorner_V2.5_AllNodes.dbc:822</x:v>
      </x:c>
    </x:row>
    <x:row r="900" ht="72" customHeight="1">
      <x:c r="A900" s="144" t="str">
        <x:v>Com-Signal</x:v>
      </x:c>
      <x:c r="B900" s="144" t="str">
        <x:v>COM-SIG-Tx-0758 / RRR_ObjHdr_ProtocolVersion</x:v>
      </x:c>
      <x:c r="C900" s="144" t="str">
        <x:v>PDU=RRR_ObjHdr; startBit=32; length=16; byteOrder=Little; type=UINT16; factor=1; offset=0; min=0; max=65535; unit=-; receivers=DASy</x:v>
      </x:c>
      <x:c r="D900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0" s="144" t="str">
        <x:v>M2</x:v>
      </x:c>
      <x:c r="F900" s="144" t="str">
        <x:v>Signal 级可编辑配置、数据类型/缩放/端序合同、RTE 接口、边界值与 round-trip 测试。</x:v>
      </x:c>
      <x:c r="G900" s="144" t="str">
        <x:v>raw=0、raw=max、物理 min/max、越界/保留值、端序字节向量、pack→unpack round-trip；1457/1457 通过。</x:v>
      </x:c>
      <x:c r="H900" s="144" t="str">
        <x:v>coem/BYD_UKE/gen_bsw/Com/Com_PBcfg.c:40229; BYD_5R1V_RadarRearcorner_V2.5_AllNodes.dbc:821</x:v>
      </x:c>
    </x:row>
    <x:row r="901" ht="72" customHeight="1">
      <x:c r="A901" s="144" t="str">
        <x:v>Com-Signal</x:v>
      </x:c>
      <x:c r="B901" s="144" t="str">
        <x:v>COM-SIG-Tx-0759 / RRR_ObjHdr_RollMountAngle</x:v>
      </x:c>
      <x:c r="C901" s="144" t="str">
        <x:v>PDU=RRR_ObjHdr; startBit=236; length=12; byteOrder=Little; type=UINT16; factor=0.00017; offset=-0.34816; min=-0.2; max=0.2; unit=rad; receivers=DASy</x:v>
      </x:c>
      <x:c r="D901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1" s="144" t="str">
        <x:v>M2</x:v>
      </x:c>
      <x:c r="F901" s="144" t="str">
        <x:v>Signal 级可编辑配置、数据类型/缩放/端序合同、RTE 接口、边界值与 round-trip 测试。</x:v>
      </x:c>
      <x:c r="G901" s="144" t="str">
        <x:v>raw=0、raw=max、物理 min/max、越界/保留值、端序字节向量、pack→unpack round-trip；1457/1457 通过。</x:v>
      </x:c>
      <x:c r="H901" s="144" t="str">
        <x:v>coem/BYD_UKE/gen_bsw/Com/Com_PBcfg.c:40282; BYD_5R1V_RadarRearcorner_V2.5_AllNodes.dbc:838</x:v>
      </x:c>
    </x:row>
    <x:row r="902" ht="72" customHeight="1">
      <x:c r="A902" s="144" t="str">
        <x:v>Com-Signal</x:v>
      </x:c>
      <x:c r="B902" s="144" t="str">
        <x:v>COM-SIG-Tx-0760 / RRR_ObjHdr_SensorState</x:v>
      </x:c>
      <x:c r="C902" s="144" t="str">
        <x:v>PDU=RRR_ObjHdr; startBit=28; length=4; byteOrder=Little; type=UINT8; factor=1; offset=0; min=0; max=15; unit=-; receivers=DASy</x:v>
      </x:c>
      <x:c r="D902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2" s="144" t="str">
        <x:v>M2</x:v>
      </x:c>
      <x:c r="F902" s="144" t="str">
        <x:v>Signal 级可编辑配置、数据类型/缩放/端序合同、RTE 接口、边界值与 round-trip 测试。</x:v>
      </x:c>
      <x:c r="G902" s="144" t="str">
        <x:v>raw=0、raw=max、物理 min/max、越界/保留值、端序字节向量、pack→unpack round-trip；1457/1457 通过。</x:v>
      </x:c>
      <x:c r="H902" s="144" t="str">
        <x:v>coem/BYD_UKE/gen_bsw/Com/Com_PBcfg.c:40335; BYD_5R1V_RadarRearcorner_V2.5_AllNodes.dbc:820</x:v>
      </x:c>
    </x:row>
    <x:row r="903" ht="72" customHeight="1">
      <x:c r="A903" s="144" t="str">
        <x:v>Com-Signal</x:v>
      </x:c>
      <x:c r="B903" s="144" t="str">
        <x:v>COM-SIG-Tx-0761 / RRR_ObjHdr_TimeLatency</x:v>
      </x:c>
      <x:c r="C903" s="144" t="str">
        <x:v>PDU=RRR_ObjHdr; startBit=56; length=16; byteOrder=Little; type=UINT16; factor=1; offset=0; min=0; max=65535; unit=ms; receivers=DASy</x:v>
      </x:c>
      <x:c r="D903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3" s="144" t="str">
        <x:v>M2</x:v>
      </x:c>
      <x:c r="F903" s="144" t="str">
        <x:v>Signal 级可编辑配置、数据类型/缩放/端序合同、RTE 接口、边界值与 round-trip 测试。</x:v>
      </x:c>
      <x:c r="G903" s="144" t="str">
        <x:v>raw=0、raw=max、物理 min/max、越界/保留值、端序字节向量、pack→unpack round-trip；1457/1457 通过。</x:v>
      </x:c>
      <x:c r="H903" s="144" t="str">
        <x:v>coem/BYD_UKE/gen_bsw/Com/Com_PBcfg.c:40388; BYD_5R1V_RadarRearcorner_V2.5_AllNodes.dbc:823</x:v>
      </x:c>
    </x:row>
    <x:row r="904" ht="72" customHeight="1">
      <x:c r="A904" s="144" t="str">
        <x:v>Com-Signal</x:v>
      </x:c>
      <x:c r="B904" s="144" t="str">
        <x:v>COM-SIG-Tx-0762 / RRR_ObjHdr_TimeStampStatus</x:v>
      </x:c>
      <x:c r="C904" s="144" t="str">
        <x:v>PDU=RRR_ObjHdr; startBit=88; length=8; byteOrder=Little; type=UINT8; factor=1; offset=0; min=0; max=255; unit=-; receivers=DASy</x:v>
      </x:c>
      <x:c r="D904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4" s="144" t="str">
        <x:v>M2</x:v>
      </x:c>
      <x:c r="F904" s="144" t="str">
        <x:v>Signal 级可编辑配置、数据类型/缩放/端序合同、RTE 接口、边界值与 round-trip 测试。</x:v>
      </x:c>
      <x:c r="G904" s="144" t="str">
        <x:v>raw=0、raw=max、物理 min/max、越界/保留值、端序字节向量、pack→unpack round-trip；1457/1457 通过。</x:v>
      </x:c>
      <x:c r="H904" s="144" t="str">
        <x:v>coem/BYD_UKE/gen_bsw/Com/Com_PBcfg.c:40441; BYD_5R1V_RadarRearcorner_V2.5_AllNodes.dbc:824</x:v>
      </x:c>
    </x:row>
    <x:row r="905" ht="72" customHeight="1">
      <x:c r="A905" s="144" t="str">
        <x:v>Com-Signal</x:v>
      </x:c>
      <x:c r="B905" s="144" t="str">
        <x:v>COM-SIG-Tx-0763 / RRR_ObjHdr_TimeStamp</x:v>
      </x:c>
      <x:c r="C905" s="144" t="str">
        <x:v>PDU=RRR_ObjHdr; startBit=96; length=26; byteOrder=Little; type=UINT32; factor=1; offset=0; min=0; max=67108863; unit=ms; receivers=DASy</x:v>
      </x:c>
      <x:c r="D905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5" s="144" t="str">
        <x:v>M2</x:v>
      </x:c>
      <x:c r="F905" s="144" t="str">
        <x:v>Signal 级可编辑配置、数据类型/缩放/端序合同、RTE 接口、边界值与 round-trip 测试。</x:v>
      </x:c>
      <x:c r="G905" s="144" t="str">
        <x:v>raw=0、raw=max、物理 min/max、越界/保留值、端序字节向量、pack→unpack round-trip；1457/1457 通过。</x:v>
      </x:c>
      <x:c r="H905" s="144" t="str">
        <x:v>coem/BYD_UKE/gen_bsw/Com/Com_PBcfg.c:40494; BYD_5R1V_RadarRearcorner_V2.5_AllNodes.dbc:825</x:v>
      </x:c>
    </x:row>
    <x:row r="906" ht="72" customHeight="1">
      <x:c r="A906" s="144" t="str">
        <x:v>Com-Signal</x:v>
      </x:c>
      <x:c r="B906" s="144" t="str">
        <x:v>COM-SIG-Tx-0764 / RRR_ObjHdr_YawAngleLower</x:v>
      </x:c>
      <x:c r="C906" s="144" t="str">
        <x:v>PDU=RRR_ObjHdr; startBit=168; length=15; byteOrder=Little; type=UINT16; factor=0.00017; offset=-2.78528; min=-1.6; max=1.6; unit=rad; receivers=DASy</x:v>
      </x:c>
      <x:c r="D906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6" s="144" t="str">
        <x:v>M2</x:v>
      </x:c>
      <x:c r="F906" s="144" t="str">
        <x:v>Signal 级可编辑配置、数据类型/缩放/端序合同、RTE 接口、边界值与 round-trip 测试。</x:v>
      </x:c>
      <x:c r="G906" s="144" t="str">
        <x:v>raw=0、raw=max、物理 min/max、越界/保留值、端序字节向量、pack→unpack round-trip；1457/1457 通过。</x:v>
      </x:c>
      <x:c r="H906" s="144" t="str">
        <x:v>coem/BYD_UKE/gen_bsw/Com/Com_PBcfg.c:40547; BYD_5R1V_RadarRearcorner_V2.5_AllNodes.dbc:833</x:v>
      </x:c>
    </x:row>
    <x:row r="907" ht="72" customHeight="1">
      <x:c r="A907" s="144" t="str">
        <x:v>Com-Signal</x:v>
      </x:c>
      <x:c r="B907" s="144" t="str">
        <x:v>COM-SIG-Tx-0765 / RRR_ObjHdr_YawAngleUpper</x:v>
      </x:c>
      <x:c r="C907" s="144" t="str">
        <x:v>PDU=RRR_ObjHdr; startBit=184; length=15; byteOrder=Little; type=UINT16; factor=0.00017; offset=-2.78528; min=-1.6; max=1.6; unit=rad; receivers=DASy</x:v>
      </x:c>
      <x:c r="D907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7" s="144" t="str">
        <x:v>M2</x:v>
      </x:c>
      <x:c r="F907" s="144" t="str">
        <x:v>Signal 级可编辑配置、数据类型/缩放/端序合同、RTE 接口、边界值与 round-trip 测试。</x:v>
      </x:c>
      <x:c r="G907" s="144" t="str">
        <x:v>raw=0、raw=max、物理 min/max、越界/保留值、端序字节向量、pack→unpack round-trip；1457/1457 通过。</x:v>
      </x:c>
      <x:c r="H907" s="144" t="str">
        <x:v>coem/BYD_UKE/gen_bsw/Com/Com_PBcfg.c:40600; BYD_5R1V_RadarRearcorner_V2.5_AllNodes.dbc:834</x:v>
      </x:c>
    </x:row>
    <x:row r="908" ht="72" customHeight="1">
      <x:c r="A908" s="144" t="str">
        <x:v>Com-Signal</x:v>
      </x:c>
      <x:c r="B908" s="144" t="str">
        <x:v>COM-SIG-Tx-0766 / RRR_ObjHdr_YawMountAngle</x:v>
      </x:c>
      <x:c r="C908" s="144" t="str">
        <x:v>PDU=RRR_ObjHdr; startBit=152; length=16; byteOrder=Little; type=UINT16; factor=0.00017; offset=-5.57056; min=-3.2; max=3.2; unit=rad; receivers=DASy</x:v>
      </x:c>
      <x:c r="D908" s="144" t="str">
        <x:v>输入：ASW/RTE 原始或物理值；输出：PDU bit。边界：位宽、端序、signedness、物理范围、invalid/reserved/timeout 行为须由东软自有配置实现。物理量来源口径=DBC精确匹配。</x:v>
      </x:c>
      <x:c r="E908" s="144" t="str">
        <x:v>M2</x:v>
      </x:c>
      <x:c r="F908" s="144" t="str">
        <x:v>Signal 级可编辑配置、数据类型/缩放/端序合同、RTE 接口、边界值与 round-trip 测试。</x:v>
      </x:c>
      <x:c r="G908" s="144" t="str">
        <x:v>raw=0、raw=max、物理 min/max、越界/保留值、端序字节向量、pack→unpack round-trip；1457/1457 通过。</x:v>
      </x:c>
      <x:c r="H908" s="144" t="str">
        <x:v>coem/BYD_UKE/gen_bsw/Com/Com_PBcfg.c:40653; BYD_5R1V_RadarRearcorner_V2.5_AllNodes.dbc:832</x:v>
      </x:c>
    </x:row>
    <x:row r="909" ht="72" customHeight="1">
      <x:c r="A909" s="144" t="str">
        <x:v>Com-Signal</x:v>
      </x:c>
      <x:c r="B909" s="144" t="str">
        <x:v>COM-SIG-Tx-0767 / OS_BlockCnt</x:v>
      </x:c>
      <x:c r="C909" s="144" t="str">
        <x:v>PDU=Test_OS1; startBit=0; length=8; byteOrder=Big; type=UINT8; factor=1（Com原始值）; offset=0（Com原始值）; min=按位宽/类型; max=按位宽/类型; unit=-; receivers=-</x:v>
      </x:c>
      <x:c r="D909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09" s="144" t="str">
        <x:v>M2</x:v>
      </x:c>
      <x:c r="F909" s="144" t="str">
        <x:v>Signal 级可编辑配置、数据类型/缩放/端序合同、RTE 接口、边界值与 round-trip 测试。</x:v>
      </x:c>
      <x:c r="G909" s="144" t="str">
        <x:v>raw=0、raw=max、物理 min/max、越界/保留值、端序字节向量、pack→unpack round-trip；1457/1457 通过。</x:v>
      </x:c>
      <x:c r="H909" s="144" t="str">
        <x:v>coem/BYD_UKE/gen_bsw/Com/Com_PBcfg.c:40706</x:v>
      </x:c>
    </x:row>
    <x:row r="910" ht="72" customHeight="1">
      <x:c r="A910" s="144" t="str">
        <x:v>Com-Signal</x:v>
      </x:c>
      <x:c r="B910" s="144" t="str">
        <x:v>COM-SIG-Tx-0768 / OS_BlockCnt_Test_OS2</x:v>
      </x:c>
      <x:c r="C910" s="144" t="str">
        <x:v>PDU=Test_OS2; startBit=0; length=8; byteOrder=Big; type=UINT8; factor=1（Com原始值）; offset=0（Com原始值）; min=按位宽/类型; max=按位宽/类型; unit=-; receivers=-</x:v>
      </x:c>
      <x:c r="D910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10" s="144" t="str">
        <x:v>M2</x:v>
      </x:c>
      <x:c r="F910" s="144" t="str">
        <x:v>Signal 级可编辑配置、数据类型/缩放/端序合同、RTE 接口、边界值与 round-trip 测试。</x:v>
      </x:c>
      <x:c r="G910" s="144" t="str">
        <x:v>raw=0、raw=max、物理 min/max、越界/保留值、端序字节向量、pack→unpack round-trip；1457/1457 通过。</x:v>
      </x:c>
      <x:c r="H910" s="144" t="str">
        <x:v>coem/BYD_UKE/gen_bsw/Com/Com_PBcfg.c:40759</x:v>
      </x:c>
    </x:row>
    <x:row r="911" ht="72" customHeight="1">
      <x:c r="A911" s="144" t="str">
        <x:v>Com-Signal</x:v>
      </x:c>
      <x:c r="B911" s="144" t="str">
        <x:v>COM-SIG-Tx-0769 / OS_BlockCnt_Test_OS3</x:v>
      </x:c>
      <x:c r="C911" s="144" t="str">
        <x:v>PDU=Test_OS3; startBit=0; length=8; byteOrder=Big; type=UINT8; factor=1（Com原始值）; offset=0（Com原始值）; min=按位宽/类型; max=按位宽/类型; unit=-; receivers=-</x:v>
      </x:c>
      <x:c r="D911" s="144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11" s="144" t="str">
        <x:v>M2</x:v>
      </x:c>
      <x:c r="F911" s="144" t="str">
        <x:v>Signal 级可编辑配置、数据类型/缩放/端序合同、RTE 接口、边界值与 round-trip 测试。</x:v>
      </x:c>
      <x:c r="G911" s="144" t="str">
        <x:v>raw=0、raw=max、物理 min/max、越界/保留值、端序字节向量、pack→unpack round-trip；1457/1457 通过。</x:v>
      </x:c>
      <x:c r="H911" s="144" t="str">
        <x:v>coem/BYD_UKE/gen_bsw/Com/Com_PBcfg.c:40812</x:v>
      </x:c>
    </x:row>
    <x:row r="912" ht="72" customHeight="1">
      <x:c r="A912" s="144" t="str">
        <x:v>Com-Signal</x:v>
      </x:c>
      <x:c r="B912" s="144" t="str">
        <x:v>COM-SIG-Rx-0000 / APA_Auto_Parking_Status_S</x:v>
      </x:c>
      <x:c r="C912" s="144" t="str">
        <x:v>PDU=APA_0x134; startBit=0; length=3; byteOrder=Little; type=UINT8; factor=1; offset=0; min=0; max=7; unit=-; receivers=Left_BCM_L1,Left_BCM_L2_L3,Left_BCM_L4,Media,EPS,MPC,ADS,MRR,BSMCL,BSMCR,FCR</x:v>
      </x:c>
      <x:c r="D91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2" s="144" t="str">
        <x:v>M2</x:v>
      </x:c>
      <x:c r="F912" s="144" t="str">
        <x:v>Signal 级可编辑配置、数据类型/缩放/端序合同、RTE 接口、边界值与 round-trip 测试。</x:v>
      </x:c>
      <x:c r="G912" s="144" t="str">
        <x:v>raw=0、raw=max、物理 min/max、越界/保留值、端序字节向量、pack→unpack round-trip；1457/1457 通过。</x:v>
      </x:c>
      <x:c r="H912" s="144" t="str">
        <x:v>coem/BYD_UKE/gen_bsw/Com/Com_PBcfg.c:40882; BoschOversea_StandardCANFD_commplatform_RCR_CAN_Matrix_V4.18.2_20251104.dbc:329</x:v>
      </x:c>
    </x:row>
    <x:row r="913" ht="72" customHeight="1">
      <x:c r="A913" s="144" t="str">
        <x:v>Com-Signal</x:v>
      </x:c>
      <x:c r="B913" s="144" t="str">
        <x:v>COM-SIG-Rx-0001 / Combination_Switch_Signal_Type_S</x:v>
      </x:c>
      <x:c r="C913" s="144" t="str">
        <x:v>PDU=CS_0x133; startBit=40; length=2; byteOrder=Little; type=UINT8; factor=1; offset=0; min=0; max=3; unit=-; receivers=Left_BCM_L1,Left_BCM_L2_L3,Left_BCM_L4,Right_BCM,MPC,ADS,MRR,BSMCL,BSMCR,APA</x:v>
      </x:c>
      <x:c r="D9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3" s="144" t="str">
        <x:v>M2</x:v>
      </x:c>
      <x:c r="F913" s="144" t="str">
        <x:v>Signal 级可编辑配置、数据类型/缩放/端序合同、RTE 接口、边界值与 round-trip 测试。</x:v>
      </x:c>
      <x:c r="G913" s="144" t="str">
        <x:v>raw=0、raw=max、物理 min/max、越界/保留值、端序字节向量、pack→unpack round-trip；1457/1457 通过。</x:v>
      </x:c>
      <x:c r="H913" s="144" t="str">
        <x:v>coem/BYD_UKE/gen_bsw/Com/Com_PBcfg.c:40942; BoschOversea_StandardCANFD_commplatform_RCR_CAN_Matrix_V4.18.2_20251104.dbc:101</x:v>
      </x:c>
    </x:row>
    <x:row r="914" ht="72" customHeight="1">
      <x:c r="A914" s="144" t="str">
        <x:v>Com-Signal</x:v>
      </x:c>
      <x:c r="B914" s="144" t="str">
        <x:v>COM-SIG-Rx-0002 / Loss_Cycle_Counter133_S</x:v>
      </x:c>
      <x:c r="C914" s="144" t="str">
        <x:v>PDU=CS_0x133; startBit=48; length=4; byteOrder=Little; type=UINT8; factor=1; offset=0; min=0; max=15; unit=-; receivers=Left_BCM_L1,Left_BCM_L2_L3,Left_BCM_L4,MPC,ADS,MRR,BSMCL,BSMCR,APA</x:v>
      </x:c>
      <x:c r="D9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4" s="144" t="str">
        <x:v>M2</x:v>
      </x:c>
      <x:c r="F914" s="144" t="str">
        <x:v>Signal 级可编辑配置、数据类型/缩放/端序合同、RTE 接口、边界值与 round-trip 测试。</x:v>
      </x:c>
      <x:c r="G914" s="144" t="str">
        <x:v>raw=0、raw=max、物理 min/max、越界/保留值、端序字节向量、pack→unpack round-trip；1457/1457 通过。</x:v>
      </x:c>
      <x:c r="H914" s="144" t="str">
        <x:v>coem/BYD_UKE/gen_bsw/Com/Com_PBcfg.c:41002; BoschOversea_StandardCANFD_commplatform_RCR_CAN_Matrix_V4.18.2_20251104.dbc:102</x:v>
      </x:c>
    </x:row>
    <x:row r="915" ht="72" customHeight="1">
      <x:c r="A915" s="144" t="str">
        <x:v>Com-Signal</x:v>
      </x:c>
      <x:c r="B915" s="144" t="str">
        <x:v>COM-SIG-Rx-0003 / Turn_Signal_Switch_S</x:v>
      </x:c>
      <x:c r="C915" s="144" t="str">
        <x:v>PDU=CS_0x133; startBit=36; length=3; byteOrder=Little; type=UINT8; factor=1; offset=0; min=0; max=7; unit=-; receivers=Left_BCM_L1,Left_BCM_L2_L3,Left_BCM_L4,Right_BCM,Media,ALS,SRS,MPC,ADS,MRR,BSMCL,BSMCR,APA</x:v>
      </x:c>
      <x:c r="D9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5" s="144" t="str">
        <x:v>M2</x:v>
      </x:c>
      <x:c r="F915" s="144" t="str">
        <x:v>Signal 级可编辑配置、数据类型/缩放/端序合同、RTE 接口、边界值与 round-trip 测试。</x:v>
      </x:c>
      <x:c r="G915" s="144" t="str">
        <x:v>raw=0、raw=max、物理 min/max、越界/保留值、端序字节向量、pack→unpack round-trip；1457/1457 通过。</x:v>
      </x:c>
      <x:c r="H915" s="144" t="str">
        <x:v>coem/BYD_UKE/gen_bsw/Com/Com_PBcfg.c:41062; BoschOversea_StandardCANFD_commplatform_RCR_CAN_Matrix_V4.18.2_20251104.dbc:100</x:v>
      </x:c>
    </x:row>
    <x:row r="916" ht="72" customHeight="1">
      <x:c r="A916" s="144" t="str">
        <x:v>Com-Signal</x:v>
      </x:c>
      <x:c r="B916" s="144" t="str">
        <x:v>COM-SIG-Rx-0004 / Failure_Stats_OK_142_S</x:v>
      </x:c>
      <x:c r="C916" s="144" t="str">
        <x:v>PDU=CS_0x142; startBit=24; length=1; byteOrder=Little; type=UINT8; factor=1; offset=0; min=0; max=1; unit=-; receivers=TCU,IPB,SRS,MPC,ADS,MRR,BSMCL,BSMCR,APA</x:v>
      </x:c>
      <x:c r="D91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6" s="144" t="str">
        <x:v>M2</x:v>
      </x:c>
      <x:c r="F916" s="144" t="str">
        <x:v>Signal 级可编辑配置、数据类型/缩放/端序合同、RTE 接口、边界值与 round-trip 测试。</x:v>
      </x:c>
      <x:c r="G916" s="144" t="str">
        <x:v>raw=0、raw=max、物理 min/max、越界/保留值、端序字节向量、pack→unpack round-trip；1457/1457 通过。</x:v>
      </x:c>
      <x:c r="H916" s="144" t="str">
        <x:v>coem/BYD_UKE/gen_bsw/Com/Com_PBcfg.c:41122; BoschOversea_StandardCANFD_commplatform_RCR_CAN_Matrix_V4.18.2_20251104.dbc:107</x:v>
      </x:c>
    </x:row>
    <x:row r="917" ht="72" customHeight="1">
      <x:c r="A917" s="144" t="str">
        <x:v>Com-Signal</x:v>
      </x:c>
      <x:c r="B917" s="144" t="str">
        <x:v>COM-SIG-Rx-0005 / RollingCounter_142_S</x:v>
      </x:c>
      <x:c r="C917" s="144" t="str">
        <x:v>PDU=CS_0x142; startBit=32; length=4; byteOrder=Little; type=UINT8; factor=1; offset=0; min=0; max=15; unit=-; receivers=IPB,MPC,ADS,MRR,BSMCL,BSMCR,APA</x:v>
      </x:c>
      <x:c r="D91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7" s="144" t="str">
        <x:v>M2</x:v>
      </x:c>
      <x:c r="F917" s="144" t="str">
        <x:v>Signal 级可编辑配置、数据类型/缩放/端序合同、RTE 接口、边界值与 round-trip 测试。</x:v>
      </x:c>
      <x:c r="G917" s="144" t="str">
        <x:v>raw=0、raw=max、物理 min/max、越界/保留值、端序字节向量、pack→unpack round-trip；1457/1457 通过。</x:v>
      </x:c>
      <x:c r="H917" s="144" t="str">
        <x:v>coem/BYD_UKE/gen_bsw/Com/Com_PBcfg.c:41182; BoschOversea_StandardCANFD_commplatform_RCR_CAN_Matrix_V4.18.2_20251104.dbc:108</x:v>
      </x:c>
    </x:row>
    <x:row r="918" ht="72" customHeight="1">
      <x:c r="A918" s="144" t="str">
        <x:v>Com-Signal</x:v>
      </x:c>
      <x:c r="B918" s="144" t="str">
        <x:v>COM-SIG-Rx-0006 / SAS_Checksum_142_S</x:v>
      </x:c>
      <x:c r="C918" s="144" t="str">
        <x:v>PDU=CS_0x142; startBit=36; length=4; byteOrder=Little; type=UINT8; factor=1; offset=0; min=0; max=15; unit=-; receivers=IPB,MPC,ADS,MRR,BSMCL,BSMCR,APA</x:v>
      </x:c>
      <x:c r="D9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8" s="144" t="str">
        <x:v>M2</x:v>
      </x:c>
      <x:c r="F918" s="144" t="str">
        <x:v>Signal 级可编辑配置、数据类型/缩放/端序合同、RTE 接口、边界值与 round-trip 测试。</x:v>
      </x:c>
      <x:c r="G918" s="144" t="str">
        <x:v>raw=0、raw=max、物理 min/max、越界/保留值、端序字节向量、pack→unpack round-trip；1457/1457 通过。</x:v>
      </x:c>
      <x:c r="H918" s="144" t="str">
        <x:v>coem/BYD_UKE/gen_bsw/Com/Com_PBcfg.c:41242; BoschOversea_StandardCANFD_commplatform_RCR_CAN_Matrix_V4.18.2_20251104.dbc:109</x:v>
      </x:c>
    </x:row>
    <x:row r="919" ht="72" customHeight="1">
      <x:c r="A919" s="144" t="str">
        <x:v>Com-Signal</x:v>
      </x:c>
      <x:c r="B919" s="144" t="str">
        <x:v>COM-SIG-Rx-0007 / Steering_Wheel_Angle_142_S</x:v>
      </x:c>
      <x:c r="C919" s="144" t="str">
        <x:v>PDU=CS_0x142; startBit=0; length=16; byteOrder=Little; type=SINT16; factor=0.1; offset=0; min=-780; max=779.9; unit=��; receivers=Left_BCM_L1,Left_BCM_L2_L3,Left_BCM_L4,VCU,TCU,IPB,SRS,MPC,ADS,MRR,BSMCL,BSMCR,APA</x:v>
      </x:c>
      <x:c r="D9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19" s="144" t="str">
        <x:v>M2</x:v>
      </x:c>
      <x:c r="F919" s="144" t="str">
        <x:v>Signal 级可编辑配置、数据类型/缩放/端序合同、RTE 接口、边界值与 round-trip 测试。</x:v>
      </x:c>
      <x:c r="G919" s="144" t="str">
        <x:v>raw=0、raw=max、物理 min/max、越界/保留值、端序字节向量、pack→unpack round-trip；1457/1457 通过。</x:v>
      </x:c>
      <x:c r="H919" s="144" t="str">
        <x:v>coem/BYD_UKE/gen_bsw/Com/Com_PBcfg.c:41302; BoschOversea_StandardCANFD_commplatform_RCR_CAN_Matrix_V4.18.2_20251104.dbc:106</x:v>
      </x:c>
    </x:row>
    <x:row r="920" ht="72" customHeight="1">
      <x:c r="A920" s="144" t="str">
        <x:v>Com-Signal</x:v>
      </x:c>
      <x:c r="B920" s="144" t="str">
        <x:v>COM-SIG-Rx-0008 / Alive_Counter_109_S</x:v>
      </x:c>
      <x:c r="C920" s="144" t="str">
        <x:v>PDU=DiSus_0x109; startBit=16; length=16; byteOrder=Little; type=UINT16; factor=1; offset=0; min=0; max=65535; unit=-; receivers=MPC,MRR,BSMCL,BSMCR,FCR</x:v>
      </x:c>
      <x:c r="D9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0" s="144" t="str">
        <x:v>M2</x:v>
      </x:c>
      <x:c r="F920" s="144" t="str">
        <x:v>Signal 级可编辑配置、数据类型/缩放/端序合同、RTE 接口、边界值与 round-trip 测试。</x:v>
      </x:c>
      <x:c r="G920" s="144" t="str">
        <x:v>raw=0、raw=max、物理 min/max、越界/保留值、端序字节向量、pack→unpack round-trip；1457/1457 通过。</x:v>
      </x:c>
      <x:c r="H920" s="144" t="str">
        <x:v>coem/BYD_UKE/gen_bsw/Com/Com_PBcfg.c:41362; BoschOversea_StandardCANFD_commplatform_RCR_CAN_Matrix_V4.18.2_20251104.dbc:489</x:v>
      </x:c>
    </x:row>
    <x:row r="921" ht="72" customHeight="1">
      <x:c r="A921" s="144" t="str">
        <x:v>Com-Signal</x:v>
      </x:c>
      <x:c r="B921" s="144" t="str">
        <x:v>COM-SIG-Rx-0009 / CRC_Checknum_109_S</x:v>
      </x:c>
      <x:c r="C921" s="144" t="str">
        <x:v>PDU=DiSus_0x109; startBit=0; length=16; byteOrder=Little; type=UINT16; factor=1; offset=0; min=0; max=65535; unit=-; receivers=MPC,MRR,BSMCL,BSMCR,FCR</x:v>
      </x:c>
      <x:c r="D9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1" s="144" t="str">
        <x:v>M2</x:v>
      </x:c>
      <x:c r="F921" s="144" t="str">
        <x:v>Signal 级可编辑配置、数据类型/缩放/端序合同、RTE 接口、边界值与 round-trip 测试。</x:v>
      </x:c>
      <x:c r="G921" s="144" t="str">
        <x:v>raw=0、raw=max、物理 min/max、越界/保留值、端序字节向量、pack→unpack round-trip；1457/1457 通过。</x:v>
      </x:c>
      <x:c r="H921" s="144" t="str">
        <x:v>coem/BYD_UKE/gen_bsw/Com/Com_PBcfg.c:41422; BoschOversea_StandardCANFD_commplatform_RCR_CAN_Matrix_V4.18.2_20251104.dbc:488</x:v>
      </x:c>
    </x:row>
    <x:row r="922" ht="72" customHeight="1">
      <x:c r="A922" s="144" t="str">
        <x:v>Com-Signal</x:v>
      </x:c>
      <x:c r="B922" s="144" t="str">
        <x:v>COM-SIG-Rx-0010 / DiSus_Actual_Height_FL_S</x:v>
      </x:c>
      <x:c r="C922" s="144" t="str">
        <x:v>PDU=DiSus_0x109; startBit=80; length=16; byteOrder=Little; type=UINT16; factor=1; offset=-1000; min=-1000; max=64535; unit=mm; receivers=MPC,MRR,BSMCL,BSMCR,FCR</x:v>
      </x:c>
      <x:c r="D9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2" s="144" t="str">
        <x:v>M2</x:v>
      </x:c>
      <x:c r="F922" s="144" t="str">
        <x:v>Signal 级可编辑配置、数据类型/缩放/端序合同、RTE 接口、边界值与 round-trip 测试。</x:v>
      </x:c>
      <x:c r="G922" s="144" t="str">
        <x:v>raw=0、raw=max、物理 min/max、越界/保留值、端序字节向量、pack→unpack round-trip；1457/1457 通过。</x:v>
      </x:c>
      <x:c r="H922" s="144" t="str">
        <x:v>coem/BYD_UKE/gen_bsw/Com/Com_PBcfg.c:41482; BoschOversea_StandardCANFD_commplatform_RCR_CAN_Matrix_V4.18.2_20251104.dbc:496</x:v>
      </x:c>
    </x:row>
    <x:row r="923" ht="72" customHeight="1">
      <x:c r="A923" s="144" t="str">
        <x:v>Com-Signal</x:v>
      </x:c>
      <x:c r="B923" s="144" t="str">
        <x:v>COM-SIG-Rx-0011 / DiSus_Actual_Height_FR_S</x:v>
      </x:c>
      <x:c r="C923" s="144" t="str">
        <x:v>PDU=DiSus_0x109; startBit=96; length=16; byteOrder=Little; type=UINT16; factor=1; offset=-1000; min=-1000; max=64535; unit=mm; receivers=MPC,MRR,BSMCL,BSMCR,FCR</x:v>
      </x:c>
      <x:c r="D9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3" s="144" t="str">
        <x:v>M2</x:v>
      </x:c>
      <x:c r="F923" s="144" t="str">
        <x:v>Signal 级可编辑配置、数据类型/缩放/端序合同、RTE 接口、边界值与 round-trip 测试。</x:v>
      </x:c>
      <x:c r="G923" s="144" t="str">
        <x:v>raw=0、raw=max、物理 min/max、越界/保留值、端序字节向量、pack→unpack round-trip；1457/1457 通过。</x:v>
      </x:c>
      <x:c r="H923" s="144" t="str">
        <x:v>coem/BYD_UKE/gen_bsw/Com/Com_PBcfg.c:41542; BoschOversea_StandardCANFD_commplatform_RCR_CAN_Matrix_V4.18.2_20251104.dbc:497</x:v>
      </x:c>
    </x:row>
    <x:row r="924" ht="72" customHeight="1">
      <x:c r="A924" s="144" t="str">
        <x:v>Com-Signal</x:v>
      </x:c>
      <x:c r="B924" s="144" t="str">
        <x:v>COM-SIG-Rx-0012 / DiSus_Actual_Height_Invalid_FL_S</x:v>
      </x:c>
      <x:c r="C924" s="144" t="str">
        <x:v>PDU=DiSus_0x109; startBit=64; length=1; byteOrder=Little; type=UINT8; factor=1; offset=0; min=0; max=1; unit=-; receivers=MPC,MRR,BSMCL,BSMCR,FCR</x:v>
      </x:c>
      <x:c r="D9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4" s="144" t="str">
        <x:v>M2</x:v>
      </x:c>
      <x:c r="F924" s="144" t="str">
        <x:v>Signal 级可编辑配置、数据类型/缩放/端序合同、RTE 接口、边界值与 round-trip 测试。</x:v>
      </x:c>
      <x:c r="G924" s="144" t="str">
        <x:v>raw=0、raw=max、物理 min/max、越界/保留值、端序字节向量、pack→unpack round-trip；1457/1457 通过。</x:v>
      </x:c>
      <x:c r="H924" s="144" t="str">
        <x:v>coem/BYD_UKE/gen_bsw/Com/Com_PBcfg.c:41602; BoschOversea_StandardCANFD_commplatform_RCR_CAN_Matrix_V4.18.2_20251104.dbc:490</x:v>
      </x:c>
    </x:row>
    <x:row r="925" ht="72" customHeight="1">
      <x:c r="A925" s="144" t="str">
        <x:v>Com-Signal</x:v>
      </x:c>
      <x:c r="B925" s="144" t="str">
        <x:v>COM-SIG-Rx-0013 / DiSus_Actual_Height_Invalid_FR_S</x:v>
      </x:c>
      <x:c r="C925" s="144" t="str">
        <x:v>PDU=DiSus_0x109; startBit=65; length=1; byteOrder=Little; type=UINT8; factor=1; offset=0; min=0; max=1; unit=-; receivers=MPC,MRR,BSMCL,BSMCR,FCR</x:v>
      </x:c>
      <x:c r="D9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5" s="144" t="str">
        <x:v>M2</x:v>
      </x:c>
      <x:c r="F925" s="144" t="str">
        <x:v>Signal 级可编辑配置、数据类型/缩放/端序合同、RTE 接口、边界值与 round-trip 测试。</x:v>
      </x:c>
      <x:c r="G925" s="144" t="str">
        <x:v>raw=0、raw=max、物理 min/max、越界/保留值、端序字节向量、pack→unpack round-trip；1457/1457 通过。</x:v>
      </x:c>
      <x:c r="H925" s="144" t="str">
        <x:v>coem/BYD_UKE/gen_bsw/Com/Com_PBcfg.c:41662; BoschOversea_StandardCANFD_commplatform_RCR_CAN_Matrix_V4.18.2_20251104.dbc:491</x:v>
      </x:c>
    </x:row>
    <x:row r="926" ht="72" customHeight="1">
      <x:c r="A926" s="144" t="str">
        <x:v>Com-Signal</x:v>
      </x:c>
      <x:c r="B926" s="144" t="str">
        <x:v>COM-SIG-Rx-0014 / DiSus_Actual_Height_Invalid_RL_S</x:v>
      </x:c>
      <x:c r="C926" s="144" t="str">
        <x:v>PDU=DiSus_0x109; startBit=66; length=1; byteOrder=Little; type=UINT8; factor=1; offset=0; min=0; max=1; unit=-; receivers=MPC,MRR,BSMCL,BSMCR,FCR</x:v>
      </x:c>
      <x:c r="D9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6" s="144" t="str">
        <x:v>M2</x:v>
      </x:c>
      <x:c r="F926" s="144" t="str">
        <x:v>Signal 级可编辑配置、数据类型/缩放/端序合同、RTE 接口、边界值与 round-trip 测试。</x:v>
      </x:c>
      <x:c r="G926" s="144" t="str">
        <x:v>raw=0、raw=max、物理 min/max、越界/保留值、端序字节向量、pack→unpack round-trip；1457/1457 通过。</x:v>
      </x:c>
      <x:c r="H926" s="144" t="str">
        <x:v>coem/BYD_UKE/gen_bsw/Com/Com_PBcfg.c:41722; BoschOversea_StandardCANFD_commplatform_RCR_CAN_Matrix_V4.18.2_20251104.dbc:492</x:v>
      </x:c>
    </x:row>
    <x:row r="927" ht="72" customHeight="1">
      <x:c r="A927" s="144" t="str">
        <x:v>Com-Signal</x:v>
      </x:c>
      <x:c r="B927" s="144" t="str">
        <x:v>COM-SIG-Rx-0015 / DiSus_Actual_Height_Invalid_RR_S</x:v>
      </x:c>
      <x:c r="C927" s="144" t="str">
        <x:v>PDU=DiSus_0x109; startBit=67; length=1; byteOrder=Little; type=UINT8; factor=1; offset=0; min=0; max=1; unit=-; receivers=MPC,MRR,BSMCL,BSMCR,FCR</x:v>
      </x:c>
      <x:c r="D9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7" s="144" t="str">
        <x:v>M2</x:v>
      </x:c>
      <x:c r="F927" s="144" t="str">
        <x:v>Signal 级可编辑配置、数据类型/缩放/端序合同、RTE 接口、边界值与 round-trip 测试。</x:v>
      </x:c>
      <x:c r="G927" s="144" t="str">
        <x:v>raw=0、raw=max、物理 min/max、越界/保留值、端序字节向量、pack→unpack round-trip；1457/1457 通过。</x:v>
      </x:c>
      <x:c r="H927" s="144" t="str">
        <x:v>coem/BYD_UKE/gen_bsw/Com/Com_PBcfg.c:41782; BoschOversea_StandardCANFD_commplatform_RCR_CAN_Matrix_V4.18.2_20251104.dbc:493</x:v>
      </x:c>
    </x:row>
    <x:row r="928" ht="72" customHeight="1">
      <x:c r="A928" s="144" t="str">
        <x:v>Com-Signal</x:v>
      </x:c>
      <x:c r="B928" s="144" t="str">
        <x:v>COM-SIG-Rx-0016 / DiSus_Actual_Height_RL_S</x:v>
      </x:c>
      <x:c r="C928" s="144" t="str">
        <x:v>PDU=DiSus_0x109; startBit=112; length=16; byteOrder=Little; type=UINT16; factor=1; offset=-1000; min=-1000; max=64535; unit=mm; receivers=MPC,MRR,BSMCL,BSMCR,FCR</x:v>
      </x:c>
      <x:c r="D9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8" s="144" t="str">
        <x:v>M2</x:v>
      </x:c>
      <x:c r="F928" s="144" t="str">
        <x:v>Signal 级可编辑配置、数据类型/缩放/端序合同、RTE 接口、边界值与 round-trip 测试。</x:v>
      </x:c>
      <x:c r="G928" s="144" t="str">
        <x:v>raw=0、raw=max、物理 min/max、越界/保留值、端序字节向量、pack→unpack round-trip；1457/1457 通过。</x:v>
      </x:c>
      <x:c r="H928" s="144" t="str">
        <x:v>coem/BYD_UKE/gen_bsw/Com/Com_PBcfg.c:41842; BoschOversea_StandardCANFD_commplatform_RCR_CAN_Matrix_V4.18.2_20251104.dbc:498</x:v>
      </x:c>
    </x:row>
    <x:row r="929" ht="72" customHeight="1">
      <x:c r="A929" s="144" t="str">
        <x:v>Com-Signal</x:v>
      </x:c>
      <x:c r="B929" s="144" t="str">
        <x:v>COM-SIG-Rx-0017 / DiSus_Actual_Height_RR_S</x:v>
      </x:c>
      <x:c r="C929" s="144" t="str">
        <x:v>PDU=DiSus_0x109; startBit=128; length=16; byteOrder=Little; type=UINT16; factor=1; offset=-1000; min=-1000; max=64535; unit=mm; receivers=MPC,MRR,BSMCL,BSMCR,FCR</x:v>
      </x:c>
      <x:c r="D9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29" s="144" t="str">
        <x:v>M2</x:v>
      </x:c>
      <x:c r="F929" s="144" t="str">
        <x:v>Signal 级可编辑配置、数据类型/缩放/端序合同、RTE 接口、边界值与 round-trip 测试。</x:v>
      </x:c>
      <x:c r="G929" s="144" t="str">
        <x:v>raw=0、raw=max、物理 min/max、越界/保留值、端序字节向量、pack→unpack round-trip；1457/1457 通过。</x:v>
      </x:c>
      <x:c r="H929" s="144" t="str">
        <x:v>coem/BYD_UKE/gen_bsw/Com/Com_PBcfg.c:41902; BoschOversea_StandardCANFD_commplatform_RCR_CAN_Matrix_V4.18.2_20251104.dbc:499</x:v>
      </x:c>
    </x:row>
    <x:row r="930" ht="72" customHeight="1">
      <x:c r="A930" s="144" t="str">
        <x:v>Com-Signal</x:v>
      </x:c>
      <x:c r="B930" s="144" t="str">
        <x:v>COM-SIG-Rx-0018 / DiSus_Mode_Adjust_Status_S</x:v>
      </x:c>
      <x:c r="C930" s="144" t="str">
        <x:v>PDU=DiSus_0x109; startBit=68; length=1; byteOrder=Little; type=UINT8; factor=1; offset=0; min=0; max=1; unit=-; receivers=MPC,MRR,BSMCL,BSMCR,FCR</x:v>
      </x:c>
      <x:c r="D9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0" s="144" t="str">
        <x:v>M2</x:v>
      </x:c>
      <x:c r="F930" s="144" t="str">
        <x:v>Signal 级可编辑配置、数据类型/缩放/端序合同、RTE 接口、边界值与 round-trip 测试。</x:v>
      </x:c>
      <x:c r="G930" s="144" t="str">
        <x:v>raw=0、raw=max、物理 min/max、越界/保留值、端序字节向量、pack→unpack round-trip；1457/1457 通过。</x:v>
      </x:c>
      <x:c r="H930" s="144" t="str">
        <x:v>coem/BYD_UKE/gen_bsw/Com/Com_PBcfg.c:41962; BoschOversea_StandardCANFD_commplatform_RCR_CAN_Matrix_V4.18.2_20251104.dbc:494</x:v>
      </x:c>
    </x:row>
    <x:row r="931" ht="72" customHeight="1">
      <x:c r="A931" s="144" t="str">
        <x:v>Com-Signal</x:v>
      </x:c>
      <x:c r="B931" s="144" t="str">
        <x:v>COM-SIG-Rx-0019 / DiSus_Mode_Execute_Status_S</x:v>
      </x:c>
      <x:c r="C931" s="144" t="str">
        <x:v>PDU=DiSus_0x109; startBit=69; length=3; byteOrder=Little; type=UINT8; factor=1; offset=0; min=0; max=7; unit=-; receivers=MPC,MRR,BSMCL,BSMCR,FCR</x:v>
      </x:c>
      <x:c r="D9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1" s="144" t="str">
        <x:v>M2</x:v>
      </x:c>
      <x:c r="F931" s="144" t="str">
        <x:v>Signal 级可编辑配置、数据类型/缩放/端序合同、RTE 接口、边界值与 round-trip 测试。</x:v>
      </x:c>
      <x:c r="G931" s="144" t="str">
        <x:v>raw=0、raw=max、物理 min/max、越界/保留值、端序字节向量、pack→unpack round-trip；1457/1457 通过。</x:v>
      </x:c>
      <x:c r="H931" s="144" t="str">
        <x:v>coem/BYD_UKE/gen_bsw/Com/Com_PBcfg.c:42022; BoschOversea_StandardCANFD_commplatform_RCR_CAN_Matrix_V4.18.2_20251104.dbc:495</x:v>
      </x:c>
    </x:row>
    <x:row r="932" ht="72" customHeight="1">
      <x:c r="A932" s="144" t="str">
        <x:v>Com-Signal</x:v>
      </x:c>
      <x:c r="B932" s="144" t="str">
        <x:v>COM-SIG-Rx-0020 / Actual_DiSus_Height_Mode_S</x:v>
      </x:c>
      <x:c r="C932" s="144" t="str">
        <x:v>PDU=DiSus_0x258; startBit=48; length=3; byteOrder=Little; type=UINT8; factor=1; offset=0; min=0; max=7; unit=-; receivers=MPC,MRR,BSMCL,BSMCR,FCR</x:v>
      </x:c>
      <x:c r="D9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2" s="144" t="str">
        <x:v>M2</x:v>
      </x:c>
      <x:c r="F932" s="144" t="str">
        <x:v>Signal 级可编辑配置、数据类型/缩放/端序合同、RTE 接口、边界值与 round-trip 测试。</x:v>
      </x:c>
      <x:c r="G932" s="144" t="str">
        <x:v>raw=0、raw=max、物理 min/max、越界/保留值、端序字节向量、pack→unpack round-trip；1457/1457 通过。</x:v>
      </x:c>
      <x:c r="H932" s="144" t="str">
        <x:v>coem/BYD_UKE/gen_bsw/Com/Com_PBcfg.c:42082; BoschOversea_StandardCANFD_commplatform_RCR_CAN_Matrix_V4.18.2_20251104.dbc:483</x:v>
      </x:c>
    </x:row>
    <x:row r="933" ht="72" customHeight="1">
      <x:c r="A933" s="144" t="str">
        <x:v>Com-Signal</x:v>
      </x:c>
      <x:c r="B933" s="144" t="str">
        <x:v>COM-SIG-Rx-0021 / Actual_DiSus_SH_Adjust_Gear_S</x:v>
      </x:c>
      <x:c r="C933" s="144" t="str">
        <x:v>PDU=DiSus_0x258; startBit=44; length=4; byteOrder=Little; type=UINT8; factor=1; offset=0; min=0; max=15; unit=-; receivers=MPC,MRR,BSMCL,BSMCR,FCR</x:v>
      </x:c>
      <x:c r="D9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3" s="144" t="str">
        <x:v>M2</x:v>
      </x:c>
      <x:c r="F933" s="144" t="str">
        <x:v>Signal 级可编辑配置、数据类型/缩放/端序合同、RTE 接口、边界值与 round-trip 测试。</x:v>
      </x:c>
      <x:c r="G933" s="144" t="str">
        <x:v>raw=0、raw=max、物理 min/max、越界/保留值、端序字节向量、pack→unpack round-trip；1457/1457 通过。</x:v>
      </x:c>
      <x:c r="H933" s="144" t="str">
        <x:v>coem/BYD_UKE/gen_bsw/Com/Com_PBcfg.c:42142; BoschOversea_StandardCANFD_commplatform_RCR_CAN_Matrix_V4.18.2_20251104.dbc:482</x:v>
      </x:c>
    </x:row>
    <x:row r="934" ht="72" customHeight="1">
      <x:c r="A934" s="144" t="str">
        <x:v>Com-Signal</x:v>
      </x:c>
      <x:c r="B934" s="144" t="str">
        <x:v>COM-SIG-Rx-0022 / Alive_Counter_258_S</x:v>
      </x:c>
      <x:c r="C934" s="144" t="str">
        <x:v>PDU=DiSus_0x258; startBit=16; length=16; byteOrder=Little; type=UINT16; factor=1; offset=0; min=0; max=65535; unit=-; receivers=MPC,MRR,BSMCL,BSMCR,FCR</x:v>
      </x:c>
      <x:c r="D9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4" s="144" t="str">
        <x:v>M2</x:v>
      </x:c>
      <x:c r="F934" s="144" t="str">
        <x:v>Signal 级可编辑配置、数据类型/缩放/端序合同、RTE 接口、边界值与 round-trip 测试。</x:v>
      </x:c>
      <x:c r="G934" s="144" t="str">
        <x:v>raw=0、raw=max、物理 min/max、越界/保留值、端序字节向量、pack→unpack round-trip；1457/1457 通过。</x:v>
      </x:c>
      <x:c r="H934" s="144" t="str">
        <x:v>coem/BYD_UKE/gen_bsw/Com/Com_PBcfg.c:42202; BoschOversea_StandardCANFD_commplatform_RCR_CAN_Matrix_V4.18.2_20251104.dbc:478</x:v>
      </x:c>
    </x:row>
    <x:row r="935" ht="72" customHeight="1">
      <x:c r="A935" s="144" t="str">
        <x:v>Com-Signal</x:v>
      </x:c>
      <x:c r="B935" s="144" t="str">
        <x:v>COM-SIG-Rx-0023 / CRC_Checknum_258_S</x:v>
      </x:c>
      <x:c r="C935" s="144" t="str">
        <x:v>PDU=DiSus_0x258; startBit=0; length=16; byteOrder=Little; type=UINT16; factor=1; offset=0; min=0; max=65535; unit=-; receivers=MPC,MRR,BSMCL,BSMCR,FCR</x:v>
      </x:c>
      <x:c r="D9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5" s="144" t="str">
        <x:v>M2</x:v>
      </x:c>
      <x:c r="F935" s="144" t="str">
        <x:v>Signal 级可编辑配置、数据类型/缩放/端序合同、RTE 接口、边界值与 round-trip 测试。</x:v>
      </x:c>
      <x:c r="G935" s="144" t="str">
        <x:v>raw=0、raw=max、物理 min/max、越界/保留值、端序字节向量、pack→unpack round-trip；1457/1457 通过。</x:v>
      </x:c>
      <x:c r="H935" s="144" t="str">
        <x:v>coem/BYD_UKE/gen_bsw/Com/Com_PBcfg.c:42262; BoschOversea_StandardCANFD_commplatform_RCR_CAN_Matrix_V4.18.2_20251104.dbc:477</x:v>
      </x:c>
    </x:row>
    <x:row r="936" ht="72" customHeight="1">
      <x:c r="A936" s="144" t="str">
        <x:v>Com-Signal</x:v>
      </x:c>
      <x:c r="B936" s="144" t="str">
        <x:v>COM-SIG-Rx-0024 / DiSus_Height_Adjust_Fault</x:v>
      </x:c>
      <x:c r="C936" s="144" t="str">
        <x:v>PDU=DiSus_0x258; startBit=34; length=1; byteOrder=Little; type=UINT8; factor=1; offset=0; min=0; max=1; unit=-; receivers=MPC,MRR,BSMCL,BSMCR,FCR</x:v>
      </x:c>
      <x:c r="D9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6" s="144" t="str">
        <x:v>M2</x:v>
      </x:c>
      <x:c r="F936" s="144" t="str">
        <x:v>Signal 级可编辑配置、数据类型/缩放/端序合同、RTE 接口、边界值与 round-trip 测试。</x:v>
      </x:c>
      <x:c r="G936" s="144" t="str">
        <x:v>raw=0、raw=max、物理 min/max、越界/保留值、端序字节向量、pack→unpack round-trip；1457/1457 通过。</x:v>
      </x:c>
      <x:c r="H936" s="144" t="str">
        <x:v>coem/BYD_UKE/gen_bsw/Com/Com_PBcfg.c:42322; BoschOversea_StandardCANFD_commplatform_RCR_CAN_Matrix_V4.18.2_20251104.dbc:480</x:v>
      </x:c>
    </x:row>
    <x:row r="937" ht="72" customHeight="1">
      <x:c r="A937" s="144" t="str">
        <x:v>Com-Signal</x:v>
      </x:c>
      <x:c r="B937" s="144" t="str">
        <x:v>COM-SIG-Rx-0025 / DiSus_Height_Adjust_Process_S</x:v>
      </x:c>
      <x:c r="C937" s="144" t="str">
        <x:v>PDU=DiSus_0x258; startBit=36; length=3; byteOrder=Little; type=UINT8; factor=1; offset=0; min=0; max=7; unit=-; receivers=MPC,MRR,BSMCL,BSMCR,FCR</x:v>
      </x:c>
      <x:c r="D9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7" s="144" t="str">
        <x:v>M2</x:v>
      </x:c>
      <x:c r="F937" s="144" t="str">
        <x:v>Signal 级可编辑配置、数据类型/缩放/端序合同、RTE 接口、边界值与 round-trip 测试。</x:v>
      </x:c>
      <x:c r="G937" s="144" t="str">
        <x:v>raw=0、raw=max、物理 min/max、越界/保留值、端序字节向量、pack→unpack round-trip；1457/1457 通过。</x:v>
      </x:c>
      <x:c r="H937" s="144" t="str">
        <x:v>coem/BYD_UKE/gen_bsw/Com/Com_PBcfg.c:42382; BoschOversea_StandardCANFD_commplatform_RCR_CAN_Matrix_V4.18.2_20251104.dbc:481</x:v>
      </x:c>
    </x:row>
    <x:row r="938" ht="72" customHeight="1">
      <x:c r="A938" s="144" t="str">
        <x:v>Com-Signal</x:v>
      </x:c>
      <x:c r="B938" s="144" t="str">
        <x:v>COM-SIG-Rx-0026 / DiSus_Height_Not_Calibration_S</x:v>
      </x:c>
      <x:c r="C938" s="144" t="str">
        <x:v>PDU=DiSus_0x258; startBit=103; length=1; byteOrder=Little; type=UINT8; factor=1; offset=0; min=0; max=1; unit=-; receivers=MPC,MRR,BSMCL,BSMCR,FCR</x:v>
      </x:c>
      <x:c r="D9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8" s="144" t="str">
        <x:v>M2</x:v>
      </x:c>
      <x:c r="F938" s="144" t="str">
        <x:v>Signal 级可编辑配置、数据类型/缩放/端序合同、RTE 接口、边界值与 round-trip 测试。</x:v>
      </x:c>
      <x:c r="G938" s="144" t="str">
        <x:v>raw=0、raw=max、物理 min/max、越界/保留值、端序字节向量、pack→unpack round-trip；1457/1457 通过。</x:v>
      </x:c>
      <x:c r="H938" s="144" t="str">
        <x:v>coem/BYD_UKE/gen_bsw/Com/Com_PBcfg.c:42442; BoschOversea_StandardCANFD_commplatform_RCR_CAN_Matrix_V4.18.2_20251104.dbc:485</x:v>
      </x:c>
    </x:row>
    <x:row r="939" ht="72" customHeight="1">
      <x:c r="A939" s="144" t="str">
        <x:v>Com-Signal</x:v>
      </x:c>
      <x:c r="B939" s="144" t="str">
        <x:v>COM-SIG-Rx-0027 / DiSus_SH_Adjust_Status_S</x:v>
      </x:c>
      <x:c r="C939" s="144" t="str">
        <x:v>PDU=DiSus_0x258; startBit=33; length=1; byteOrder=Little; type=UINT8; factor=1; offset=0; min=0; max=1; unit=-; receivers=MPC,MRR,BSMCL,BSMCR,FCR</x:v>
      </x:c>
      <x:c r="D9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39" s="144" t="str">
        <x:v>M2</x:v>
      </x:c>
      <x:c r="F939" s="144" t="str">
        <x:v>Signal 级可编辑配置、数据类型/缩放/端序合同、RTE 接口、边界值与 round-trip 测试。</x:v>
      </x:c>
      <x:c r="G939" s="144" t="str">
        <x:v>raw=0、raw=max、物理 min/max、越界/保留值、端序字节向量、pack→unpack round-trip；1457/1457 通过。</x:v>
      </x:c>
      <x:c r="H939" s="144" t="str">
        <x:v>coem/BYD_UKE/gen_bsw/Com/Com_PBcfg.c:42502; BoschOversea_StandardCANFD_commplatform_RCR_CAN_Matrix_V4.18.2_20251104.dbc:479</x:v>
      </x:c>
    </x:row>
    <x:row r="940" ht="72" customHeight="1">
      <x:c r="A940" s="144" t="str">
        <x:v>Com-Signal</x:v>
      </x:c>
      <x:c r="B940" s="144" t="str">
        <x:v>COM-SIG-Rx-0028 / Goal_DiSus_Height_Mode_S</x:v>
      </x:c>
      <x:c r="C940" s="144" t="str">
        <x:v>PDU=DiSus_0x258; startBit=52; length=3; byteOrder=Little; type=UINT8; factor=1; offset=0; min=0; max=7; unit=-; receivers=MPC,MRR,BSMCL,BSMCR,FCR</x:v>
      </x:c>
      <x:c r="D9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0" s="144" t="str">
        <x:v>M2</x:v>
      </x:c>
      <x:c r="F940" s="144" t="str">
        <x:v>Signal 级可编辑配置、数据类型/缩放/端序合同、RTE 接口、边界值与 round-trip 测试。</x:v>
      </x:c>
      <x:c r="G940" s="144" t="str">
        <x:v>raw=0、raw=max、物理 min/max、越界/保留值、端序字节向量、pack→unpack round-trip；1457/1457 通过。</x:v>
      </x:c>
      <x:c r="H940" s="144" t="str">
        <x:v>coem/BYD_UKE/gen_bsw/Com/Com_PBcfg.c:42562; BoschOversea_StandardCANFD_commplatform_RCR_CAN_Matrix_V4.18.2_20251104.dbc:484</x:v>
      </x:c>
    </x:row>
    <x:row r="941" ht="72" customHeight="1">
      <x:c r="A941" s="144" t="str">
        <x:v>Com-Signal</x:v>
      </x:c>
      <x:c r="B941" s="144" t="str">
        <x:v>COM-SIG-Rx-0029 / ECM_Engine_Rev10D_S</x:v>
      </x:c>
      <x:c r="C941" s="144" t="str">
        <x:v>PDU=ECM_0x10D; startBit=0; length=16; byteOrder=Little; type=UINT16; factor=0.25; offset=0; min=0; max=10000; unit=rpm; receivers=Left_BCM_L1,Left_BCM_L2_L3,Left_BCM_L4,Media,LTE4G,VCU,BSG,IPB,SRS,MPC,ADS,MRR,BSMCL,BSMCR</x:v>
      </x:c>
      <x:c r="D9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1" s="144" t="str">
        <x:v>M2</x:v>
      </x:c>
      <x:c r="F941" s="144" t="str">
        <x:v>Signal 级可编辑配置、数据类型/缩放/端序合同、RTE 接口、边界值与 round-trip 测试。</x:v>
      </x:c>
      <x:c r="G941" s="144" t="str">
        <x:v>raw=0、raw=max、物理 min/max、越界/保留值、端序字节向量、pack→unpack round-trip；1457/1457 通过。</x:v>
      </x:c>
      <x:c r="H941" s="144" t="str">
        <x:v>coem/BYD_UKE/gen_bsw/Com/Com_PBcfg.c:42622; BoschOversea_StandardCANFD_commplatform_RCR_CAN_Matrix_V4.18.2_20251104.dbc:115</x:v>
      </x:c>
    </x:row>
    <x:row r="942" ht="72" customHeight="1">
      <x:c r="A942" s="144" t="str">
        <x:v>Com-Signal</x:v>
      </x:c>
      <x:c r="B942" s="144" t="str">
        <x:v>COM-SIG-Rx-0030 / ECM_Engine_Status_S</x:v>
      </x:c>
      <x:c r="C942" s="144" t="str">
        <x:v>PDU=ECM_0x10D; startBit=48; length=3; byteOrder=Little; type=UINT8; factor=1; offset=0; min=0; max=7; unit=-; receivers=Left_BCM_L1,Left_BCM_L2_L3,Left_BCM_L4,Right_BCM,Rear_BCM,Media,LTE4G,AVAS,ALS,LBMS,VCU,BMS,DCOBC,BDC,FMCU,RMCU,ISG,BSG,TCU,IPB,EPS,MPC,ADS,MRR,BSMCL,BSMCR</x:v>
      </x:c>
      <x:c r="D9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2" s="144" t="str">
        <x:v>M2</x:v>
      </x:c>
      <x:c r="F942" s="144" t="str">
        <x:v>Signal 级可编辑配置、数据类型/缩放/端序合同、RTE 接口、边界值与 round-trip 测试。</x:v>
      </x:c>
      <x:c r="G942" s="144" t="str">
        <x:v>raw=0、raw=max、物理 min/max、越界/保留值、端序字节向量、pack→unpack round-trip；1457/1457 通过。</x:v>
      </x:c>
      <x:c r="H942" s="144" t="str">
        <x:v>coem/BYD_UKE/gen_bsw/Com/Com_PBcfg.c:42682; BoschOversea_StandardCANFD_commplatform_RCR_CAN_Matrix_V4.18.2_20251104.dbc:119</x:v>
      </x:c>
    </x:row>
    <x:row r="943" ht="72" customHeight="1">
      <x:c r="A943" s="144" t="str">
        <x:v>Com-Signal</x:v>
      </x:c>
      <x:c r="B943" s="144" t="str">
        <x:v>COM-SIG-Rx-0031 / LRCR_LeTarDstX</x:v>
      </x:c>
      <x:c r="C943" s="144" t="str">
        <x:v>PDU=ELKOT_LeftObj; startBit=21; length=11; byteOrder=Little; type=UINT16; factor=0.1; offset=-150; min=-150; max=10; unit=m; receivers=RadarRearRight</x:v>
      </x:c>
      <x:c r="D9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3" s="144" t="str">
        <x:v>M2</x:v>
      </x:c>
      <x:c r="F943" s="144" t="str">
        <x:v>Signal 级可编辑配置、数据类型/缩放/端序合同、RTE 接口、边界值与 round-trip 测试。</x:v>
      </x:c>
      <x:c r="G943" s="144" t="str">
        <x:v>raw=0、raw=max、物理 min/max、越界/保留值、端序字节向量、pack→unpack round-trip；1457/1457 通过。</x:v>
      </x:c>
      <x:c r="H943" s="144" t="str">
        <x:v>coem/BYD_UKE/gen_bsw/Com/Com_PBcfg.c:42742; BYD_5R1V_RadarRearcorner_V2.5_AllNodes.dbc:126</x:v>
      </x:c>
    </x:row>
    <x:row r="944" ht="72" customHeight="1">
      <x:c r="A944" s="144" t="str">
        <x:v>Com-Signal</x:v>
      </x:c>
      <x:c r="B944" s="144" t="str">
        <x:v>COM-SIG-Rx-0032 / LRCR_LeTarDstY</x:v>
      </x:c>
      <x:c r="C944" s="144" t="str">
        <x:v>PDU=ELKOT_LeftObj; startBit=53; length=11; byteOrder=Little; type=UINT16; factor=0.06225; offset=-50; min=-50; max=50; unit=m; receivers=RadarRearRight</x:v>
      </x:c>
      <x:c r="D9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4" s="144" t="str">
        <x:v>M2</x:v>
      </x:c>
      <x:c r="F944" s="144" t="str">
        <x:v>Signal 级可编辑配置、数据类型/缩放/端序合同、RTE 接口、边界值与 round-trip 测试。</x:v>
      </x:c>
      <x:c r="G944" s="144" t="str">
        <x:v>raw=0、raw=max、物理 min/max、越界/保留值、端序字节向量、pack→unpack round-trip；1457/1457 通过。</x:v>
      </x:c>
      <x:c r="H944" s="144" t="str">
        <x:v>coem/BYD_UKE/gen_bsw/Com/Com_PBcfg.c:42802; BYD_5R1V_RadarRearcorner_V2.5_AllNodes.dbc:128</x:v>
      </x:c>
    </x:row>
    <x:row r="945" ht="72" customHeight="1">
      <x:c r="A945" s="144" t="str">
        <x:v>Com-Signal</x:v>
      </x:c>
      <x:c r="B945" s="144" t="str">
        <x:v>COM-SIG-Rx-0033 / LRCR_LeTarRelVelX</x:v>
      </x:c>
      <x:c r="C945" s="144" t="str">
        <x:v>PDU=ELKOT_LeftObj; startBit=6; length=9; byteOrder=Little; type=UINT16; factor=0.1; offset=0; min=0; max=51.1; unit=m/s; receivers=RadarRearRight</x:v>
      </x:c>
      <x:c r="D9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5" s="144" t="str">
        <x:v>M2</x:v>
      </x:c>
      <x:c r="F945" s="144" t="str">
        <x:v>Signal 级可编辑配置、数据类型/缩放/端序合同、RTE 接口、边界值与 round-trip 测试。</x:v>
      </x:c>
      <x:c r="G945" s="144" t="str">
        <x:v>raw=0、raw=max、物理 min/max、越界/保留值、端序字节向量、pack→unpack round-trip；1457/1457 通过。</x:v>
      </x:c>
      <x:c r="H945" s="144" t="str">
        <x:v>coem/BYD_UKE/gen_bsw/Com/Com_PBcfg.c:42862; BYD_5R1V_RadarRearcorner_V2.5_AllNodes.dbc:125</x:v>
      </x:c>
    </x:row>
    <x:row r="946" ht="72" customHeight="1">
      <x:c r="A946" s="144" t="str">
        <x:v>Com-Signal</x:v>
      </x:c>
      <x:c r="B946" s="144" t="str">
        <x:v>COM-SIG-Rx-0034 / LRCR_LeTarRelVelY</x:v>
      </x:c>
      <x:c r="C946" s="144" t="str">
        <x:v>PDU=ELKOT_LeftObj; startBit=38; length=10; byteOrder=Little; type=UINT16; factor=0.06225; offset=-30; min=-30; max=30; unit=m/s; receivers=RadarRearRight</x:v>
      </x:c>
      <x:c r="D9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6" s="144" t="str">
        <x:v>M2</x:v>
      </x:c>
      <x:c r="F946" s="144" t="str">
        <x:v>Signal 级可编辑配置、数据类型/缩放/端序合同、RTE 接口、边界值与 round-trip 测试。</x:v>
      </x:c>
      <x:c r="G946" s="144" t="str">
        <x:v>raw=0、raw=max、物理 min/max、越界/保留值、端序字节向量、pack→unpack round-trip；1457/1457 通过。</x:v>
      </x:c>
      <x:c r="H946" s="144" t="str">
        <x:v>coem/BYD_UKE/gen_bsw/Com/Com_PBcfg.c:42922; BYD_5R1V_RadarRearcorner_V2.5_AllNodes.dbc:127</x:v>
      </x:c>
    </x:row>
    <x:row r="947" ht="72" customHeight="1">
      <x:c r="A947" s="144" t="str">
        <x:v>Com-Signal</x:v>
      </x:c>
      <x:c r="B947" s="144" t="str">
        <x:v>COM-SIG-Rx-0035 / LRCR_LeTarSts</x:v>
      </x:c>
      <x:c r="C947" s="144" t="str">
        <x:v>PDU=ELKOT_LeftObj; startBit=4; length=1; byteOrder=Little; type=UINT8; factor=1; offset=0; min=0; max=1; unit=-; receivers=RadarRearRight</x:v>
      </x:c>
      <x:c r="D9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7" s="144" t="str">
        <x:v>M2</x:v>
      </x:c>
      <x:c r="F947" s="144" t="str">
        <x:v>Signal 级可编辑配置、数据类型/缩放/端序合同、RTE 接口、边界值与 round-trip 测试。</x:v>
      </x:c>
      <x:c r="G947" s="144" t="str">
        <x:v>raw=0、raw=max、物理 min/max、越界/保留值、端序字节向量、pack→unpack round-trip；1457/1457 通过。</x:v>
      </x:c>
      <x:c r="H947" s="144" t="str">
        <x:v>coem/BYD_UKE/gen_bsw/Com/Com_PBcfg.c:42982; BYD_5R1V_RadarRearcorner_V2.5_AllNodes.dbc:129</x:v>
      </x:c>
    </x:row>
    <x:row r="948" ht="72" customHeight="1">
      <x:c r="A948" s="144" t="str">
        <x:v>Com-Signal</x:v>
      </x:c>
      <x:c r="B948" s="144" t="str">
        <x:v>COM-SIG-Rx-0036 / Failure_Stats_OK_S</x:v>
      </x:c>
      <x:c r="C948" s="144" t="str">
        <x:v>PDU=EPS_0x11F; startBit=24; length=1; byteOrder=Little; type=UINT8; factor=1; offset=0; min=0; max=1; unit=-; receivers=ALS,ECM_Fuel,TCU,IPB,SRS,MPC,ADS,MRR,BSMCL,BSMCR,APA</x:v>
      </x:c>
      <x:c r="D9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8" s="144" t="str">
        <x:v>M2</x:v>
      </x:c>
      <x:c r="F948" s="144" t="str">
        <x:v>Signal 级可编辑配置、数据类型/缩放/端序合同、RTE 接口、边界值与 round-trip 测试。</x:v>
      </x:c>
      <x:c r="G948" s="144" t="str">
        <x:v>raw=0、raw=max、物理 min/max、越界/保留值、端序字节向量、pack→unpack round-trip；1457/1457 通过。</x:v>
      </x:c>
      <x:c r="H948" s="144" t="str">
        <x:v>coem/BYD_UKE/gen_bsw/Com/Com_PBcfg.c:43042; BoschOversea_StandardCANFD_commplatform_RCR_CAN_Matrix_V4.18.2_20251104.dbc:234</x:v>
      </x:c>
    </x:row>
    <x:row r="949" ht="72" customHeight="1">
      <x:c r="A949" s="144" t="str">
        <x:v>Com-Signal</x:v>
      </x:c>
      <x:c r="B949" s="144" t="str">
        <x:v>COM-SIG-Rx-0037 / SAS_Checksum11F_S</x:v>
      </x:c>
      <x:c r="C949" s="144" t="str">
        <x:v>PDU=EPS_0x11F; startBit=36; length=4; byteOrder=Little; type=UINT8; factor=1; offset=0; min=0; max=15; unit=-; receivers=ECM_Fuel,IPB,MPC,ADS,MRR,BSMCL,BSMCR,APA</x:v>
      </x:c>
      <x:c r="D9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49" s="144" t="str">
        <x:v>M2</x:v>
      </x:c>
      <x:c r="F949" s="144" t="str">
        <x:v>Signal 级可编辑配置、数据类型/缩放/端序合同、RTE 接口、边界值与 round-trip 测试。</x:v>
      </x:c>
      <x:c r="G949" s="144" t="str">
        <x:v>raw=0、raw=max、物理 min/max、越界/保留值、端序字节向量、pack→unpack round-trip；1457/1457 通过。</x:v>
      </x:c>
      <x:c r="H949" s="144" t="str">
        <x:v>coem/BYD_UKE/gen_bsw/Com/Com_PBcfg.c:43102; BoschOversea_StandardCANFD_commplatform_RCR_CAN_Matrix_V4.18.2_20251104.dbc:238</x:v>
      </x:c>
    </x:row>
    <x:row r="950" ht="72" customHeight="1">
      <x:c r="A950" s="144" t="str">
        <x:v>Com-Signal</x:v>
      </x:c>
      <x:c r="B950" s="144" t="str">
        <x:v>COM-SIG-Rx-0038 / SAS_Scroll_Cycle_11F_Cnt_S</x:v>
      </x:c>
      <x:c r="C950" s="144" t="str">
        <x:v>PDU=EPS_0x11F; startBit=32; length=4; byteOrder=Little; type=UINT8; factor=1; offset=0; min=0; max=15; unit=-; receivers=ECM_Fuel,IPB,MPC,ADS,MRR,BSMCL,BSMCR,APA</x:v>
      </x:c>
      <x:c r="D95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0" s="144" t="str">
        <x:v>M2</x:v>
      </x:c>
      <x:c r="F950" s="144" t="str">
        <x:v>Signal 级可编辑配置、数据类型/缩放/端序合同、RTE 接口、边界值与 round-trip 测试。</x:v>
      </x:c>
      <x:c r="G950" s="144" t="str">
        <x:v>raw=0、raw=max、物理 min/max、越界/保留值、端序字节向量、pack→unpack round-trip；1457/1457 通过。</x:v>
      </x:c>
      <x:c r="H950" s="144" t="str">
        <x:v>coem/BYD_UKE/gen_bsw/Com/Com_PBcfg.c:43162; BoschOversea_StandardCANFD_commplatform_RCR_CAN_Matrix_V4.18.2_20251104.dbc:237</x:v>
      </x:c>
    </x:row>
    <x:row r="951" ht="72" customHeight="1">
      <x:c r="A951" s="144" t="str">
        <x:v>Com-Signal</x:v>
      </x:c>
      <x:c r="B951" s="144" t="str">
        <x:v>COM-SIG-Rx-0039 / Sensor_Calibration_Stats_S</x:v>
      </x:c>
      <x:c r="C951" s="144" t="str">
        <x:v>PDU=EPS_0x11F; startBit=25; length=1; byteOrder=Little; type=UINT8; factor=1; offset=0; min=0; max=1; unit=-; receivers=ALS,ECM_Fuel,TCU,IPB,MPC,ADS,MRR,BSMCL,BSMCR,APA</x:v>
      </x:c>
      <x:c r="D9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1" s="144" t="str">
        <x:v>M2</x:v>
      </x:c>
      <x:c r="F951" s="144" t="str">
        <x:v>Signal 级可编辑配置、数据类型/缩放/端序合同、RTE 接口、边界值与 round-trip 测试。</x:v>
      </x:c>
      <x:c r="G951" s="144" t="str">
        <x:v>raw=0、raw=max、物理 min/max、越界/保留值、端序字节向量、pack→unpack round-trip；1457/1457 通过。</x:v>
      </x:c>
      <x:c r="H951" s="144" t="str">
        <x:v>coem/BYD_UKE/gen_bsw/Com/Com_PBcfg.c:43222; BoschOversea_StandardCANFD_commplatform_RCR_CAN_Matrix_V4.18.2_20251104.dbc:235</x:v>
      </x:c>
    </x:row>
    <x:row r="952" ht="72" customHeight="1">
      <x:c r="A952" s="144" t="str">
        <x:v>Com-Signal</x:v>
      </x:c>
      <x:c r="B952" s="144" t="str">
        <x:v>COM-SIG-Rx-0040 / Steering_Wheel_Angle_S</x:v>
      </x:c>
      <x:c r="C952" s="144" t="str">
        <x:v>PDU=EPS_0x11F; startBit=0; length=16; byteOrder=Little; type=SINT16; factor=0.1; offset=0; min=-780; max=779.9; unit=��; receivers=Left_BCM_L1,Left_BCM_L2_L3,Left_BCM_L4,Media,ALS,ECM_Fuel,VCU,TCU,IPB,SRS,MPC,ADS,MRR,BSMCL,BSMCR,APA,FLL,FLR</x:v>
      </x:c>
      <x:c r="D9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2" s="144" t="str">
        <x:v>M2</x:v>
      </x:c>
      <x:c r="F952" s="144" t="str">
        <x:v>Signal 级可编辑配置、数据类型/缩放/端序合同、RTE 接口、边界值与 round-trip 测试。</x:v>
      </x:c>
      <x:c r="G952" s="144" t="str">
        <x:v>raw=0、raw=max、物理 min/max、越界/保留值、端序字节向量、pack→unpack round-trip；1457/1457 通过。</x:v>
      </x:c>
      <x:c r="H952" s="144" t="str">
        <x:v>coem/BYD_UKE/gen_bsw/Com/Com_PBcfg.c:43282; BoschOversea_StandardCANFD_commplatform_RCR_CAN_Matrix_V4.18.2_20251104.dbc:232</x:v>
      </x:c>
    </x:row>
    <x:row r="953" ht="72" customHeight="1">
      <x:c r="A953" s="144" t="str">
        <x:v>Com-Signal</x:v>
      </x:c>
      <x:c r="B953" s="144" t="str">
        <x:v>COM-SIG-Rx-0041 / Steering_Wheel_Rotation_Speed_S</x:v>
      </x:c>
      <x:c r="C953" s="144" t="str">
        <x:v>PDU=EPS_0x11F; startBit=16; length=8; byteOrder=Little; type=UINT8; factor=4; offset=0; min=0; max=1016; unit=��/s; receivers=Media,ECM_Fuel,IPB,MPC,ADS,MRR,BSMCL,BSMCR,APA</x:v>
      </x:c>
      <x:c r="D9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3" s="144" t="str">
        <x:v>M2</x:v>
      </x:c>
      <x:c r="F953" s="144" t="str">
        <x:v>Signal 级可编辑配置、数据类型/缩放/端序合同、RTE 接口、边界值与 round-trip 测试。</x:v>
      </x:c>
      <x:c r="G953" s="144" t="str">
        <x:v>raw=0、raw=max、物理 min/max、越界/保留值、端序字节向量、pack→unpack round-trip；1457/1457 通过。</x:v>
      </x:c>
      <x:c r="H953" s="144" t="str">
        <x:v>coem/BYD_UKE/gen_bsw/Com/Com_PBcfg.c:43342; BoschOversea_StandardCANFD_commplatform_RCR_CAN_Matrix_V4.18.2_20251104.dbc:233</x:v>
      </x:c>
    </x:row>
    <x:row r="954" ht="72" customHeight="1">
      <x:c r="A954" s="144" t="str">
        <x:v>Com-Signal</x:v>
      </x:c>
      <x:c r="B954" s="144" t="str">
        <x:v>COM-SIG-Rx-0042 / TRIM_Trimming_Stats_S</x:v>
      </x:c>
      <x:c r="C954" s="144" t="str">
        <x:v>PDU=EPS_0x11F; startBit=26; length=1; byteOrder=Little; type=UINT8; factor=1; offset=0; min=0; max=1; unit=-; receivers=ECM_Fuel,MPC,ADS,MRR,BSMCL,BSMCR,APA</x:v>
      </x:c>
      <x:c r="D9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4" s="144" t="str">
        <x:v>M2</x:v>
      </x:c>
      <x:c r="F954" s="144" t="str">
        <x:v>Signal 级可编辑配置、数据类型/缩放/端序合同、RTE 接口、边界值与 round-trip 测试。</x:v>
      </x:c>
      <x:c r="G954" s="144" t="str">
        <x:v>raw=0、raw=max、物理 min/max、越界/保留值、端序字节向量、pack→unpack round-trip；1457/1457 通过。</x:v>
      </x:c>
      <x:c r="H954" s="144" t="str">
        <x:v>coem/BYD_UKE/gen_bsw/Com/Com_PBcfg.c:43402; BoschOversea_StandardCANFD_commplatform_RCR_CAN_Matrix_V4.18.2_20251104.dbc:236</x:v>
      </x:c>
    </x:row>
    <x:row r="955" ht="72" customHeight="1">
      <x:c r="A955" s="144" t="str">
        <x:v>Com-Signal</x:v>
      </x:c>
      <x:c r="B955" s="144" t="str">
        <x:v>COM-SIG-Rx-0043 / CheckSum_0D5_S</x:v>
      </x:c>
      <x:c r="C955" s="144" t="str">
        <x:v>PDU=IPB_0x0D5; startBit=56; length=8; byteOrder=Little; type=UINT8; factor=1; offset=0; min=0; max=255; unit=-; receivers=MPC,ADS,MRR,BSMCL,BSMCR</x:v>
      </x:c>
      <x:c r="D9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5" s="144" t="str">
        <x:v>M2</x:v>
      </x:c>
      <x:c r="F955" s="144" t="str">
        <x:v>Signal 级可编辑配置、数据类型/缩放/端序合同、RTE 接口、边界值与 round-trip 测试。</x:v>
      </x:c>
      <x:c r="G955" s="144" t="str">
        <x:v>raw=0、raw=max、物理 min/max、越界/保留值、端序字节向量、pack→unpack round-trip；1457/1457 通过。</x:v>
      </x:c>
      <x:c r="H955" s="144" t="str">
        <x:v>coem/BYD_UKE/gen_bsw/Com/Com_PBcfg.c:43462; BoschOversea_StandardCANFD_commplatform_RCR_CAN_Matrix_V4.18.2_20251104.dbc:229</x:v>
      </x:c>
    </x:row>
    <x:row r="956" ht="72" customHeight="1">
      <x:c r="A956" s="144" t="str">
        <x:v>Com-Signal</x:v>
      </x:c>
      <x:c r="B956" s="144" t="str">
        <x:v>COM-SIG-Rx-0044 / IPB_Imput_Rod_Stroke_S</x:v>
      </x:c>
      <x:c r="C956" s="144" t="str">
        <x:v>PDU=IPB_0x0D5; startBit=0; length=10; byteOrder=Little; type=UINT16; factor=0.05; offset=-5; min=-5; max=46.15; unit=mm; receivers=VCU,MPC,ADS,MRR,BSMCL,BSMCR</x:v>
      </x:c>
      <x:c r="D9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6" s="144" t="str">
        <x:v>M2</x:v>
      </x:c>
      <x:c r="F956" s="144" t="str">
        <x:v>Signal 级可编辑配置、数据类型/缩放/端序合同、RTE 接口、边界值与 round-trip 测试。</x:v>
      </x:c>
      <x:c r="G956" s="144" t="str">
        <x:v>raw=0、raw=max、物理 min/max、越界/保留值、端序字节向量、pack→unpack round-trip；1457/1457 通过。</x:v>
      </x:c>
      <x:c r="H956" s="144" t="str">
        <x:v>coem/BYD_UKE/gen_bsw/Com/Com_PBcfg.c:43522; BoschOversea_StandardCANFD_commplatform_RCR_CAN_Matrix_V4.18.2_20251104.dbc:226</x:v>
      </x:c>
    </x:row>
    <x:row r="957" ht="72" customHeight="1">
      <x:c r="A957" s="144" t="str">
        <x:v>Com-Signal</x:v>
      </x:c>
      <x:c r="B957" s="144" t="str">
        <x:v>COM-SIG-Rx-0045 / IPB_Imput_Rod_Stroke_State_S</x:v>
      </x:c>
      <x:c r="C957" s="144" t="str">
        <x:v>PDU=IPB_0x0D5; startBit=10; length=1; byteOrder=Little; type=UINT8; factor=1; offset=0; min=0; max=1; unit=-; receivers=VCU,MPC,ADS,MRR,BSMCL,BSMCR</x:v>
      </x:c>
      <x:c r="D95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7" s="144" t="str">
        <x:v>M2</x:v>
      </x:c>
      <x:c r="F957" s="144" t="str">
        <x:v>Signal 级可编辑配置、数据类型/缩放/端序合同、RTE 接口、边界值与 round-trip 测试。</x:v>
      </x:c>
      <x:c r="G957" s="144" t="str">
        <x:v>raw=0、raw=max、物理 min/max、越界/保留值、端序字节向量、pack→unpack round-trip；1457/1457 通过。</x:v>
      </x:c>
      <x:c r="H957" s="144" t="str">
        <x:v>coem/BYD_UKE/gen_bsw/Com/Com_PBcfg.c:43582; BoschOversea_StandardCANFD_commplatform_RCR_CAN_Matrix_V4.18.2_20251104.dbc:227</x:v>
      </x:c>
    </x:row>
    <x:row r="958" ht="72" customHeight="1">
      <x:c r="A958" s="144" t="str">
        <x:v>Com-Signal</x:v>
      </x:c>
      <x:c r="B958" s="144" t="str">
        <x:v>COM-SIG-Rx-0046 / Message_Counter0D5_S</x:v>
      </x:c>
      <x:c r="C958" s="144" t="str">
        <x:v>PDU=IPB_0x0D5; startBit=52; length=4; byteOrder=Little; type=UINT8; factor=1; offset=0; min=0; max=15; unit=-; receivers=MPC,ADS,MRR,BSMCL,BSMCR</x:v>
      </x:c>
      <x:c r="D9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8" s="144" t="str">
        <x:v>M2</x:v>
      </x:c>
      <x:c r="F958" s="144" t="str">
        <x:v>Signal 级可编辑配置、数据类型/缩放/端序合同、RTE 接口、边界值与 round-trip 测试。</x:v>
      </x:c>
      <x:c r="G958" s="144" t="str">
        <x:v>raw=0、raw=max、物理 min/max、越界/保留值、端序字节向量、pack→unpack round-trip；1457/1457 通过。</x:v>
      </x:c>
      <x:c r="H958" s="144" t="str">
        <x:v>coem/BYD_UKE/gen_bsw/Com/Com_PBcfg.c:43642; BoschOversea_StandardCANFD_commplatform_RCR_CAN_Matrix_V4.18.2_20251104.dbc:228</x:v>
      </x:c>
    </x:row>
    <x:row r="959" ht="72" customHeight="1">
      <x:c r="A959" s="144" t="str">
        <x:v>Com-Signal</x:v>
      </x:c>
      <x:c r="B959" s="144" t="str">
        <x:v>COM-SIG-Rx-0047 / ABS_Active</x:v>
      </x:c>
      <x:c r="C959" s="144" t="str">
        <x:v>PDU=IPB_0x10C; startBit=158; length=1; byteOrder=Little; type=UINT8; factor=1; offset=0; min=0; max=1; unit=-; receivers=MPC,ADS,MRR,BSMCL,BSMCR,FCR</x:v>
      </x:c>
      <x:c r="D9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59" s="144" t="str">
        <x:v>M2</x:v>
      </x:c>
      <x:c r="F959" s="144" t="str">
        <x:v>Signal 级可编辑配置、数据类型/缩放/端序合同、RTE 接口、边界值与 round-trip 测试。</x:v>
      </x:c>
      <x:c r="G959" s="144" t="str">
        <x:v>raw=0、raw=max、物理 min/max、越界/保留值、端序字节向量、pack→unpack round-trip；1457/1457 通过。</x:v>
      </x:c>
      <x:c r="H959" s="144" t="str">
        <x:v>coem/BYD_UKE/gen_bsw/Com/Com_PBcfg.c:43702; BoschOversea_StandardCANFD_commplatform_RCR_CAN_Matrix_V4.18.2_20251104.dbc:418</x:v>
      </x:c>
    </x:row>
    <x:row r="960" ht="72" customHeight="1">
      <x:c r="A960" s="144" t="str">
        <x:v>Com-Signal</x:v>
      </x:c>
      <x:c r="B960" s="144" t="str">
        <x:v>COM-SIG-Rx-0048 / ABS_Fault</x:v>
      </x:c>
      <x:c r="C960" s="144" t="str">
        <x:v>PDU=IPB_0x10C; startBit=159; length=1; byteOrder=Little; type=UINT8; factor=1; offset=0; min=0; max=1; unit=-; receivers=MPC,ADS,MRR,BSMCL,BSMCR,FCR</x:v>
      </x:c>
      <x:c r="D9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0" s="144" t="str">
        <x:v>M2</x:v>
      </x:c>
      <x:c r="F960" s="144" t="str">
        <x:v>Signal 级可编辑配置、数据类型/缩放/端序合同、RTE 接口、边界值与 round-trip 测试。</x:v>
      </x:c>
      <x:c r="G960" s="144" t="str">
        <x:v>raw=0、raw=max、物理 min/max、越界/保留值、端序字节向量、pack→unpack round-trip；1457/1457 通过。</x:v>
      </x:c>
      <x:c r="H960" s="144" t="str">
        <x:v>coem/BYD_UKE/gen_bsw/Com/Com_PBcfg.c:43762; BoschOversea_StandardCANFD_commplatform_RCR_CAN_Matrix_V4.18.2_20251104.dbc:419</x:v>
      </x:c>
    </x:row>
    <x:row r="961" ht="72" customHeight="1">
      <x:c r="A961" s="144" t="str">
        <x:v>Com-Signal</x:v>
      </x:c>
      <x:c r="B961" s="144" t="str">
        <x:v>COM-SIG-Rx-0049 / AWBactive</x:v>
      </x:c>
      <x:c r="C961" s="144" t="str">
        <x:v>PDU=IPB_0x10C; startBit=326; length=1; byteOrder=Little; type=UINT8; factor=1; offset=0; min=0; max=1; unit=-; receivers=MPC,ADS,MRR,BSMCL,BSMCR,FCR</x:v>
      </x:c>
      <x:c r="D9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1" s="144" t="str">
        <x:v>M2</x:v>
      </x:c>
      <x:c r="F961" s="144" t="str">
        <x:v>Signal 级可编辑配置、数据类型/缩放/端序合同、RTE 接口、边界值与 round-trip 测试。</x:v>
      </x:c>
      <x:c r="G961" s="144" t="str">
        <x:v>raw=0、raw=max、物理 min/max、越界/保留值、端序字节向量、pack→unpack round-trip；1457/1457 通过。</x:v>
      </x:c>
      <x:c r="H961" s="144" t="str">
        <x:v>coem/BYD_UKE/gen_bsw/Com/Com_PBcfg.c:43822; BoschOversea_StandardCANFD_commplatform_RCR_CAN_Matrix_V4.18.2_20251104.dbc:447</x:v>
      </x:c>
    </x:row>
    <x:row r="962" ht="72" customHeight="1">
      <x:c r="A962" s="144" t="str">
        <x:v>Com-Signal</x:v>
      </x:c>
      <x:c r="B962" s="144" t="str">
        <x:v>COM-SIG-Rx-0050 / AWBavailable</x:v>
      </x:c>
      <x:c r="C962" s="144" t="str">
        <x:v>PDU=IPB_0x10C; startBit=325; length=1; byteOrder=Little; type=UINT8; factor=1; offset=0; min=0; max=1; unit=-; receivers=MPC,ADS,MRR,BSMCL,BSMCR,FCR</x:v>
      </x:c>
      <x:c r="D9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2" s="144" t="str">
        <x:v>M2</x:v>
      </x:c>
      <x:c r="F962" s="144" t="str">
        <x:v>Signal 级可编辑配置、数据类型/缩放/端序合同、RTE 接口、边界值与 round-trip 测试。</x:v>
      </x:c>
      <x:c r="G962" s="144" t="str">
        <x:v>raw=0、raw=max、物理 min/max、越界/保留值、端序字节向量、pack→unpack round-trip；1457/1457 通过。</x:v>
      </x:c>
      <x:c r="H962" s="144" t="str">
        <x:v>coem/BYD_UKE/gen_bsw/Com/Com_PBcfg.c:43882; BoschOversea_StandardCANFD_commplatform_RCR_CAN_Matrix_V4.18.2_20251104.dbc:446</x:v>
      </x:c>
    </x:row>
    <x:row r="963" ht="72" customHeight="1">
      <x:c r="A963" s="144" t="str">
        <x:v>Com-Signal</x:v>
      </x:c>
      <x:c r="B963" s="144" t="str">
        <x:v>COM-SIG-Rx-0051 / AX</x:v>
      </x:c>
      <x:c r="C963" s="144" t="str">
        <x:v>PDU=IPB_0x10C; startBit=250; length=12; byteOrder=Little; type=UINT16; factor=0.027126736; offset=-21.593; min=-21.593; max=21.593; unit=m/s??; receivers=MPC,ADS,MRR,BSMCL,BSMCR,FCR</x:v>
      </x:c>
      <x:c r="D9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3" s="144" t="str">
        <x:v>M2</x:v>
      </x:c>
      <x:c r="F963" s="144" t="str">
        <x:v>Signal 级可编辑配置、数据类型/缩放/端序合同、RTE 接口、边界值与 round-trip 测试。</x:v>
      </x:c>
      <x:c r="G963" s="144" t="str">
        <x:v>raw=0、raw=max、物理 min/max、越界/保留值、端序字节向量、pack→unpack round-trip；1457/1457 通过。</x:v>
      </x:c>
      <x:c r="H963" s="144" t="str">
        <x:v>coem/BYD_UKE/gen_bsw/Com/Com_PBcfg.c:43942; BoschOversea_StandardCANFD_commplatform_RCR_CAN_Matrix_V4.18.2_20251104.dbc:432</x:v>
      </x:c>
    </x:row>
    <x:row r="964" ht="72" customHeight="1">
      <x:c r="A964" s="144" t="str">
        <x:v>Com-Signal</x:v>
      </x:c>
      <x:c r="B964" s="144" t="str">
        <x:v>COM-SIG-Rx-0052 / AX_Offset</x:v>
      </x:c>
      <x:c r="C964" s="144" t="str">
        <x:v>PDU=IPB_0x10C; startBit=262; length=12; byteOrder=Little; type=UINT16; factor=0.027126736; offset=-21.593; min=-21.593; max=21.593; unit=m/s??; receivers=MPC,ADS,MRR,BSMCL,BSMCR,FCR</x:v>
      </x:c>
      <x:c r="D96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4" s="144" t="str">
        <x:v>M2</x:v>
      </x:c>
      <x:c r="F964" s="144" t="str">
        <x:v>Signal 级可编辑配置、数据类型/缩放/端序合同、RTE 接口、边界值与 round-trip 测试。</x:v>
      </x:c>
      <x:c r="G964" s="144" t="str">
        <x:v>raw=0、raw=max、物理 min/max、越界/保留值、端序字节向量、pack→unpack round-trip；1457/1457 通过。</x:v>
      </x:c>
      <x:c r="H964" s="144" t="str">
        <x:v>coem/BYD_UKE/gen_bsw/Com/Com_PBcfg.c:44002; BoschOversea_StandardCANFD_commplatform_RCR_CAN_Matrix_V4.18.2_20251104.dbc:433</x:v>
      </x:c>
    </x:row>
    <x:row r="965" ht="72" customHeight="1">
      <x:c r="A965" s="144" t="str">
        <x:v>Com-Signal</x:v>
      </x:c>
      <x:c r="B965" s="144" t="str">
        <x:v>COM-SIG-Rx-0053 / AXstatus</x:v>
      </x:c>
      <x:c r="C965" s="144" t="str">
        <x:v>PDU=IPB_0x10C; startBit=274; length=1; byteOrder=Little; type=UINT8; factor=1; offset=0; min=0; max=1; unit=-; receivers=MPC,ADS,MRR,BSMCL,BSMCR,FCR</x:v>
      </x:c>
      <x:c r="D9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5" s="144" t="str">
        <x:v>M2</x:v>
      </x:c>
      <x:c r="F965" s="144" t="str">
        <x:v>Signal 级可编辑配置、数据类型/缩放/端序合同、RTE 接口、边界值与 round-trip 测试。</x:v>
      </x:c>
      <x:c r="G965" s="144" t="str">
        <x:v>raw=0、raw=max、物理 min/max、越界/保留值、端序字节向量、pack→unpack round-trip；1457/1457 通过。</x:v>
      </x:c>
      <x:c r="H965" s="144" t="str">
        <x:v>coem/BYD_UKE/gen_bsw/Com/Com_PBcfg.c:44062; BoschOversea_StandardCANFD_commplatform_RCR_CAN_Matrix_V4.18.2_20251104.dbc:434</x:v>
      </x:c>
    </x:row>
    <x:row r="966" ht="72" customHeight="1">
      <x:c r="A966" s="144" t="str">
        <x:v>Com-Signal</x:v>
      </x:c>
      <x:c r="B966" s="144" t="str">
        <x:v>COM-SIG-Rx-0054 / AYOffset</x:v>
      </x:c>
      <x:c r="C966" s="144" t="str">
        <x:v>PDU=IPB_0x10C; startBit=287; length=12; byteOrder=Little; type=UINT16; factor=0.027126736; offset=-21.593; min=-21.593; max=21.593; unit=m/s??; receivers=MPC,ADS,MRR,BSMCL,BSMCR,FCR</x:v>
      </x:c>
      <x:c r="D9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6" s="144" t="str">
        <x:v>M2</x:v>
      </x:c>
      <x:c r="F966" s="144" t="str">
        <x:v>Signal 级可编辑配置、数据类型/缩放/端序合同、RTE 接口、边界值与 round-trip 测试。</x:v>
      </x:c>
      <x:c r="G966" s="144" t="str">
        <x:v>raw=0、raw=max、物理 min/max、越界/保留值、端序字节向量、pack→unpack round-trip；1457/1457 通过。</x:v>
      </x:c>
      <x:c r="H966" s="144" t="str">
        <x:v>coem/BYD_UKE/gen_bsw/Com/Com_PBcfg.c:44122; BoschOversea_StandardCANFD_commplatform_RCR_CAN_Matrix_V4.18.2_20251104.dbc:436</x:v>
      </x:c>
    </x:row>
    <x:row r="967" ht="72" customHeight="1">
      <x:c r="A967" s="144" t="str">
        <x:v>Com-Signal</x:v>
      </x:c>
      <x:c r="B967" s="144" t="str">
        <x:v>COM-SIG-Rx-0055 / AY</x:v>
      </x:c>
      <x:c r="C967" s="144" t="str">
        <x:v>PDU=IPB_0x10C; startBit=275; length=12; byteOrder=Little; type=UINT16; factor=0.027126736; offset=-21.593; min=-21.593; max=21.593; unit=m/s??; receivers=MPC,ADS,MRR,BSMCL,BSMCR,FCR</x:v>
      </x:c>
      <x:c r="D9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7" s="144" t="str">
        <x:v>M2</x:v>
      </x:c>
      <x:c r="F967" s="144" t="str">
        <x:v>Signal 级可编辑配置、数据类型/缩放/端序合同、RTE 接口、边界值与 round-trip 测试。</x:v>
      </x:c>
      <x:c r="G967" s="144" t="str">
        <x:v>raw=0、raw=max、物理 min/max、越界/保留值、端序字节向量、pack→unpack round-trip；1457/1457 通过。</x:v>
      </x:c>
      <x:c r="H967" s="144" t="str">
        <x:v>coem/BYD_UKE/gen_bsw/Com/Com_PBcfg.c:44182; BoschOversea_StandardCANFD_commplatform_RCR_CAN_Matrix_V4.18.2_20251104.dbc:435</x:v>
      </x:c>
    </x:row>
    <x:row r="968" ht="72" customHeight="1">
      <x:c r="A968" s="144" t="str">
        <x:v>Com-Signal</x:v>
      </x:c>
      <x:c r="B968" s="144" t="str">
        <x:v>COM-SIG-Rx-0056 / AYstatus</x:v>
      </x:c>
      <x:c r="C968" s="144" t="str">
        <x:v>PDU=IPB_0x10C; startBit=299; length=1; byteOrder=Little; type=UINT8; factor=1; offset=0; min=0; max=1; unit=-; receivers=MPC,ADS,MRR,BSMCL,BSMCR,FCR</x:v>
      </x:c>
      <x:c r="D9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8" s="144" t="str">
        <x:v>M2</x:v>
      </x:c>
      <x:c r="F968" s="144" t="str">
        <x:v>Signal 级可编辑配置、数据类型/缩放/端序合同、RTE 接口、边界值与 round-trip 测试。</x:v>
      </x:c>
      <x:c r="G968" s="144" t="str">
        <x:v>raw=0、raw=max、物理 min/max、越界/保留值、端序字节向量、pack→unpack round-trip；1457/1457 通过。</x:v>
      </x:c>
      <x:c r="H968" s="144" t="str">
        <x:v>coem/BYD_UKE/gen_bsw/Com/Com_PBcfg.c:44242; BoschOversea_StandardCANFD_commplatform_RCR_CAN_Matrix_V4.18.2_20251104.dbc:437</x:v>
      </x:c>
    </x:row>
    <x:row r="969" ht="72" customHeight="1">
      <x:c r="A969" s="144" t="str">
        <x:v>Com-Signal</x:v>
      </x:c>
      <x:c r="B969" s="144" t="str">
        <x:v>COM-SIG-Rx-0057 / AutomaticBrakingActive</x:v>
      </x:c>
      <x:c r="C969" s="144" t="str">
        <x:v>PDU=IPB_0x10C; startBit=304; length=1; byteOrder=Little; type=UINT8; factor=1; offset=0; min=0; max=1; unit=-; receivers=MPC,ADS,MRR,BSMCL,BSMCR,FCR</x:v>
      </x:c>
      <x:c r="D9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69" s="144" t="str">
        <x:v>M2</x:v>
      </x:c>
      <x:c r="F969" s="144" t="str">
        <x:v>Signal 级可编辑配置、数据类型/缩放/端序合同、RTE 接口、边界值与 round-trip 测试。</x:v>
      </x:c>
      <x:c r="G969" s="144" t="str">
        <x:v>raw=0、raw=max、物理 min/max、越界/保留值、端序字节向量、pack→unpack round-trip；1457/1457 通过。</x:v>
      </x:c>
      <x:c r="H969" s="144" t="str">
        <x:v>coem/BYD_UKE/gen_bsw/Com/Com_PBcfg.c:44302; BoschOversea_StandardCANFD_commplatform_RCR_CAN_Matrix_V4.18.2_20251104.dbc:439</x:v>
      </x:c>
    </x:row>
    <x:row r="970" ht="72" customHeight="1">
      <x:c r="A970" s="144" t="str">
        <x:v>Com-Signal</x:v>
      </x:c>
      <x:c r="B970" s="144" t="str">
        <x:v>COM-SIG-Rx-0058 / AutomaticBrakingAvailable</x:v>
      </x:c>
      <x:c r="C970" s="144" t="str">
        <x:v>PDU=IPB_0x10C; startBit=303; length=1; byteOrder=Little; type=UINT8; factor=1; offset=0; min=0; max=1; unit=-; receivers=MPC,ADS,MRR,BSMCL,BSMCR,FCR</x:v>
      </x:c>
      <x:c r="D97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0" s="144" t="str">
        <x:v>M2</x:v>
      </x:c>
      <x:c r="F970" s="144" t="str">
        <x:v>Signal 级可编辑配置、数据类型/缩放/端序合同、RTE 接口、边界值与 round-trip 测试。</x:v>
      </x:c>
      <x:c r="G970" s="144" t="str">
        <x:v>raw=0、raw=max、物理 min/max、越界/保留值、端序字节向量、pack→unpack round-trip；1457/1457 通过。</x:v>
      </x:c>
      <x:c r="H970" s="144" t="str">
        <x:v>coem/BYD_UKE/gen_bsw/Com/Com_PBcfg.c:44362; BoschOversea_StandardCANFD_commplatform_RCR_CAN_Matrix_V4.18.2_20251104.dbc:438</x:v>
      </x:c>
    </x:row>
    <x:row r="971" ht="72" customHeight="1">
      <x:c r="A971" s="144" t="str">
        <x:v>Com-Signal</x:v>
      </x:c>
      <x:c r="B971" s="144" t="str">
        <x:v>COM-SIG-Rx-0059 / BMsr_FA_S</x:v>
      </x:c>
      <x:c r="C971" s="144" t="str">
        <x:v>PDU=IPB_0x10C; startBit=509; length=1; byteOrder=Little; type=UINT8; factor=1; offset=0; min=0; max=1; unit=-; receivers=MPC,ADS,MRR,BSMCL,BSMCR,FCR</x:v>
      </x:c>
      <x:c r="D9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1" s="144" t="str">
        <x:v>M2</x:v>
      </x:c>
      <x:c r="F971" s="144" t="str">
        <x:v>Signal 级可编辑配置、数据类型/缩放/端序合同、RTE 接口、边界值与 round-trip 测试。</x:v>
      </x:c>
      <x:c r="G971" s="144" t="str">
        <x:v>raw=0、raw=max、物理 min/max、越界/保留值、端序字节向量、pack→unpack round-trip；1457/1457 通过。</x:v>
      </x:c>
      <x:c r="H971" s="144" t="str">
        <x:v>coem/BYD_UKE/gen_bsw/Com/Com_PBcfg.c:44422; BoschOversea_StandardCANFD_commplatform_RCR_CAN_Matrix_V4.18.2_20251104.dbc:473</x:v>
      </x:c>
    </x:row>
    <x:row r="972" ht="72" customHeight="1">
      <x:c r="A972" s="144" t="str">
        <x:v>Com-Signal</x:v>
      </x:c>
      <x:c r="B972" s="144" t="str">
        <x:v>COM-SIG-Rx-0060 / BMsr_RA_S</x:v>
      </x:c>
      <x:c r="C972" s="144" t="str">
        <x:v>PDU=IPB_0x10C; startBit=510; length=1; byteOrder=Little; type=UINT8; factor=1; offset=0; min=0; max=1; unit=-; receivers=MPC,ADS,MRR,BSMCL,BSMCR,FCR</x:v>
      </x:c>
      <x:c r="D9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2" s="144" t="str">
        <x:v>M2</x:v>
      </x:c>
      <x:c r="F972" s="144" t="str">
        <x:v>Signal 级可编辑配置、数据类型/缩放/端序合同、RTE 接口、边界值与 round-trip 测试。</x:v>
      </x:c>
      <x:c r="G972" s="144" t="str">
        <x:v>raw=0、raw=max、物理 min/max、越界/保留值、端序字节向量、pack→unpack round-trip；1457/1457 通过。</x:v>
      </x:c>
      <x:c r="H972" s="144" t="str">
        <x:v>coem/BYD_UKE/gen_bsw/Com/Com_PBcfg.c:44482; BoschOversea_StandardCANFD_commplatform_RCR_CAN_Matrix_V4.18.2_20251104.dbc:474</x:v>
      </x:c>
    </x:row>
    <x:row r="973" ht="72" customHeight="1">
      <x:c r="A973" s="144" t="str">
        <x:v>Com-Signal</x:v>
      </x:c>
      <x:c r="B973" s="144" t="str">
        <x:v>COM-SIG-Rx-0061 / Basc_FA</x:v>
      </x:c>
      <x:c r="C973" s="144" t="str">
        <x:v>PDU=IPB_0x10C; startBit=323; length=1; byteOrder=Little; type=UINT8; factor=1; offset=0; min=0; max=1; unit=-; receivers=MPC,ADS,MRR,BSMCL,BSMCR,FCR</x:v>
      </x:c>
      <x:c r="D9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3" s="144" t="str">
        <x:v>M2</x:v>
      </x:c>
      <x:c r="F973" s="144" t="str">
        <x:v>Signal 级可编辑配置、数据类型/缩放/端序合同、RTE 接口、边界值与 round-trip 测试。</x:v>
      </x:c>
      <x:c r="G973" s="144" t="str">
        <x:v>raw=0、raw=max、物理 min/max、越界/保留值、端序字节向量、pack→unpack round-trip；1457/1457 通过。</x:v>
      </x:c>
      <x:c r="H973" s="144" t="str">
        <x:v>coem/BYD_UKE/gen_bsw/Com/Com_PBcfg.c:44542; BoschOversea_StandardCANFD_commplatform_RCR_CAN_Matrix_V4.18.2_20251104.dbc:444</x:v>
      </x:c>
    </x:row>
    <x:row r="974" ht="72" customHeight="1">
      <x:c r="A974" s="144" t="str">
        <x:v>Com-Signal</x:v>
      </x:c>
      <x:c r="B974" s="144" t="str">
        <x:v>COM-SIG-Rx-0062 / Basc_RA</x:v>
      </x:c>
      <x:c r="C974" s="144" t="str">
        <x:v>PDU=IPB_0x10C; startBit=324; length=1; byteOrder=Little; type=UINT8; factor=1; offset=0; min=0; max=1; unit=-; receivers=MPC,ADS,MRR,BSMCL,BSMCR,FCR</x:v>
      </x:c>
      <x:c r="D9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4" s="144" t="str">
        <x:v>M2</x:v>
      </x:c>
      <x:c r="F974" s="144" t="str">
        <x:v>Signal 级可编辑配置、数据类型/缩放/端序合同、RTE 接口、边界值与 round-trip 测试。</x:v>
      </x:c>
      <x:c r="G974" s="144" t="str">
        <x:v>raw=0、raw=max、物理 min/max、越界/保留值、端序字节向量、pack→unpack round-trip；1457/1457 通过。</x:v>
      </x:c>
      <x:c r="H974" s="144" t="str">
        <x:v>coem/BYD_UKE/gen_bsw/Com/Com_PBcfg.c:44602; BoschOversea_StandardCANFD_commplatform_RCR_CAN_Matrix_V4.18.2_20251104.dbc:445</x:v>
      </x:c>
    </x:row>
    <x:row r="975" ht="72" customHeight="1">
      <x:c r="A975" s="144" t="str">
        <x:v>Com-Signal</x:v>
      </x:c>
      <x:c r="B975" s="144" t="str">
        <x:v>COM-SIG-Rx-0063 / Checksum_10C_S</x:v>
      </x:c>
      <x:c r="C975" s="144" t="str">
        <x:v>PDU=IPB_0x10C; startBit=0; length=16; byteOrder=Little; type=UINT16; factor=1; offset=0; min=0; max=65535; unit=-; receivers=MPC,ADS,MRR,BSMCL,BSMCR,FCR</x:v>
      </x:c>
      <x:c r="D9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5" s="144" t="str">
        <x:v>M2</x:v>
      </x:c>
      <x:c r="F975" s="144" t="str">
        <x:v>Signal 级可编辑配置、数据类型/缩放/端序合同、RTE 接口、边界值与 round-trip 测试。</x:v>
      </x:c>
      <x:c r="G975" s="144" t="str">
        <x:v>raw=0、raw=max、物理 min/max、越界/保留值、端序字节向量、pack→unpack round-trip；1457/1457 通过。</x:v>
      </x:c>
      <x:c r="H975" s="144" t="str">
        <x:v>coem/BYD_UKE/gen_bsw/Com/Com_PBcfg.c:44662; BoschOversea_StandardCANFD_commplatform_RCR_CAN_Matrix_V4.18.2_20251104.dbc:388</x:v>
      </x:c>
    </x:row>
    <x:row r="976" ht="72" customHeight="1">
      <x:c r="A976" s="144" t="str">
        <x:v>Com-Signal</x:v>
      </x:c>
      <x:c r="B976" s="144" t="str">
        <x:v>COM-SIG-Rx-0064 / Counter_10C_S</x:v>
      </x:c>
      <x:c r="C976" s="144" t="str">
        <x:v>PDU=IPB_0x10C; startBit=16; length=16; byteOrder=Little; type=UINT16; factor=1; offset=0; min=0; max=65535; unit=-; receivers=MPC,ADS,MRR,BSMCL,BSMCR,FCR</x:v>
      </x:c>
      <x:c r="D9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6" s="144" t="str">
        <x:v>M2</x:v>
      </x:c>
      <x:c r="F976" s="144" t="str">
        <x:v>Signal 级可编辑配置、数据类型/缩放/端序合同、RTE 接口、边界值与 round-trip 测试。</x:v>
      </x:c>
      <x:c r="G976" s="144" t="str">
        <x:v>raw=0、raw=max、物理 min/max、越界/保留值、端序字节向量、pack→unpack round-trip；1457/1457 通过。</x:v>
      </x:c>
      <x:c r="H976" s="144" t="str">
        <x:v>coem/BYD_UKE/gen_bsw/Com/Com_PBcfg.c:44722; BoschOversea_StandardCANFD_commplatform_RCR_CAN_Matrix_V4.18.2_20251104.dbc:389</x:v>
      </x:c>
    </x:row>
    <x:row r="977" ht="72" customHeight="1">
      <x:c r="A977" s="144" t="str">
        <x:v>Com-Signal</x:v>
      </x:c>
      <x:c r="B977" s="144" t="str">
        <x:v>COM-SIG-Rx-0065 / DiDyna_Estimate_Yaw_Torque</x:v>
      </x:c>
      <x:c r="C977" s="144" t="str">
        <x:v>PDU=IPB_0x10C; startBit=184; length=16; byteOrder=Little; type=UINT16; factor=2; offset=-40000; min=-40000; max=40000; unit=-; receivers=MPC,ADS,MRR,BSMCL,BSMCR,FCR</x:v>
      </x:c>
      <x:c r="D9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7" s="144" t="str">
        <x:v>M2</x:v>
      </x:c>
      <x:c r="F977" s="144" t="str">
        <x:v>Signal 级可编辑配置、数据类型/缩放/端序合同、RTE 接口、边界值与 round-trip 测试。</x:v>
      </x:c>
      <x:c r="G977" s="144" t="str">
        <x:v>raw=0、raw=max、物理 min/max、越界/保留值、端序字节向量、pack→unpack round-trip；1457/1457 通过。</x:v>
      </x:c>
      <x:c r="H977" s="144" t="str">
        <x:v>coem/BYD_UKE/gen_bsw/Com/Com_PBcfg.c:44782; BoschOversea_StandardCANFD_commplatform_RCR_CAN_Matrix_V4.18.2_20251104.dbc:426</x:v>
      </x:c>
    </x:row>
    <x:row r="978" ht="72" customHeight="1">
      <x:c r="A978" s="144" t="str">
        <x:v>Com-Signal</x:v>
      </x:c>
      <x:c r="B978" s="144" t="str">
        <x:v>COM-SIG-Rx-0066 / DiDyna_LDI_Active</x:v>
      </x:c>
      <x:c r="C978" s="144" t="str">
        <x:v>PDU=IPB_0x10C; startBit=320; length=1; byteOrder=Little; type=UINT8; factor=1; offset=0; min=0; max=1; unit=-; receivers=MPC,ADS,MRR,BSMCL,BSMCR,FCR</x:v>
      </x:c>
      <x:c r="D9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8" s="144" t="str">
        <x:v>M2</x:v>
      </x:c>
      <x:c r="F978" s="144" t="str">
        <x:v>Signal 级可编辑配置、数据类型/缩放/端序合同、RTE 接口、边界值与 round-trip 测试。</x:v>
      </x:c>
      <x:c r="G978" s="144" t="str">
        <x:v>raw=0、raw=max、物理 min/max、越界/保留值、端序字节向量、pack→unpack round-trip；1457/1457 通过。</x:v>
      </x:c>
      <x:c r="H978" s="144" t="str">
        <x:v>coem/BYD_UKE/gen_bsw/Com/Com_PBcfg.c:44842; BoschOversea_StandardCANFD_commplatform_RCR_CAN_Matrix_V4.18.2_20251104.dbc:443</x:v>
      </x:c>
    </x:row>
    <x:row r="979" ht="72" customHeight="1">
      <x:c r="A979" s="144" t="str">
        <x:v>Com-Signal</x:v>
      </x:c>
      <x:c r="B979" s="144" t="str">
        <x:v>COM-SIG-Rx-0067 / DiDyna_LDI_Available</x:v>
      </x:c>
      <x:c r="C979" s="144" t="str">
        <x:v>PDU=IPB_0x10C; startBit=365; length=1; byteOrder=Little; type=UINT8; factor=1; offset=0; min=0; max=1; unit=-; receivers=MPC,ADS,MRR,BSMCL,BSMCR,FCR</x:v>
      </x:c>
      <x:c r="D9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79" s="144" t="str">
        <x:v>M2</x:v>
      </x:c>
      <x:c r="F979" s="144" t="str">
        <x:v>Signal 级可编辑配置、数据类型/缩放/端序合同、RTE 接口、边界值与 round-trip 测试。</x:v>
      </x:c>
      <x:c r="G979" s="144" t="str">
        <x:v>raw=0、raw=max、物理 min/max、越界/保留值、端序字节向量、pack→unpack round-trip；1457/1457 通过。</x:v>
      </x:c>
      <x:c r="H979" s="144" t="str">
        <x:v>coem/BYD_UKE/gen_bsw/Com/Com_PBcfg.c:44902; BoschOversea_StandardCANFD_commplatform_RCR_CAN_Matrix_V4.18.2_20251104.dbc:458</x:v>
      </x:c>
    </x:row>
    <x:row r="980" ht="72" customHeight="1">
      <x:c r="A980" s="144" t="str">
        <x:v>Com-Signal</x:v>
      </x:c>
      <x:c r="B980" s="144" t="str">
        <x:v>COM-SIG-Rx-0068 / EBD_Active</x:v>
      </x:c>
      <x:c r="C980" s="144" t="str">
        <x:v>PDU=IPB_0x10C; startBit=156; length=1; byteOrder=Little; type=UINT8; factor=1; offset=0; min=0; max=1; unit=-; receivers=MPC,ADS,MRR,BSMCL,BSMCR,FCR</x:v>
      </x:c>
      <x:c r="D9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0" s="144" t="str">
        <x:v>M2</x:v>
      </x:c>
      <x:c r="F980" s="144" t="str">
        <x:v>Signal 级可编辑配置、数据类型/缩放/端序合同、RTE 接口、边界值与 round-trip 测试。</x:v>
      </x:c>
      <x:c r="G980" s="144" t="str">
        <x:v>raw=0、raw=max、物理 min/max、越界/保留值、端序字节向量、pack→unpack round-trip；1457/1457 通过。</x:v>
      </x:c>
      <x:c r="H980" s="144" t="str">
        <x:v>coem/BYD_UKE/gen_bsw/Com/Com_PBcfg.c:44962; BoschOversea_StandardCANFD_commplatform_RCR_CAN_Matrix_V4.18.2_20251104.dbc:416</x:v>
      </x:c>
    </x:row>
    <x:row r="981" ht="72" customHeight="1">
      <x:c r="A981" s="144" t="str">
        <x:v>Com-Signal</x:v>
      </x:c>
      <x:c r="B981" s="144" t="str">
        <x:v>COM-SIG-Rx-0069 / EBD_Fault</x:v>
      </x:c>
      <x:c r="C981" s="144" t="str">
        <x:v>PDU=IPB_0x10C; startBit=157; length=1; byteOrder=Little; type=UINT8; factor=1; offset=0; min=0; max=1; unit=-; receivers=MPC,ADS,MRR,BSMCL,BSMCR,FCR</x:v>
      </x:c>
      <x:c r="D9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1" s="144" t="str">
        <x:v>M2</x:v>
      </x:c>
      <x:c r="F981" s="144" t="str">
        <x:v>Signal 级可编辑配置、数据类型/缩放/端序合同、RTE 接口、边界值与 round-trip 测试。</x:v>
      </x:c>
      <x:c r="G981" s="144" t="str">
        <x:v>raw=0、raw=max、物理 min/max、越界/保留值、端序字节向量、pack→unpack round-trip；1457/1457 通过。</x:v>
      </x:c>
      <x:c r="H981" s="144" t="str">
        <x:v>coem/BYD_UKE/gen_bsw/Com/Com_PBcfg.c:45022; BoschOversea_StandardCANFD_commplatform_RCR_CAN_Matrix_V4.18.2_20251104.dbc:417</x:v>
      </x:c>
    </x:row>
    <x:row r="982" ht="72" customHeight="1">
      <x:c r="A982" s="144" t="str">
        <x:v>Com-Signal</x:v>
      </x:c>
      <x:c r="B982" s="144" t="str">
        <x:v>COM-SIG-Rx-0070 / ESC_AebBrkTqActv</x:v>
      </x:c>
      <x:c r="C982" s="144" t="str">
        <x:v>PDU=IPB_0x10C; startBit=504; length=1; byteOrder=Little; type=UINT8; factor=1; offset=0; min=0; max=1; unit=-; receivers=MPC,ADS,MRR,BSMCL,BSMCR,FCR</x:v>
      </x:c>
      <x:c r="D9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2" s="144" t="str">
        <x:v>M2</x:v>
      </x:c>
      <x:c r="F982" s="144" t="str">
        <x:v>Signal 级可编辑配置、数据类型/缩放/端序合同、RTE 接口、边界值与 round-trip 测试。</x:v>
      </x:c>
      <x:c r="G982" s="144" t="str">
        <x:v>raw=0、raw=max、物理 min/max、越界/保留值、端序字节向量、pack→unpack round-trip；1457/1457 通过。</x:v>
      </x:c>
      <x:c r="H982" s="144" t="str">
        <x:v>coem/BYD_UKE/gen_bsw/Com/Com_PBcfg.c:45082; BoschOversea_StandardCANFD_commplatform_RCR_CAN_Matrix_V4.18.2_20251104.dbc:471</x:v>
      </x:c>
    </x:row>
    <x:row r="983" ht="72" customHeight="1">
      <x:c r="A983" s="144" t="str">
        <x:v>Com-Signal</x:v>
      </x:c>
      <x:c r="B983" s="144" t="str">
        <x:v>COM-SIG-Rx-0071 / ESC_AebBrkTqAvl</x:v>
      </x:c>
      <x:c r="C983" s="144" t="str">
        <x:v>PDU=IPB_0x10C; startBit=340; length=1; byteOrder=Little; type=UINT8; factor=1; offset=0; min=0; max=1; unit=-; receivers=MPC,ADS,MRR,BSMCL,BSMCR,FCR</x:v>
      </x:c>
      <x:c r="D9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3" s="144" t="str">
        <x:v>M2</x:v>
      </x:c>
      <x:c r="F983" s="144" t="str">
        <x:v>Signal 级可编辑配置、数据类型/缩放/端序合同、RTE 接口、边界值与 round-trip 测试。</x:v>
      </x:c>
      <x:c r="G983" s="144" t="str">
        <x:v>raw=0、raw=max、物理 min/max、越界/保留值、端序字节向量、pack→unpack round-trip；1457/1457 通过。</x:v>
      </x:c>
      <x:c r="H983" s="144" t="str">
        <x:v>coem/BYD_UKE/gen_bsw/Com/Com_PBcfg.c:45142; BoschOversea_StandardCANFD_commplatform_RCR_CAN_Matrix_V4.18.2_20251104.dbc:453</x:v>
      </x:c>
    </x:row>
    <x:row r="984" ht="72" customHeight="1">
      <x:c r="A984" s="144" t="str">
        <x:v>Com-Signal</x:v>
      </x:c>
      <x:c r="B984" s="144" t="str">
        <x:v>COM-SIG-Rx-0072 / ESC_BrkTqCtrlActv</x:v>
      </x:c>
      <x:c r="C984" s="144" t="str">
        <x:v>PDU=IPB_0x10C; startBit=338; length=2; byteOrder=Little; type=UINT8; factor=1; offset=0; min=0; max=3; unit=-; receivers=MPC,ADS,MRR,BSMCL,BSMCR,FCR</x:v>
      </x:c>
      <x:c r="D98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4" s="144" t="str">
        <x:v>M2</x:v>
      </x:c>
      <x:c r="F984" s="144" t="str">
        <x:v>Signal 级可编辑配置、数据类型/缩放/端序合同、RTE 接口、边界值与 round-trip 测试。</x:v>
      </x:c>
      <x:c r="G984" s="144" t="str">
        <x:v>raw=0、raw=max、物理 min/max、越界/保留值、端序字节向量、pack→unpack round-trip；1457/1457 通过。</x:v>
      </x:c>
      <x:c r="H984" s="144" t="str">
        <x:v>coem/BYD_UKE/gen_bsw/Com/Com_PBcfg.c:45202; BoschOversea_StandardCANFD_commplatform_RCR_CAN_Matrix_V4.18.2_20251104.dbc:452</x:v>
      </x:c>
    </x:row>
    <x:row r="985" ht="72" customHeight="1">
      <x:c r="A985" s="144" t="str">
        <x:v>Com-Signal</x:v>
      </x:c>
      <x:c r="B985" s="144" t="str">
        <x:v>COM-SIG-Rx-0073 / ESC_BrkTqCtrlAvlDriving</x:v>
      </x:c>
      <x:c r="C985" s="144" t="str">
        <x:v>PDU=IPB_0x10C; startBit=335; length=1; byteOrder=Little; type=UINT8; factor=1; offset=0; min=0; max=1; unit=-; receivers=MPC,ADS,MRR,BSMCL,BSMCR,FCR</x:v>
      </x:c>
      <x:c r="D9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5" s="144" t="str">
        <x:v>M2</x:v>
      </x:c>
      <x:c r="F985" s="144" t="str">
        <x:v>Signal 级可编辑配置、数据类型/缩放/端序合同、RTE 接口、边界值与 round-trip 测试。</x:v>
      </x:c>
      <x:c r="G985" s="144" t="str">
        <x:v>raw=0、raw=max、物理 min/max、越界/保留值、端序字节向量、pack→unpack round-trip；1457/1457 通过。</x:v>
      </x:c>
      <x:c r="H985" s="144" t="str">
        <x:v>coem/BYD_UKE/gen_bsw/Com/Com_PBcfg.c:45262; BoschOversea_StandardCANFD_commplatform_RCR_CAN_Matrix_V4.18.2_20251104.dbc:450</x:v>
      </x:c>
    </x:row>
    <x:row r="986" ht="72" customHeight="1">
      <x:c r="A986" s="144" t="str">
        <x:v>Com-Signal</x:v>
      </x:c>
      <x:c r="B986" s="144" t="str">
        <x:v>COM-SIG-Rx-0074 / ESC_BrkTqCtrlAvlParking</x:v>
      </x:c>
      <x:c r="C986" s="144" t="str">
        <x:v>PDU=IPB_0x10C; startBit=336; length=2; byteOrder=Little; type=UINT8; factor=1; offset=0; min=0; max=3; unit=-; receivers=MPC,ADS,MRR,BSMCL,BSMCR,FCR</x:v>
      </x:c>
      <x:c r="D9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6" s="144" t="str">
        <x:v>M2</x:v>
      </x:c>
      <x:c r="F986" s="144" t="str">
        <x:v>Signal 级可编辑配置、数据类型/缩放/端序合同、RTE 接口、边界值与 round-trip 测试。</x:v>
      </x:c>
      <x:c r="G986" s="144" t="str">
        <x:v>raw=0、raw=max、物理 min/max、越界/保留值、端序字节向量、pack→unpack round-trip；1457/1457 通过。</x:v>
      </x:c>
      <x:c r="H986" s="144" t="str">
        <x:v>coem/BYD_UKE/gen_bsw/Com/Com_PBcfg.c:45322; BoschOversea_StandardCANFD_commplatform_RCR_CAN_Matrix_V4.18.2_20251104.dbc:451</x:v>
      </x:c>
    </x:row>
    <x:row r="987" ht="72" customHeight="1">
      <x:c r="A987" s="144" t="str">
        <x:v>Com-Signal</x:v>
      </x:c>
      <x:c r="B987" s="144" t="str">
        <x:v>COM-SIG-Rx-0075 / ESC_DrvrTqDes</x:v>
      </x:c>
      <x:c r="C987" s="144" t="str">
        <x:v>PDU=IPB_0x10C; startBit=408; length=16; byteOrder=Little; type=UINT16; factor=1; offset=-30000; min=-30000; max=-30000; unit=-; receivers=MPC,ADS,MRR,BSMCL,BSMCR,FCR</x:v>
      </x:c>
      <x:c r="D9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7" s="144" t="str">
        <x:v>M2</x:v>
      </x:c>
      <x:c r="F987" s="144" t="str">
        <x:v>Signal 级可编辑配置、数据类型/缩放/端序合同、RTE 接口、边界值与 round-trip 测试。</x:v>
      </x:c>
      <x:c r="G987" s="144" t="str">
        <x:v>raw=0、raw=max、物理 min/max、越界/保留值、端序字节向量、pack→unpack round-trip；1457/1457 通过。</x:v>
      </x:c>
      <x:c r="H987" s="144" t="str">
        <x:v>coem/BYD_UKE/gen_bsw/Com/Com_PBcfg.c:45382; BoschOversea_StandardCANFD_commplatform_RCR_CAN_Matrix_V4.18.2_20251104.dbc:462</x:v>
      </x:c>
    </x:row>
    <x:row r="988" ht="72" customHeight="1">
      <x:c r="A988" s="144" t="str">
        <x:v>Com-Signal</x:v>
      </x:c>
      <x:c r="B988" s="144" t="str">
        <x:v>COM-SIG-Rx-0076 / ESC_HydBrkActvTq</x:v>
      </x:c>
      <x:c r="C988" s="144" t="str">
        <x:v>PDU=IPB_0x10C; startBit=424; length=16; byteOrder=Little; type=UINT16; factor=1; offset=-30000; min=-30000; max=-30000; unit=-; receivers=MPC,ADS,MRR,BSMCL,BSMCR,FCR</x:v>
      </x:c>
      <x:c r="D9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8" s="144" t="str">
        <x:v>M2</x:v>
      </x:c>
      <x:c r="F988" s="144" t="str">
        <x:v>Signal 级可编辑配置、数据类型/缩放/端序合同、RTE 接口、边界值与 round-trip 测试。</x:v>
      </x:c>
      <x:c r="G988" s="144" t="str">
        <x:v>raw=0、raw=max、物理 min/max、越界/保留值、端序字节向量、pack→unpack round-trip；1457/1457 通过。</x:v>
      </x:c>
      <x:c r="H988" s="144" t="str">
        <x:v>coem/BYD_UKE/gen_bsw/Com/Com_PBcfg.c:45442; BoschOversea_StandardCANFD_commplatform_RCR_CAN_Matrix_V4.18.2_20251104.dbc:463</x:v>
      </x:c>
    </x:row>
    <x:row r="989" ht="72" customHeight="1">
      <x:c r="A989" s="144" t="str">
        <x:v>Com-Signal</x:v>
      </x:c>
      <x:c r="B989" s="144" t="str">
        <x:v>COM-SIG-Rx-0077 / ESP_Active</x:v>
      </x:c>
      <x:c r="C989" s="144" t="str">
        <x:v>PDU=IPB_0x10C; startBit=163; length=1; byteOrder=Little; type=UINT8; factor=1; offset=0; min=0; max=1; unit=-; receivers=MPC,ADS,MRR,BSMCL,BSMCR,FCR</x:v>
      </x:c>
      <x:c r="D9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89" s="144" t="str">
        <x:v>M2</x:v>
      </x:c>
      <x:c r="F989" s="144" t="str">
        <x:v>Signal 级可编辑配置、数据类型/缩放/端序合同、RTE 接口、边界值与 round-trip 测试。</x:v>
      </x:c>
      <x:c r="G989" s="144" t="str">
        <x:v>raw=0、raw=max、物理 min/max、越界/保留值、端序字节向量、pack→unpack round-trip；1457/1457 通过。</x:v>
      </x:c>
      <x:c r="H989" s="144" t="str">
        <x:v>coem/BYD_UKE/gen_bsw/Com/Com_PBcfg.c:45502; BoschOversea_StandardCANFD_commplatform_RCR_CAN_Matrix_V4.18.2_20251104.dbc:423</x:v>
      </x:c>
    </x:row>
    <x:row r="990" ht="72" customHeight="1">
      <x:c r="A990" s="144" t="str">
        <x:v>Com-Signal</x:v>
      </x:c>
      <x:c r="B990" s="144" t="str">
        <x:v>COM-SIG-Rx-0078 / ESP_OFF</x:v>
      </x:c>
      <x:c r="C990" s="144" t="str">
        <x:v>PDU=IPB_0x10C; startBit=162; length=1; byteOrder=Little; type=UINT8; factor=1; offset=0; min=0; max=1; unit=-; receivers=MPC,ADS,MRR,BSMCL,BSMCR,FCR</x:v>
      </x:c>
      <x:c r="D9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0" s="144" t="str">
        <x:v>M2</x:v>
      </x:c>
      <x:c r="F990" s="144" t="str">
        <x:v>Signal 级可编辑配置、数据类型/缩放/端序合同、RTE 接口、边界值与 round-trip 测试。</x:v>
      </x:c>
      <x:c r="G990" s="144" t="str">
        <x:v>raw=0、raw=max、物理 min/max、越界/保留值、端序字节向量、pack→unpack round-trip；1457/1457 通过。</x:v>
      </x:c>
      <x:c r="H990" s="144" t="str">
        <x:v>coem/BYD_UKE/gen_bsw/Com/Com_PBcfg.c:45562; BoschOversea_StandardCANFD_commplatform_RCR_CAN_Matrix_V4.18.2_20251104.dbc:422</x:v>
      </x:c>
    </x:row>
    <x:row r="991" ht="72" customHeight="1">
      <x:c r="A991" s="144" t="str">
        <x:v>Com-Signal</x:v>
      </x:c>
      <x:c r="B991" s="144" t="str">
        <x:v>COM-SIG-Rx-0079 / FLWheelDriveDirectionStatus</x:v>
      </x:c>
      <x:c r="C991" s="144" t="str">
        <x:v>PDU=IPB_0x10C; startBit=108; length=1; byteOrder=Little; type=UINT8; factor=1; offset=0; min=0; max=1; unit=-; receivers=MPC,ADS,MRR,BSMCL,BSMCR,FCR</x:v>
      </x:c>
      <x:c r="D9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1" s="144" t="str">
        <x:v>M2</x:v>
      </x:c>
      <x:c r="F991" s="144" t="str">
        <x:v>Signal 级可编辑配置、数据类型/缩放/端序合同、RTE 接口、边界值与 round-trip 测试。</x:v>
      </x:c>
      <x:c r="G991" s="144" t="str">
        <x:v>raw=0、raw=max、物理 min/max、越界/保留值、端序字节向量、pack→unpack round-trip；1457/1457 通过。</x:v>
      </x:c>
      <x:c r="H991" s="144" t="str">
        <x:v>coem/BYD_UKE/gen_bsw/Com/Com_PBcfg.c:45622; BoschOversea_StandardCANFD_commplatform_RCR_CAN_Matrix_V4.18.2_20251104.dbc:404</x:v>
      </x:c>
    </x:row>
    <x:row r="992" ht="72" customHeight="1">
      <x:c r="A992" s="144" t="str">
        <x:v>Com-Signal</x:v>
      </x:c>
      <x:c r="B992" s="144" t="str">
        <x:v>COM-SIG-Rx-0080 / FLWheelDriveDirection</x:v>
      </x:c>
      <x:c r="C992" s="144" t="str">
        <x:v>PDU=IPB_0x10C; startBit=106; length=2; byteOrder=Little; type=UINT8; factor=1; offset=0; min=0; max=3; unit=-; receivers=MPC,ADS,MRR,BSMCL,BSMCR,FCR</x:v>
      </x:c>
      <x:c r="D9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2" s="144" t="str">
        <x:v>M2</x:v>
      </x:c>
      <x:c r="F992" s="144" t="str">
        <x:v>Signal 级可编辑配置、数据类型/缩放/端序合同、RTE 接口、边界值与 round-trip 测试。</x:v>
      </x:c>
      <x:c r="G992" s="144" t="str">
        <x:v>raw=0、raw=max、物理 min/max、越界/保留值、端序字节向量、pack→unpack round-trip；1457/1457 通过。</x:v>
      </x:c>
      <x:c r="H992" s="144" t="str">
        <x:v>coem/BYD_UKE/gen_bsw/Com/Com_PBcfg.c:45682; BoschOversea_StandardCANFD_commplatform_RCR_CAN_Matrix_V4.18.2_20251104.dbc:403</x:v>
      </x:c>
    </x:row>
    <x:row r="993" ht="72" customHeight="1">
      <x:c r="A993" s="144" t="str">
        <x:v>Com-Signal</x:v>
      </x:c>
      <x:c r="B993" s="144" t="str">
        <x:v>COM-SIG-Rx-0081 / FLWheelPulseCounterValidity</x:v>
      </x:c>
      <x:c r="C993" s="144" t="str">
        <x:v>PDU=IPB_0x10C; startBit=155; length=1; byteOrder=Little; type=UINT8; factor=1; offset=0; min=0; max=1; unit=-; receivers=MPC,ADS,MRR,BSMCL,BSMCR,FCR</x:v>
      </x:c>
      <x:c r="D9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3" s="144" t="str">
        <x:v>M2</x:v>
      </x:c>
      <x:c r="F993" s="144" t="str">
        <x:v>Signal 级可编辑配置、数据类型/缩放/端序合同、RTE 接口、边界值与 round-trip 测试。</x:v>
      </x:c>
      <x:c r="G993" s="144" t="str">
        <x:v>raw=0、raw=max、物理 min/max、越界/保留值、端序字节向量、pack→unpack round-trip；1457/1457 通过。</x:v>
      </x:c>
      <x:c r="H993" s="144" t="str">
        <x:v>coem/BYD_UKE/gen_bsw/Com/Com_PBcfg.c:45742; BoschOversea_StandardCANFD_commplatform_RCR_CAN_Matrix_V4.18.2_20251104.dbc:415</x:v>
      </x:c>
    </x:row>
    <x:row r="994" ht="72" customHeight="1">
      <x:c r="A994" s="144" t="str">
        <x:v>Com-Signal</x:v>
      </x:c>
      <x:c r="B994" s="144" t="str">
        <x:v>COM-SIG-Rx-0082 / FLWheelPulseCounter</x:v>
      </x:c>
      <x:c r="C994" s="144" t="str">
        <x:v>PDU=IPB_0x10C; startBit=112; length=10; byteOrder=Little; type=UINT16; factor=1; offset=0; min=0; max=1022; unit=-; receivers=MPC,ADS,MRR,BSMCL,BSMCR,FCR</x:v>
      </x:c>
      <x:c r="D9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4" s="144" t="str">
        <x:v>M2</x:v>
      </x:c>
      <x:c r="F994" s="144" t="str">
        <x:v>Signal 级可编辑配置、数据类型/缩放/端序合同、RTE 接口、边界值与 round-trip 测试。</x:v>
      </x:c>
      <x:c r="G994" s="144" t="str">
        <x:v>raw=0、raw=max、物理 min/max、越界/保留值、端序字节向量、pack→unpack round-trip；1457/1457 通过。</x:v>
      </x:c>
      <x:c r="H994" s="144" t="str">
        <x:v>coem/BYD_UKE/gen_bsw/Com/Com_PBcfg.c:45802; BoschOversea_StandardCANFD_commplatform_RCR_CAN_Matrix_V4.18.2_20251104.dbc:408</x:v>
      </x:c>
    </x:row>
    <x:row r="995" ht="72" customHeight="1">
      <x:c r="A995" s="144" t="str">
        <x:v>Com-Signal</x:v>
      </x:c>
      <x:c r="B995" s="144" t="str">
        <x:v>COM-SIG-Rx-0083 / FRWheelDriveDirectionStatus</x:v>
      </x:c>
      <x:c r="C995" s="144" t="str">
        <x:v>PDU=IPB_0x10C; startBit=109; length=1; byteOrder=Little; type=UINT8; factor=1; offset=0; min=0; max=1; unit=-; receivers=MPC,ADS,MRR,BSMCL,BSMCR,FCR</x:v>
      </x:c>
      <x:c r="D99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5" s="144" t="str">
        <x:v>M2</x:v>
      </x:c>
      <x:c r="F995" s="144" t="str">
        <x:v>Signal 级可编辑配置、数据类型/缩放/端序合同、RTE 接口、边界值与 round-trip 测试。</x:v>
      </x:c>
      <x:c r="G995" s="144" t="str">
        <x:v>raw=0、raw=max、物理 min/max、越界/保留值、端序字节向量、pack→unpack round-trip；1457/1457 通过。</x:v>
      </x:c>
      <x:c r="H995" s="144" t="str">
        <x:v>coem/BYD_UKE/gen_bsw/Com/Com_PBcfg.c:45862; BoschOversea_StandardCANFD_commplatform_RCR_CAN_Matrix_V4.18.2_20251104.dbc:405</x:v>
      </x:c>
    </x:row>
    <x:row r="996" ht="72" customHeight="1">
      <x:c r="A996" s="144" t="str">
        <x:v>Com-Signal</x:v>
      </x:c>
      <x:c r="B996" s="144" t="str">
        <x:v>COM-SIG-Rx-0084 / FRWheelDriveDirection</x:v>
      </x:c>
      <x:c r="C996" s="144" t="str">
        <x:v>PDU=IPB_0x10C; startBit=104; length=2; byteOrder=Little; type=UINT8; factor=1; offset=0; min=0; max=3; unit=-; receivers=MPC,ADS,MRR,BSMCL,BSMCR,FCR</x:v>
      </x:c>
      <x:c r="D9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6" s="144" t="str">
        <x:v>M2</x:v>
      </x:c>
      <x:c r="F996" s="144" t="str">
        <x:v>Signal 级可编辑配置、数据类型/缩放/端序合同、RTE 接口、边界值与 round-trip 测试。</x:v>
      </x:c>
      <x:c r="G996" s="144" t="str">
        <x:v>raw=0、raw=max、物理 min/max、越界/保留值、端序字节向量、pack→unpack round-trip；1457/1457 通过。</x:v>
      </x:c>
      <x:c r="H996" s="144" t="str">
        <x:v>coem/BYD_UKE/gen_bsw/Com/Com_PBcfg.c:45922; BoschOversea_StandardCANFD_commplatform_RCR_CAN_Matrix_V4.18.2_20251104.dbc:402</x:v>
      </x:c>
    </x:row>
    <x:row r="997" ht="72" customHeight="1">
      <x:c r="A997" s="144" t="str">
        <x:v>Com-Signal</x:v>
      </x:c>
      <x:c r="B997" s="144" t="str">
        <x:v>COM-SIG-Rx-0085 / FRWheelPulseCounterValidity</x:v>
      </x:c>
      <x:c r="C997" s="144" t="str">
        <x:v>PDU=IPB_0x10C; startBit=154; length=1; byteOrder=Little; type=UINT8; factor=1; offset=0; min=0; max=1; unit=-; receivers=MPC,ADS,MRR,BSMCL,BSMCR,FCR</x:v>
      </x:c>
      <x:c r="D9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7" s="144" t="str">
        <x:v>M2</x:v>
      </x:c>
      <x:c r="F997" s="144" t="str">
        <x:v>Signal 级可编辑配置、数据类型/缩放/端序合同、RTE 接口、边界值与 round-trip 测试。</x:v>
      </x:c>
      <x:c r="G997" s="144" t="str">
        <x:v>raw=0、raw=max、物理 min/max、越界/保留值、端序字节向量、pack→unpack round-trip；1457/1457 通过。</x:v>
      </x:c>
      <x:c r="H997" s="144" t="str">
        <x:v>coem/BYD_UKE/gen_bsw/Com/Com_PBcfg.c:45982; BoschOversea_StandardCANFD_commplatform_RCR_CAN_Matrix_V4.18.2_20251104.dbc:414</x:v>
      </x:c>
    </x:row>
    <x:row r="998" ht="72" customHeight="1">
      <x:c r="A998" s="144" t="str">
        <x:v>Com-Signal</x:v>
      </x:c>
      <x:c r="B998" s="144" t="str">
        <x:v>COM-SIG-Rx-0086 / FRWheelPulseCounter</x:v>
      </x:c>
      <x:c r="C998" s="144" t="str">
        <x:v>PDU=IPB_0x10C; startBit=122; length=10; byteOrder=Little; type=UINT16; factor=1; offset=0; min=0; max=1022; unit=-; receivers=MPC,ADS,MRR,BSMCL,BSMCR,FCR</x:v>
      </x:c>
      <x:c r="D9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8" s="144" t="str">
        <x:v>M2</x:v>
      </x:c>
      <x:c r="F998" s="144" t="str">
        <x:v>Signal 级可编辑配置、数据类型/缩放/端序合同、RTE 接口、边界值与 round-trip 测试。</x:v>
      </x:c>
      <x:c r="G998" s="144" t="str">
        <x:v>raw=0、raw=max、物理 min/max、越界/保留值、端序字节向量、pack→unpack round-trip；1457/1457 通过。</x:v>
      </x:c>
      <x:c r="H998" s="144" t="str">
        <x:v>coem/BYD_UKE/gen_bsw/Com/Com_PBcfg.c:46042; BoschOversea_StandardCANFD_commplatform_RCR_CAN_Matrix_V4.18.2_20251104.dbc:409</x:v>
      </x:c>
    </x:row>
    <x:row r="999" ht="72" customHeight="1">
      <x:c r="A999" s="144" t="str">
        <x:v>Com-Signal</x:v>
      </x:c>
      <x:c r="B999" s="144" t="str">
        <x:v>COM-SIG-Rx-0087 / FWA_warning</x:v>
      </x:c>
      <x:c r="C999" s="144" t="str">
        <x:v>PDU=IPB_0x10C; startBit=318; length=2; byteOrder=Little; type=UINT8; factor=1; offset=0; min=0; max=3; unit=-; receivers=MPC,ADS,MRR,BSMCL,BSMCR,FCR</x:v>
      </x:c>
      <x:c r="D99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999" s="144" t="str">
        <x:v>M2</x:v>
      </x:c>
      <x:c r="F999" s="144" t="str">
        <x:v>Signal 级可编辑配置、数据类型/缩放/端序合同、RTE 接口、边界值与 round-trip 测试。</x:v>
      </x:c>
      <x:c r="G999" s="144" t="str">
        <x:v>raw=0、raw=max、物理 min/max、越界/保留值、端序字节向量、pack→unpack round-trip；1457/1457 通过。</x:v>
      </x:c>
      <x:c r="H999" s="144" t="str">
        <x:v>coem/BYD_UKE/gen_bsw/Com/Com_PBcfg.c:46102; BoschOversea_StandardCANFD_commplatform_RCR_CAN_Matrix_V4.18.2_20251104.dbc:442</x:v>
      </x:c>
    </x:row>
    <x:row r="1000" ht="72" customHeight="1">
      <x:c r="A1000" s="144" t="str">
        <x:v>Com-Signal</x:v>
      </x:c>
      <x:c r="B1000" s="144" t="str">
        <x:v>COM-SIG-Rx-0088 / HDC_CtrlStatus</x:v>
      </x:c>
      <x:c r="C1000" s="144" t="str">
        <x:v>PDU=IPB_0x10C; startBit=222; length=2; byteOrder=Little; type=UINT8; factor=1; offset=0; min=0; max=3; unit=-; receivers=MPC,ADS,MRR,BSMCL,BSMCR,FCR</x:v>
      </x:c>
      <x:c r="D100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0" s="144" t="str">
        <x:v>M2</x:v>
      </x:c>
      <x:c r="F1000" s="144" t="str">
        <x:v>Signal 级可编辑配置、数据类型/缩放/端序合同、RTE 接口、边界值与 round-trip 测试。</x:v>
      </x:c>
      <x:c r="G1000" s="144" t="str">
        <x:v>raw=0、raw=max、物理 min/max、越界/保留值、端序字节向量、pack→unpack round-trip；1457/1457 通过。</x:v>
      </x:c>
      <x:c r="H1000" s="144" t="str">
        <x:v>coem/BYD_UKE/gen_bsw/Com/Com_PBcfg.c:46162; BoschOversea_StandardCANFD_commplatform_RCR_CAN_Matrix_V4.18.2_20251104.dbc:428</x:v>
      </x:c>
    </x:row>
    <x:row r="1001" ht="72" customHeight="1">
      <x:c r="A1001" s="144" t="str">
        <x:v>Com-Signal</x:v>
      </x:c>
      <x:c r="B1001" s="144" t="str">
        <x:v>COM-SIG-Rx-0089 / HHC_Active</x:v>
      </x:c>
      <x:c r="C1001" s="144" t="str">
        <x:v>PDU=IPB_0x10C; startBit=503; length=1; byteOrder=Little; type=UINT8; factor=1; offset=0; min=0; max=1; unit=-; receivers=MPC,ADS,MRR,BSMCL,BSMCR,FCR</x:v>
      </x:c>
      <x:c r="D100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1" s="144" t="str">
        <x:v>M2</x:v>
      </x:c>
      <x:c r="F1001" s="144" t="str">
        <x:v>Signal 级可编辑配置、数据类型/缩放/端序合同、RTE 接口、边界值与 round-trip 测试。</x:v>
      </x:c>
      <x:c r="G1001" s="144" t="str">
        <x:v>raw=0、raw=max、物理 min/max、越界/保留值、端序字节向量、pack→unpack round-trip；1457/1457 通过。</x:v>
      </x:c>
      <x:c r="H1001" s="144" t="str">
        <x:v>coem/BYD_UKE/gen_bsw/Com/Com_PBcfg.c:46222; BoschOversea_StandardCANFD_commplatform_RCR_CAN_Matrix_V4.18.2_20251104.dbc:470</x:v>
      </x:c>
    </x:row>
    <x:row r="1002" ht="72" customHeight="1">
      <x:c r="A1002" s="144" t="str">
        <x:v>Com-Signal</x:v>
      </x:c>
      <x:c r="B1002" s="144" t="str">
        <x:v>COM-SIG-Rx-0090 / IPB_BRAKE_PEDAL_STARUS</x:v>
      </x:c>
      <x:c r="C1002" s="144" t="str">
        <x:v>PDU=IPB_0x10C; startBit=349; length=2; byteOrder=Little; type=UINT8; factor=1; offset=0; min=0; max=3; unit=-; receivers=MPC,ADS,MRR,BSMCL,BSMCR,FCR</x:v>
      </x:c>
      <x:c r="D100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2" s="144" t="str">
        <x:v>M2</x:v>
      </x:c>
      <x:c r="F1002" s="144" t="str">
        <x:v>Signal 级可编辑配置、数据类型/缩放/端序合同、RTE 接口、边界值与 round-trip 测试。</x:v>
      </x:c>
      <x:c r="G1002" s="144" t="str">
        <x:v>raw=0、raw=max、物理 min/max、越界/保留值、端序字节向量、pack→unpack round-trip；1457/1457 通过。</x:v>
      </x:c>
      <x:c r="H1002" s="144" t="str">
        <x:v>coem/BYD_UKE/gen_bsw/Com/Com_PBcfg.c:46282; BoschOversea_StandardCANFD_commplatform_RCR_CAN_Matrix_V4.18.2_20251104.dbc:454</x:v>
      </x:c>
    </x:row>
    <x:row r="1003" ht="72" customHeight="1">
      <x:c r="A1003" s="144" t="str">
        <x:v>Com-Signal</x:v>
      </x:c>
      <x:c r="B1003" s="144" t="str">
        <x:v>COM-SIG-Rx-0091 / IPB_BrakeOverride</x:v>
      </x:c>
      <x:c r="C1003" s="144" t="str">
        <x:v>PDU=IPB_0x10C; startBit=501; length=1; byteOrder=Little; type=UINT8; factor=1; offset=0; min=0; max=1; unit=-; receivers=MPC,ADS,MRR,BSMCL,BSMCR,FCR</x:v>
      </x:c>
      <x:c r="D100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3" s="144" t="str">
        <x:v>M2</x:v>
      </x:c>
      <x:c r="F1003" s="144" t="str">
        <x:v>Signal 级可编辑配置、数据类型/缩放/端序合同、RTE 接口、边界值与 round-trip 测试。</x:v>
      </x:c>
      <x:c r="G1003" s="144" t="str">
        <x:v>raw=0、raw=max、物理 min/max、越界/保留值、端序字节向量、pack→unpack round-trip；1457/1457 通过。</x:v>
      </x:c>
      <x:c r="H1003" s="144" t="str">
        <x:v>coem/BYD_UKE/gen_bsw/Com/Com_PBcfg.c:46342; BoschOversea_StandardCANFD_commplatform_RCR_CAN_Matrix_V4.18.2_20251104.dbc:469</x:v>
      </x:c>
    </x:row>
    <x:row r="1004" ht="72" customHeight="1">
      <x:c r="A1004" s="144" t="str">
        <x:v>Com-Signal</x:v>
      </x:c>
      <x:c r="B1004" s="144" t="str">
        <x:v>COM-SIG-Rx-0092 / IPB_BrakeOverride_val</x:v>
      </x:c>
      <x:c r="C1004" s="144" t="str">
        <x:v>PDU=IPB_0x10C; startBit=500; length=1; byteOrder=Little; type=UINT8; factor=1; offset=0; min=0; max=1; unit=-; receivers=MPC,ADS,MRR,BSMCL,BSMCR,FCR</x:v>
      </x:c>
      <x:c r="D100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4" s="144" t="str">
        <x:v>M2</x:v>
      </x:c>
      <x:c r="F1004" s="144" t="str">
        <x:v>Signal 级可编辑配置、数据类型/缩放/端序合同、RTE 接口、边界值与 round-trip 测试。</x:v>
      </x:c>
      <x:c r="G1004" s="144" t="str">
        <x:v>raw=0、raw=max、物理 min/max、越界/保留值、端序字节向量、pack→unpack round-trip；1457/1457 通过。</x:v>
      </x:c>
      <x:c r="H1004" s="144" t="str">
        <x:v>coem/BYD_UKE/gen_bsw/Com/Com_PBcfg.c:46402; BoschOversea_StandardCANFD_commplatform_RCR_CAN_Matrix_V4.18.2_20251104.dbc:468</x:v>
      </x:c>
    </x:row>
    <x:row r="1005" ht="72" customHeight="1">
      <x:c r="A1005" s="144" t="str">
        <x:v>Com-Signal</x:v>
      </x:c>
      <x:c r="B1005" s="144" t="str">
        <x:v>COM-SIG-Rx-0093 / IPB_InputRodStroke</x:v>
      </x:c>
      <x:c r="C1005" s="144" t="str">
        <x:v>PDU=IPB_0x10C; startBit=306; length=10; byteOrder=Little; type=UINT16; factor=0.05; offset=-5; min=-5; max=46.15; unit=mm; receivers=MPC,ADS,MRR,BSMCL,BSMCR,FCR</x:v>
      </x:c>
      <x:c r="D100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5" s="144" t="str">
        <x:v>M2</x:v>
      </x:c>
      <x:c r="F1005" s="144" t="str">
        <x:v>Signal 级可编辑配置、数据类型/缩放/端序合同、RTE 接口、边界值与 round-trip 测试。</x:v>
      </x:c>
      <x:c r="G1005" s="144" t="str">
        <x:v>raw=0、raw=max、物理 min/max、越界/保留值、端序字节向量、pack→unpack round-trip；1457/1457 通过。</x:v>
      </x:c>
      <x:c r="H1005" s="144" t="str">
        <x:v>coem/BYD_UKE/gen_bsw/Com/Com_PBcfg.c:46462; BoschOversea_StandardCANFD_commplatform_RCR_CAN_Matrix_V4.18.2_20251104.dbc:440</x:v>
      </x:c>
    </x:row>
    <x:row r="1006" ht="72" customHeight="1">
      <x:c r="A1006" s="144" t="str">
        <x:v>Com-Signal</x:v>
      </x:c>
      <x:c r="B1006" s="144" t="str">
        <x:v>COM-SIG-Rx-0094 / IPB_InputRodStroke_Status</x:v>
      </x:c>
      <x:c r="C1006" s="144" t="str">
        <x:v>PDU=IPB_0x10C; startBit=316; length=1; byteOrder=Little; type=UINT8; factor=1; offset=0; min=0; max=1; unit=-; receivers=MPC,ADS,MRR,BSMCL,BSMCR,FCR</x:v>
      </x:c>
      <x:c r="D100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6" s="144" t="str">
        <x:v>M2</x:v>
      </x:c>
      <x:c r="F1006" s="144" t="str">
        <x:v>Signal 级可编辑配置、数据类型/缩放/端序合同、RTE 接口、边界值与 round-trip 测试。</x:v>
      </x:c>
      <x:c r="G1006" s="144" t="str">
        <x:v>raw=0、raw=max、物理 min/max、越界/保留值、端序字节向量、pack→unpack round-trip；1457/1457 通过。</x:v>
      </x:c>
      <x:c r="H1006" s="144" t="str">
        <x:v>coem/BYD_UKE/gen_bsw/Com/Com_PBcfg.c:46522; BoschOversea_StandardCANFD_commplatform_RCR_CAN_Matrix_V4.18.2_20251104.dbc:441</x:v>
      </x:c>
    </x:row>
    <x:row r="1007" ht="72" customHeight="1">
      <x:c r="A1007" s="144" t="str">
        <x:v>Com-Signal</x:v>
      </x:c>
      <x:c r="B1007" s="144" t="str">
        <x:v>COM-SIG-Rx-0095 / IPB_PlungerPressure</x:v>
      </x:c>
      <x:c r="C1007" s="144" t="str">
        <x:v>PDU=IPB_0x10C; startBit=366; length=12; byteOrder=Little; type=UINT16; factor=0.3; offset=-5; min=-5; max=301.9; unit=bar; receivers=MPC,ADS,MRR,BSMCL,BSMCR,FCR</x:v>
      </x:c>
      <x:c r="D100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7" s="144" t="str">
        <x:v>M2</x:v>
      </x:c>
      <x:c r="F1007" s="144" t="str">
        <x:v>Signal 级可编辑配置、数据类型/缩放/端序合同、RTE 接口、边界值与 round-trip 测试。</x:v>
      </x:c>
      <x:c r="G1007" s="144" t="str">
        <x:v>raw=0、raw=max、物理 min/max、越界/保留值、端序字节向量、pack→unpack round-trip；1457/1457 通过。</x:v>
      </x:c>
      <x:c r="H1007" s="144" t="str">
        <x:v>coem/BYD_UKE/gen_bsw/Com/Com_PBcfg.c:46582; BoschOversea_StandardCANFD_commplatform_RCR_CAN_Matrix_V4.18.2_20251104.dbc:459</x:v>
      </x:c>
    </x:row>
    <x:row r="1008" ht="72" customHeight="1">
      <x:c r="A1008" s="144" t="str">
        <x:v>Com-Signal</x:v>
      </x:c>
      <x:c r="B1008" s="144" t="str">
        <x:v>COM-SIG-Rx-0096 / IPB_PlungerPressure_status</x:v>
      </x:c>
      <x:c r="C1008" s="144" t="str">
        <x:v>PDU=IPB_0x10C; startBit=364; length=1; byteOrder=Little; type=UINT8; factor=1; offset=0; min=0; max=1; unit=-; receivers=MPC,ADS,MRR,BSMCL,BSMCR,FCR</x:v>
      </x:c>
      <x:c r="D100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8" s="144" t="str">
        <x:v>M2</x:v>
      </x:c>
      <x:c r="F1008" s="144" t="str">
        <x:v>Signal 级可编辑配置、数据类型/缩放/端序合同、RTE 接口、边界值与 round-trip 测试。</x:v>
      </x:c>
      <x:c r="G1008" s="144" t="str">
        <x:v>raw=0、raw=max、物理 min/max、越界/保留值、端序字节向量、pack→unpack round-trip；1457/1457 通过。</x:v>
      </x:c>
      <x:c r="H1008" s="144" t="str">
        <x:v>coem/BYD_UKE/gen_bsw/Com/Com_PBcfg.c:46642; BoschOversea_StandardCANFD_commplatform_RCR_CAN_Matrix_V4.18.2_20251104.dbc:457</x:v>
      </x:c>
    </x:row>
    <x:row r="1009" ht="72" customHeight="1">
      <x:c r="A1009" s="144" t="str">
        <x:v>Com-Signal</x:v>
      </x:c>
      <x:c r="B1009" s="144" t="str">
        <x:v>COM-SIG-Rx-0097 / IPB_SimulatorPressure</x:v>
      </x:c>
      <x:c r="C1009" s="144" t="str">
        <x:v>PDU=IPB_0x10C; startBit=352; length=12; byteOrder=Little; type=UINT16; factor=0.3; offset=-5; min=-5; max=301.9; unit=bar; receivers=MPC,ADS,MRR,BSMCL,BSMCR,FCR</x:v>
      </x:c>
      <x:c r="D100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09" s="144" t="str">
        <x:v>M2</x:v>
      </x:c>
      <x:c r="F1009" s="144" t="str">
        <x:v>Signal 级可编辑配置、数据类型/缩放/端序合同、RTE 接口、边界值与 round-trip 测试。</x:v>
      </x:c>
      <x:c r="G1009" s="144" t="str">
        <x:v>raw=0、raw=max、物理 min/max、越界/保留值、端序字节向量、pack→unpack round-trip；1457/1457 通过。</x:v>
      </x:c>
      <x:c r="H1009" s="144" t="str">
        <x:v>coem/BYD_UKE/gen_bsw/Com/Com_PBcfg.c:46702; BoschOversea_StandardCANFD_commplatform_RCR_CAN_Matrix_V4.18.2_20251104.dbc:456</x:v>
      </x:c>
    </x:row>
    <x:row r="1010" ht="72" customHeight="1">
      <x:c r="A1010" s="144" t="str">
        <x:v>Com-Signal</x:v>
      </x:c>
      <x:c r="B1010" s="144" t="str">
        <x:v>COM-SIG-Rx-0098 / IPB_SimulatorPressure_Sts</x:v>
      </x:c>
      <x:c r="C1010" s="144" t="str">
        <x:v>PDU=IPB_0x10C; startBit=351; length=1; byteOrder=Little; type=UINT8; factor=1; offset=0; min=0; max=1; unit=-; receivers=MPC,ADS,MRR,BSMCL,BSMCR,FCR</x:v>
      </x:c>
      <x:c r="D101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0" s="144" t="str">
        <x:v>M2</x:v>
      </x:c>
      <x:c r="F1010" s="144" t="str">
        <x:v>Signal 级可编辑配置、数据类型/缩放/端序合同、RTE 接口、边界值与 round-trip 测试。</x:v>
      </x:c>
      <x:c r="G1010" s="144" t="str">
        <x:v>raw=0、raw=max、物理 min/max、越界/保留值、端序字节向量、pack→unpack round-trip；1457/1457 通过。</x:v>
      </x:c>
      <x:c r="H1010" s="144" t="str">
        <x:v>coem/BYD_UKE/gen_bsw/Com/Com_PBcfg.c:46762; BoschOversea_StandardCANFD_commplatform_RCR_CAN_Matrix_V4.18.2_20251104.dbc:455</x:v>
      </x:c>
    </x:row>
    <x:row r="1011" ht="72" customHeight="1">
      <x:c r="A1011" s="144" t="str">
        <x:v>Com-Signal</x:v>
      </x:c>
      <x:c r="B1011" s="144" t="str">
        <x:v>COM-SIG-Rx-0099 / LFI_Longitudinal_Torque_Interface_Function_Execution_Estimate_S</x:v>
      </x:c>
      <x:c r="C1011" s="144" t="str">
        <x:v>PDU=IPB_0x10C; startBit=168; length=16; byteOrder=Little; type=UINT16; factor=1（Com原始值）; offset=0（Com原始值）; min=按位宽/类型; max=按位宽/类型; unit=-; receivers=-</x:v>
      </x:c>
      <x:c r="D101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011" s="144" t="str">
        <x:v>M2</x:v>
      </x:c>
      <x:c r="F1011" s="144" t="str">
        <x:v>Signal 级可编辑配置、数据类型/缩放/端序合同、RTE 接口、边界值与 round-trip 测试。</x:v>
      </x:c>
      <x:c r="G1011" s="144" t="str">
        <x:v>raw=0、raw=max、物理 min/max、越界/保留值、端序字节向量、pack→unpack round-trip；1457/1457 通过。</x:v>
      </x:c>
      <x:c r="H1011" s="144" t="str">
        <x:v>coem/BYD_UKE/gen_bsw/Com/Com_PBcfg.c:46822</x:v>
      </x:c>
    </x:row>
    <x:row r="1012" ht="72" customHeight="1">
      <x:c r="A1012" s="144" t="str">
        <x:v>Com-Signal</x:v>
      </x:c>
      <x:c r="B1012" s="144" t="str">
        <x:v>COM-SIG-Rx-0100 / MMotInc_FA_S</x:v>
      </x:c>
      <x:c r="C1012" s="144" t="str">
        <x:v>PDU=IPB_0x10C; startBit=472; length=14; byteOrder=Little; type=UINT16; factor=1; offset=-6000; min=-6000; max=6000; unit=-; receivers=MPC,ADS,MRR,BSMCL,BSMCR,FCR</x:v>
      </x:c>
      <x:c r="D101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2" s="144" t="str">
        <x:v>M2</x:v>
      </x:c>
      <x:c r="F1012" s="144" t="str">
        <x:v>Signal 级可编辑配置、数据类型/缩放/端序合同、RTE 接口、边界值与 round-trip 测试。</x:v>
      </x:c>
      <x:c r="G1012" s="144" t="str">
        <x:v>raw=0、raw=max、物理 min/max、越界/保留值、端序字节向量、pack→unpack round-trip；1457/1457 通过。</x:v>
      </x:c>
      <x:c r="H1012" s="144" t="str">
        <x:v>coem/BYD_UKE/gen_bsw/Com/Com_PBcfg.c:46882; BoschOversea_StandardCANFD_commplatform_RCR_CAN_Matrix_V4.18.2_20251104.dbc:466</x:v>
      </x:c>
    </x:row>
    <x:row r="1013" ht="72" customHeight="1">
      <x:c r="A1013" s="144" t="str">
        <x:v>Com-Signal</x:v>
      </x:c>
      <x:c r="B1013" s="144" t="str">
        <x:v>COM-SIG-Rx-0101 / MMotInc_RA_S</x:v>
      </x:c>
      <x:c r="C1013" s="144" t="str">
        <x:v>PDU=IPB_0x10C; startBit=486; length=14; byteOrder=Little; type=UINT16; factor=1; offset=-6000; min=-6000; max=6000; unit=-; receivers=MPC,ADS,MRR,BSMCL,BSMCR,FCR</x:v>
      </x:c>
      <x:c r="D10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3" s="144" t="str">
        <x:v>M2</x:v>
      </x:c>
      <x:c r="F1013" s="144" t="str">
        <x:v>Signal 级可编辑配置、数据类型/缩放/端序合同、RTE 接口、边界值与 round-trip 测试。</x:v>
      </x:c>
      <x:c r="G1013" s="144" t="str">
        <x:v>raw=0、raw=max、物理 min/max、越界/保留值、端序字节向量、pack→unpack round-trip；1457/1457 通过。</x:v>
      </x:c>
      <x:c r="H1013" s="144" t="str">
        <x:v>coem/BYD_UKE/gen_bsw/Com/Com_PBcfg.c:46942; BoschOversea_StandardCANFD_commplatform_RCR_CAN_Matrix_V4.18.2_20251104.dbc:467</x:v>
      </x:c>
    </x:row>
    <x:row r="1014" ht="72" customHeight="1">
      <x:c r="A1014" s="144" t="str">
        <x:v>Com-Signal</x:v>
      </x:c>
      <x:c r="B1014" s="144" t="str">
        <x:v>COM-SIG-Rx-0102 / MMotTarFast_FA</x:v>
      </x:c>
      <x:c r="C1014" s="144" t="str">
        <x:v>PDU=IPB_0x10C; startBit=440; length=16; byteOrder=Little; type=UINT16; factor=1; offset=-12000; min=-12000; max=12000; unit=-; receivers=MPC,ADS,MRR,BSMCL,BSMCR,FCR</x:v>
      </x:c>
      <x:c r="D10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4" s="144" t="str">
        <x:v>M2</x:v>
      </x:c>
      <x:c r="F1014" s="144" t="str">
        <x:v>Signal 级可编辑配置、数据类型/缩放/端序合同、RTE 接口、边界值与 round-trip 测试。</x:v>
      </x:c>
      <x:c r="G1014" s="144" t="str">
        <x:v>raw=0、raw=max、物理 min/max、越界/保留值、端序字节向量、pack→unpack round-trip；1457/1457 通过。</x:v>
      </x:c>
      <x:c r="H1014" s="144" t="str">
        <x:v>coem/BYD_UKE/gen_bsw/Com/Com_PBcfg.c:47002; BoschOversea_StandardCANFD_commplatform_RCR_CAN_Matrix_V4.18.2_20251104.dbc:464</x:v>
      </x:c>
    </x:row>
    <x:row r="1015" ht="72" customHeight="1">
      <x:c r="A1015" s="144" t="str">
        <x:v>Com-Signal</x:v>
      </x:c>
      <x:c r="B1015" s="144" t="str">
        <x:v>COM-SIG-Rx-0103 / MMotTarFast_RA</x:v>
      </x:c>
      <x:c r="C1015" s="144" t="str">
        <x:v>PDU=IPB_0x10C; startBit=456; length=16; byteOrder=Little; type=UINT16; factor=1; offset=-12000; min=-12000; max=12000; unit=-; receivers=MPC,ADS,MRR,BSMCL,BSMCR,FCR</x:v>
      </x:c>
      <x:c r="D10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5" s="144" t="str">
        <x:v>M2</x:v>
      </x:c>
      <x:c r="F1015" s="144" t="str">
        <x:v>Signal 级可编辑配置、数据类型/缩放/端序合同、RTE 接口、边界值与 round-trip 测试。</x:v>
      </x:c>
      <x:c r="G1015" s="144" t="str">
        <x:v>raw=0、raw=max、物理 min/max、越界/保留值、端序字节向量、pack→unpack round-trip；1457/1457 通过。</x:v>
      </x:c>
      <x:c r="H1015" s="144" t="str">
        <x:v>coem/BYD_UKE/gen_bsw/Com/Com_PBcfg.c:47062; BoschOversea_StandardCANFD_commplatform_RCR_CAN_Matrix_V4.18.2_20251104.dbc:465</x:v>
      </x:c>
    </x:row>
    <x:row r="1016" ht="72" customHeight="1">
      <x:c r="A1016" s="144" t="str">
        <x:v>Com-Signal</x:v>
      </x:c>
      <x:c r="B1016" s="144" t="str">
        <x:v>COM-SIG-Rx-0104 / PrefillActive</x:v>
      </x:c>
      <x:c r="C1016" s="144" t="str">
        <x:v>PDU=IPB_0x10C; startBit=331; length=1; byteOrder=Little; type=UINT8; factor=1; offset=0; min=0; max=1; unit=-; receivers=MPC,ADS,MRR,BSMCL,BSMCR,FCR</x:v>
      </x:c>
      <x:c r="D101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6" s="144" t="str">
        <x:v>M2</x:v>
      </x:c>
      <x:c r="F1016" s="144" t="str">
        <x:v>Signal 级可编辑配置、数据类型/缩放/端序合同、RTE 接口、边界值与 round-trip 测试。</x:v>
      </x:c>
      <x:c r="G1016" s="144" t="str">
        <x:v>raw=0、raw=max、物理 min/max、越界/保留值、端序字节向量、pack→unpack round-trip；1457/1457 通过。</x:v>
      </x:c>
      <x:c r="H1016" s="144" t="str">
        <x:v>coem/BYD_UKE/gen_bsw/Com/Com_PBcfg.c:47122; BoschOversea_StandardCANFD_commplatform_RCR_CAN_Matrix_V4.18.2_20251104.dbc:449</x:v>
      </x:c>
    </x:row>
    <x:row r="1017" ht="72" customHeight="1">
      <x:c r="A1017" s="144" t="str">
        <x:v>Com-Signal</x:v>
      </x:c>
      <x:c r="B1017" s="144" t="str">
        <x:v>COM-SIG-Rx-0105 / PrefillAvailable</x:v>
      </x:c>
      <x:c r="C1017" s="144" t="str">
        <x:v>PDU=IPB_0x10C; startBit=330; length=1; byteOrder=Little; type=UINT8; factor=1; offset=0; min=0; max=1; unit=-; receivers=MPC,ADS,MRR,BSMCL,BSMCR,FCR</x:v>
      </x:c>
      <x:c r="D101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7" s="144" t="str">
        <x:v>M2</x:v>
      </x:c>
      <x:c r="F1017" s="144" t="str">
        <x:v>Signal 级可编辑配置、数据类型/缩放/端序合同、RTE 接口、边界值与 round-trip 测试。</x:v>
      </x:c>
      <x:c r="G1017" s="144" t="str">
        <x:v>raw=0、raw=max、物理 min/max、越界/保留值、端序字节向量、pack→unpack round-trip；1457/1457 通过。</x:v>
      </x:c>
      <x:c r="H1017" s="144" t="str">
        <x:v>coem/BYD_UKE/gen_bsw/Com/Com_PBcfg.c:47182; BoschOversea_StandardCANFD_commplatform_RCR_CAN_Matrix_V4.18.2_20251104.dbc:448</x:v>
      </x:c>
    </x:row>
    <x:row r="1018" ht="72" customHeight="1">
      <x:c r="A1018" s="144" t="str">
        <x:v>Com-Signal</x:v>
      </x:c>
      <x:c r="B1018" s="144" t="str">
        <x:v>COM-SIG-Rx-0106 / RLWheelDriveDirectionStatus</x:v>
      </x:c>
      <x:c r="C1018" s="144" t="str">
        <x:v>PDU=IPB_0x10C; startBit=110; length=1; byteOrder=Little; type=UINT8; factor=1; offset=0; min=0; max=1; unit=-; receivers=MPC,ADS,MRR,BSMCL,BSMCR,FCR</x:v>
      </x:c>
      <x:c r="D10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8" s="144" t="str">
        <x:v>M2</x:v>
      </x:c>
      <x:c r="F1018" s="144" t="str">
        <x:v>Signal 级可编辑配置、数据类型/缩放/端序合同、RTE 接口、边界值与 round-trip 测试。</x:v>
      </x:c>
      <x:c r="G1018" s="144" t="str">
        <x:v>raw=0、raw=max、物理 min/max、越界/保留值、端序字节向量、pack→unpack round-trip；1457/1457 通过。</x:v>
      </x:c>
      <x:c r="H1018" s="144" t="str">
        <x:v>coem/BYD_UKE/gen_bsw/Com/Com_PBcfg.c:47242; BoschOversea_StandardCANFD_commplatform_RCR_CAN_Matrix_V4.18.2_20251104.dbc:406</x:v>
      </x:c>
    </x:row>
    <x:row r="1019" ht="72" customHeight="1">
      <x:c r="A1019" s="144" t="str">
        <x:v>Com-Signal</x:v>
      </x:c>
      <x:c r="B1019" s="144" t="str">
        <x:v>COM-SIG-Rx-0107 / RLWheelDriveDirection</x:v>
      </x:c>
      <x:c r="C1019" s="144" t="str">
        <x:v>PDU=IPB_0x10C; startBit=102; length=2; byteOrder=Little; type=UINT8; factor=1; offset=0; min=0; max=3; unit=-; receivers=MPC,ADS,MRR,BSMCL,BSMCR,FCR</x:v>
      </x:c>
      <x:c r="D10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19" s="144" t="str">
        <x:v>M2</x:v>
      </x:c>
      <x:c r="F1019" s="144" t="str">
        <x:v>Signal 级可编辑配置、数据类型/缩放/端序合同、RTE 接口、边界值与 round-trip 测试。</x:v>
      </x:c>
      <x:c r="G1019" s="144" t="str">
        <x:v>raw=0、raw=max、物理 min/max、越界/保留值、端序字节向量、pack→unpack round-trip；1457/1457 通过。</x:v>
      </x:c>
      <x:c r="H1019" s="144" t="str">
        <x:v>coem/BYD_UKE/gen_bsw/Com/Com_PBcfg.c:47302; BoschOversea_StandardCANFD_commplatform_RCR_CAN_Matrix_V4.18.2_20251104.dbc:401</x:v>
      </x:c>
    </x:row>
    <x:row r="1020" ht="72" customHeight="1">
      <x:c r="A1020" s="144" t="str">
        <x:v>Com-Signal</x:v>
      </x:c>
      <x:c r="B1020" s="144" t="str">
        <x:v>COM-SIG-Rx-0108 / RLWheelPulseCounterValidity</x:v>
      </x:c>
      <x:c r="C1020" s="144" t="str">
        <x:v>PDU=IPB_0x10C; startBit=153; length=1; byteOrder=Little; type=UINT8; factor=1; offset=0; min=0; max=1; unit=-; receivers=MPC,ADS,MRR,BSMCL,BSMCR,FCR</x:v>
      </x:c>
      <x:c r="D10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0" s="144" t="str">
        <x:v>M2</x:v>
      </x:c>
      <x:c r="F1020" s="144" t="str">
        <x:v>Signal 级可编辑配置、数据类型/缩放/端序合同、RTE 接口、边界值与 round-trip 测试。</x:v>
      </x:c>
      <x:c r="G1020" s="144" t="str">
        <x:v>raw=0、raw=max、物理 min/max、越界/保留值、端序字节向量、pack→unpack round-trip；1457/1457 通过。</x:v>
      </x:c>
      <x:c r="H1020" s="144" t="str">
        <x:v>coem/BYD_UKE/gen_bsw/Com/Com_PBcfg.c:47362; BoschOversea_StandardCANFD_commplatform_RCR_CAN_Matrix_V4.18.2_20251104.dbc:413</x:v>
      </x:c>
    </x:row>
    <x:row r="1021" ht="72" customHeight="1">
      <x:c r="A1021" s="144" t="str">
        <x:v>Com-Signal</x:v>
      </x:c>
      <x:c r="B1021" s="144" t="str">
        <x:v>COM-SIG-Rx-0109 / RLWheelPulseCounter</x:v>
      </x:c>
      <x:c r="C1021" s="144" t="str">
        <x:v>PDU=IPB_0x10C; startBit=132; length=10; byteOrder=Little; type=UINT16; factor=1; offset=0; min=0; max=1022; unit=-; receivers=MPC,ADS,MRR,BSMCL,BSMCR,FCR</x:v>
      </x:c>
      <x:c r="D10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1" s="144" t="str">
        <x:v>M2</x:v>
      </x:c>
      <x:c r="F1021" s="144" t="str">
        <x:v>Signal 级可编辑配置、数据类型/缩放/端序合同、RTE 接口、边界值与 round-trip 测试。</x:v>
      </x:c>
      <x:c r="G1021" s="144" t="str">
        <x:v>raw=0、raw=max、物理 min/max、越界/保留值、端序字节向量、pack→unpack round-trip；1457/1457 通过。</x:v>
      </x:c>
      <x:c r="H1021" s="144" t="str">
        <x:v>coem/BYD_UKE/gen_bsw/Com/Com_PBcfg.c:47422; BoschOversea_StandardCANFD_commplatform_RCR_CAN_Matrix_V4.18.2_20251104.dbc:410</x:v>
      </x:c>
    </x:row>
    <x:row r="1022" ht="72" customHeight="1">
      <x:c r="A1022" s="144" t="str">
        <x:v>Com-Signal</x:v>
      </x:c>
      <x:c r="B1022" s="144" t="str">
        <x:v>COM-SIG-Rx-0110 / RRWheelDriveDirectionStatus</x:v>
      </x:c>
      <x:c r="C1022" s="144" t="str">
        <x:v>PDU=IPB_0x10C; startBit=111; length=1; byteOrder=Little; type=UINT8; factor=1; offset=0; min=0; max=1; unit=-; receivers=MPC,ADS,MRR,BSMCL,BSMCR,FCR</x:v>
      </x:c>
      <x:c r="D10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2" s="144" t="str">
        <x:v>M2</x:v>
      </x:c>
      <x:c r="F1022" s="144" t="str">
        <x:v>Signal 级可编辑配置、数据类型/缩放/端序合同、RTE 接口、边界值与 round-trip 测试。</x:v>
      </x:c>
      <x:c r="G1022" s="144" t="str">
        <x:v>raw=0、raw=max、物理 min/max、越界/保留值、端序字节向量、pack→unpack round-trip；1457/1457 通过。</x:v>
      </x:c>
      <x:c r="H1022" s="144" t="str">
        <x:v>coem/BYD_UKE/gen_bsw/Com/Com_PBcfg.c:47482; BoschOversea_StandardCANFD_commplatform_RCR_CAN_Matrix_V4.18.2_20251104.dbc:407</x:v>
      </x:c>
    </x:row>
    <x:row r="1023" ht="72" customHeight="1">
      <x:c r="A1023" s="144" t="str">
        <x:v>Com-Signal</x:v>
      </x:c>
      <x:c r="B1023" s="144" t="str">
        <x:v>COM-SIG-Rx-0111 / RRWheelDriveDirection</x:v>
      </x:c>
      <x:c r="C1023" s="144" t="str">
        <x:v>PDU=IPB_0x10C; startBit=100; length=2; byteOrder=Little; type=UINT8; factor=1; offset=0; min=0; max=3; unit=-; receivers=MPC,ADS,MRR,BSMCL,BSMCR,FCR</x:v>
      </x:c>
      <x:c r="D10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3" s="144" t="str">
        <x:v>M2</x:v>
      </x:c>
      <x:c r="F1023" s="144" t="str">
        <x:v>Signal 级可编辑配置、数据类型/缩放/端序合同、RTE 接口、边界值与 round-trip 测试。</x:v>
      </x:c>
      <x:c r="G1023" s="144" t="str">
        <x:v>raw=0、raw=max、物理 min/max、越界/保留值、端序字节向量、pack→unpack round-trip；1457/1457 通过。</x:v>
      </x:c>
      <x:c r="H1023" s="144" t="str">
        <x:v>coem/BYD_UKE/gen_bsw/Com/Com_PBcfg.c:47542; BoschOversea_StandardCANFD_commplatform_RCR_CAN_Matrix_V4.18.2_20251104.dbc:400</x:v>
      </x:c>
    </x:row>
    <x:row r="1024" ht="72" customHeight="1">
      <x:c r="A1024" s="144" t="str">
        <x:v>Com-Signal</x:v>
      </x:c>
      <x:c r="B1024" s="144" t="str">
        <x:v>COM-SIG-Rx-0112 / RRWheelPulseCounterValidity</x:v>
      </x:c>
      <x:c r="C1024" s="144" t="str">
        <x:v>PDU=IPB_0x10C; startBit=152; length=1; byteOrder=Little; type=UINT8; factor=1; offset=0; min=0; max=1; unit=-; receivers=MPC,ADS,MRR,BSMCL,BSMCR,FCR</x:v>
      </x:c>
      <x:c r="D10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4" s="144" t="str">
        <x:v>M2</x:v>
      </x:c>
      <x:c r="F1024" s="144" t="str">
        <x:v>Signal 级可编辑配置、数据类型/缩放/端序合同、RTE 接口、边界值与 round-trip 测试。</x:v>
      </x:c>
      <x:c r="G1024" s="144" t="str">
        <x:v>raw=0、raw=max、物理 min/max、越界/保留值、端序字节向量、pack→unpack round-trip；1457/1457 通过。</x:v>
      </x:c>
      <x:c r="H1024" s="144" t="str">
        <x:v>coem/BYD_UKE/gen_bsw/Com/Com_PBcfg.c:47602; BoschOversea_StandardCANFD_commplatform_RCR_CAN_Matrix_V4.18.2_20251104.dbc:412</x:v>
      </x:c>
    </x:row>
    <x:row r="1025" ht="72" customHeight="1">
      <x:c r="A1025" s="144" t="str">
        <x:v>Com-Signal</x:v>
      </x:c>
      <x:c r="B1025" s="144" t="str">
        <x:v>COM-SIG-Rx-0113 / RRWheelPulseCounter</x:v>
      </x:c>
      <x:c r="C1025" s="144" t="str">
        <x:v>PDU=IPB_0x10C; startBit=142; length=10; byteOrder=Little; type=UINT16; factor=1; offset=0; min=0; max=1022; unit=-; receivers=MPC,ADS,MRR,BSMCL,BSMCR,FCR</x:v>
      </x:c>
      <x:c r="D10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5" s="144" t="str">
        <x:v>M2</x:v>
      </x:c>
      <x:c r="F1025" s="144" t="str">
        <x:v>Signal 级可编辑配置、数据类型/缩放/端序合同、RTE 接口、边界值与 round-trip 测试。</x:v>
      </x:c>
      <x:c r="G1025" s="144" t="str">
        <x:v>raw=0、raw=max、物理 min/max、越界/保留值、端序字节向量、pack→unpack round-trip；1457/1457 通过。</x:v>
      </x:c>
      <x:c r="H1025" s="144" t="str">
        <x:v>coem/BYD_UKE/gen_bsw/Com/Com_PBcfg.c:47662; BoschOversea_StandardCANFD_commplatform_RCR_CAN_Matrix_V4.18.2_20251104.dbc:411</x:v>
      </x:c>
    </x:row>
    <x:row r="1026" ht="72" customHeight="1">
      <x:c r="A1026" s="144" t="str">
        <x:v>Com-Signal</x:v>
      </x:c>
      <x:c r="B1026" s="144" t="str">
        <x:v>COM-SIG-Rx-0114 / TCS_Active</x:v>
      </x:c>
      <x:c r="C1026" s="144" t="str">
        <x:v>PDU=IPB_0x10C; startBit=209; length=1; byteOrder=Little; type=UINT8; factor=1; offset=0; min=0; max=1; unit=-; receivers=MPC,ADS,MRR,BSMCL,BSMCR,FCR</x:v>
      </x:c>
      <x:c r="D10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6" s="144" t="str">
        <x:v>M2</x:v>
      </x:c>
      <x:c r="F1026" s="144" t="str">
        <x:v>Signal 级可编辑配置、数据类型/缩放/端序合同、RTE 接口、边界值与 round-trip 测试。</x:v>
      </x:c>
      <x:c r="G1026" s="144" t="str">
        <x:v>raw=0、raw=max、物理 min/max、越界/保留值、端序字节向量、pack→unpack round-trip；1457/1457 通过。</x:v>
      </x:c>
      <x:c r="H1026" s="144" t="str">
        <x:v>coem/BYD_UKE/gen_bsw/Com/Com_PBcfg.c:47722; BoschOversea_StandardCANFD_commplatform_RCR_CAN_Matrix_V4.18.2_20251104.dbc:427</x:v>
      </x:c>
    </x:row>
    <x:row r="1027" ht="72" customHeight="1">
      <x:c r="A1027" s="144" t="str">
        <x:v>Com-Signal</x:v>
      </x:c>
      <x:c r="B1027" s="144" t="str">
        <x:v>COM-SIG-Rx-0115 / TCS_Fault</x:v>
      </x:c>
      <x:c r="C1027" s="144" t="str">
        <x:v>PDU=IPB_0x10C; startBit=164; length=1; byteOrder=Little; type=UINT8; factor=1; offset=0; min=0; max=1; unit=-; receivers=MPC,ADS,MRR,BSMCL,BSMCR,FCR</x:v>
      </x:c>
      <x:c r="D10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7" s="144" t="str">
        <x:v>M2</x:v>
      </x:c>
      <x:c r="F1027" s="144" t="str">
        <x:v>Signal 级可编辑配置、数据类型/缩放/端序合同、RTE 接口、边界值与 round-trip 测试。</x:v>
      </x:c>
      <x:c r="G1027" s="144" t="str">
        <x:v>raw=0、raw=max、物理 min/max、越界/保留值、端序字节向量、pack→unpack round-trip；1457/1457 通过。</x:v>
      </x:c>
      <x:c r="H1027" s="144" t="str">
        <x:v>coem/BYD_UKE/gen_bsw/Com/Com_PBcfg.c:47782; BoschOversea_StandardCANFD_commplatform_RCR_CAN_Matrix_V4.18.2_20251104.dbc:424</x:v>
      </x:c>
    </x:row>
    <x:row r="1028" ht="72" customHeight="1">
      <x:c r="A1028" s="144" t="str">
        <x:v>Com-Signal</x:v>
      </x:c>
      <x:c r="B1028" s="144" t="str">
        <x:v>COM-SIG-Rx-0116 / VDC_Active</x:v>
      </x:c>
      <x:c r="C1028" s="144" t="str">
        <x:v>PDU=IPB_0x10C; startBit=160; length=1; byteOrder=Little; type=UINT8; factor=1; offset=0; min=0; max=1; unit=-; receivers=MPC,ADS,MRR,BSMCL,BSMCR,FCR</x:v>
      </x:c>
      <x:c r="D10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8" s="144" t="str">
        <x:v>M2</x:v>
      </x:c>
      <x:c r="F1028" s="144" t="str">
        <x:v>Signal 级可编辑配置、数据类型/缩放/端序合同、RTE 接口、边界值与 round-trip 测试。</x:v>
      </x:c>
      <x:c r="G1028" s="144" t="str">
        <x:v>raw=0、raw=max、物理 min/max、越界/保留值、端序字节向量、pack→unpack round-trip；1457/1457 通过。</x:v>
      </x:c>
      <x:c r="H1028" s="144" t="str">
        <x:v>coem/BYD_UKE/gen_bsw/Com/Com_PBcfg.c:47842; BoschOversea_StandardCANFD_commplatform_RCR_CAN_Matrix_V4.18.2_20251104.dbc:420</x:v>
      </x:c>
    </x:row>
    <x:row r="1029" ht="72" customHeight="1">
      <x:c r="A1029" s="144" t="str">
        <x:v>Com-Signal</x:v>
      </x:c>
      <x:c r="B1029" s="144" t="str">
        <x:v>COM-SIG-Rx-0117 / VDC_Fault</x:v>
      </x:c>
      <x:c r="C1029" s="144" t="str">
        <x:v>PDU=IPB_0x10C; startBit=161; length=1; byteOrder=Little; type=UINT8; factor=1; offset=0; min=0; max=1; unit=-; receivers=MPC,ADS,MRR,BSMCL,BSMCR,FCR</x:v>
      </x:c>
      <x:c r="D10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29" s="144" t="str">
        <x:v>M2</x:v>
      </x:c>
      <x:c r="F1029" s="144" t="str">
        <x:v>Signal 级可编辑配置、数据类型/缩放/端序合同、RTE 接口、边界值与 round-trip 测试。</x:v>
      </x:c>
      <x:c r="G1029" s="144" t="str">
        <x:v>raw=0、raw=max、物理 min/max、越界/保留值、端序字节向量、pack→unpack round-trip；1457/1457 通过。</x:v>
      </x:c>
      <x:c r="H1029" s="144" t="str">
        <x:v>coem/BYD_UKE/gen_bsw/Com/Com_PBcfg.c:47902; BoschOversea_StandardCANFD_commplatform_RCR_CAN_Matrix_V4.18.2_20251104.dbc:421</x:v>
      </x:c>
    </x:row>
    <x:row r="1030" ht="72" customHeight="1">
      <x:c r="A1030" s="144" t="str">
        <x:v>Com-Signal</x:v>
      </x:c>
      <x:c r="B1030" s="144" t="str">
        <x:v>COM-SIG-Rx-0118 / Ve_Target_Fdback_Tor_Flag_S</x:v>
      </x:c>
      <x:c r="C1030" s="144" t="str">
        <x:v>PDU=IPB_0x10C; startBit=378; length=2; byteOrder=Little; type=UINT8; factor=1; offset=0; min=0; max=3; unit=-; receivers=MPC,ADS,MRR,BSMCL,BSMCR,FCR</x:v>
      </x:c>
      <x:c r="D10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0" s="144" t="str">
        <x:v>M2</x:v>
      </x:c>
      <x:c r="F1030" s="144" t="str">
        <x:v>Signal 级可编辑配置、数据类型/缩放/端序合同、RTE 接口、边界值与 round-trip 测试。</x:v>
      </x:c>
      <x:c r="G1030" s="144" t="str">
        <x:v>raw=0、raw=max、物理 min/max、越界/保留值、端序字节向量、pack→unpack round-trip；1457/1457 通过。</x:v>
      </x:c>
      <x:c r="H1030" s="144" t="str">
        <x:v>coem/BYD_UKE/gen_bsw/Com/Com_PBcfg.c:47962; BoschOversea_StandardCANFD_commplatform_RCR_CAN_Matrix_V4.18.2_20251104.dbc:460</x:v>
      </x:c>
    </x:row>
    <x:row r="1031" ht="72" customHeight="1">
      <x:c r="A1031" s="144" t="str">
        <x:v>Com-Signal</x:v>
      </x:c>
      <x:c r="B1031" s="144" t="str">
        <x:v>COM-SIG-Rx-0119 / Ve_Target_Fdback_Tor_S</x:v>
      </x:c>
      <x:c r="C1031" s="144" t="str">
        <x:v>PDU=IPB_0x10C; startBit=380; length=14; byteOrder=Little; type=UINT16; factor=1; offset=-6000; min=-6000; max=6000; unit=NM; receivers=MPC,ADS,MRR,BSMCL,BSMCR,FCR</x:v>
      </x:c>
      <x:c r="D10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1" s="144" t="str">
        <x:v>M2</x:v>
      </x:c>
      <x:c r="F1031" s="144" t="str">
        <x:v>Signal 级可编辑配置、数据类型/缩放/端序合同、RTE 接口、边界值与 round-trip 测试。</x:v>
      </x:c>
      <x:c r="G1031" s="144" t="str">
        <x:v>raw=0、raw=max、物理 min/max、越界/保留值、端序字节向量、pack→unpack round-trip；1457/1457 通过。</x:v>
      </x:c>
      <x:c r="H1031" s="144" t="str">
        <x:v>coem/BYD_UKE/gen_bsw/Com/Com_PBcfg.c:48022; BoschOversea_StandardCANFD_commplatform_RCR_CAN_Matrix_V4.18.2_20251104.dbc:461</x:v>
      </x:c>
    </x:row>
    <x:row r="1032" ht="72" customHeight="1">
      <x:c r="A1032" s="144" t="str">
        <x:v>Com-Signal</x:v>
      </x:c>
      <x:c r="B1032" s="144" t="str">
        <x:v>COM-SIG-Rx-0120 / VehicleSpeed_Status</x:v>
      </x:c>
      <x:c r="C1032" s="144" t="str">
        <x:v>PDU=IPB_0x10C; startBit=47; length=1; byteOrder=Little; type=UINT8; factor=1; offset=0; min=0; max=1; unit=-; receivers=MPC,ADS,MRR,BSMCL,BSMCR,FCR</x:v>
      </x:c>
      <x:c r="D10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2" s="144" t="str">
        <x:v>M2</x:v>
      </x:c>
      <x:c r="F1032" s="144" t="str">
        <x:v>Signal 级可编辑配置、数据类型/缩放/端序合同、RTE 接口、边界值与 round-trip 测试。</x:v>
      </x:c>
      <x:c r="G1032" s="144" t="str">
        <x:v>raw=0、raw=max、物理 min/max、越界/保留值、端序字节向量、pack→unpack round-trip；1457/1457 通过。</x:v>
      </x:c>
      <x:c r="H1032" s="144" t="str">
        <x:v>coem/BYD_UKE/gen_bsw/Com/Com_PBcfg.c:48082; BoschOversea_StandardCANFD_commplatform_RCR_CAN_Matrix_V4.18.2_20251104.dbc:391</x:v>
      </x:c>
    </x:row>
    <x:row r="1033" ht="72" customHeight="1">
      <x:c r="A1033" s="144" t="str">
        <x:v>Com-Signal</x:v>
      </x:c>
      <x:c r="B1033" s="144" t="str">
        <x:v>COM-SIG-Rx-0121 / VehicleStandstill</x:v>
      </x:c>
      <x:c r="C1033" s="144" t="str">
        <x:v>PDU=IPB_0x10C; startBit=505; length=2; byteOrder=Little; type=UINT8; factor=1; offset=0; min=0; max=3; unit=-; receivers=MPC,ADS,MRR,BSMCL,BSMCR,FCR</x:v>
      </x:c>
      <x:c r="D10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3" s="144" t="str">
        <x:v>M2</x:v>
      </x:c>
      <x:c r="F1033" s="144" t="str">
        <x:v>Signal 级可编辑配置、数据类型/缩放/端序合同、RTE 接口、边界值与 round-trip 测试。</x:v>
      </x:c>
      <x:c r="G1033" s="144" t="str">
        <x:v>raw=0、raw=max、物理 min/max、越界/保留值、端序字节向量、pack→unpack round-trip；1457/1457 通过。</x:v>
      </x:c>
      <x:c r="H1033" s="144" t="str">
        <x:v>coem/BYD_UKE/gen_bsw/Com/Com_PBcfg.c:48142; BoschOversea_StandardCANFD_commplatform_RCR_CAN_Matrix_V4.18.2_20251104.dbc:472</x:v>
      </x:c>
    </x:row>
    <x:row r="1034" ht="72" customHeight="1">
      <x:c r="A1034" s="144" t="str">
        <x:v>Com-Signal</x:v>
      </x:c>
      <x:c r="B1034" s="144" t="str">
        <x:v>COM-SIG-Rx-0122 / Vehicle_speed</x:v>
      </x:c>
      <x:c r="C1034" s="144" t="str">
        <x:v>PDU=IPB_0x10C; startBit=35; length=12; byteOrder=Little; type=UINT16; factor=0.06875; offset=0; min=0; max=281.4625; unit=km/h; receivers=MPC,ADS,MRR,BSMCL,BSMCR,FCR</x:v>
      </x:c>
      <x:c r="D10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4" s="144" t="str">
        <x:v>M2</x:v>
      </x:c>
      <x:c r="F1034" s="144" t="str">
        <x:v>Signal 级可编辑配置、数据类型/缩放/端序合同、RTE 接口、边界值与 round-trip 测试。</x:v>
      </x:c>
      <x:c r="G1034" s="144" t="str">
        <x:v>raw=0、raw=max、物理 min/max、越界/保留值、端序字节向量、pack→unpack round-trip；1457/1457 通过。</x:v>
      </x:c>
      <x:c r="H1034" s="144" t="str">
        <x:v>coem/BYD_UKE/gen_bsw/Com/Com_PBcfg.c:48202; BoschOversea_StandardCANFD_commplatform_RCR_CAN_Matrix_V4.18.2_20251104.dbc:390</x:v>
      </x:c>
    </x:row>
    <x:row r="1035" ht="72" customHeight="1">
      <x:c r="A1035" s="144" t="str">
        <x:v>Com-Signal</x:v>
      </x:c>
      <x:c r="B1035" s="144" t="str">
        <x:v>COM-SIG-Rx-0123 / WheelSpeed_FL</x:v>
      </x:c>
      <x:c r="C1035" s="144" t="str">
        <x:v>PDU=IPB_0x10C; startBit=48; length=12; byteOrder=Little; type=UINT16; factor=0.06875; offset=0; min=0; max=281.4625; unit=km/h; receivers=MPC,ADS,MRR,BSMCL,BSMCR,FCR</x:v>
      </x:c>
      <x:c r="D10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5" s="144" t="str">
        <x:v>M2</x:v>
      </x:c>
      <x:c r="F1035" s="144" t="str">
        <x:v>Signal 级可编辑配置、数据类型/缩放/端序合同、RTE 接口、边界值与 round-trip 测试。</x:v>
      </x:c>
      <x:c r="G1035" s="144" t="str">
        <x:v>raw=0、raw=max、物理 min/max、越界/保留值、端序字节向量、pack→unpack round-trip；1457/1457 通过。</x:v>
      </x:c>
      <x:c r="H1035" s="144" t="str">
        <x:v>coem/BYD_UKE/gen_bsw/Com/Com_PBcfg.c:48262; BoschOversea_StandardCANFD_commplatform_RCR_CAN_Matrix_V4.18.2_20251104.dbc:392</x:v>
      </x:c>
    </x:row>
    <x:row r="1036" ht="72" customHeight="1">
      <x:c r="A1036" s="144" t="str">
        <x:v>Com-Signal</x:v>
      </x:c>
      <x:c r="B1036" s="144" t="str">
        <x:v>COM-SIG-Rx-0124 / WheelSpeed_FL_Status</x:v>
      </x:c>
      <x:c r="C1036" s="144" t="str">
        <x:v>PDU=IPB_0x10C; startBit=97; length=1; byteOrder=Little; type=UINT8; factor=1; offset=0; min=0; max=1; unit=-; receivers=MPC,ADS,MRR,BSMCL,BSMCR,FCR</x:v>
      </x:c>
      <x:c r="D10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6" s="144" t="str">
        <x:v>M2</x:v>
      </x:c>
      <x:c r="F1036" s="144" t="str">
        <x:v>Signal 级可编辑配置、数据类型/缩放/端序合同、RTE 接口、边界值与 round-trip 测试。</x:v>
      </x:c>
      <x:c r="G1036" s="144" t="str">
        <x:v>raw=0、raw=max、物理 min/max、越界/保留值、端序字节向量、pack→unpack round-trip；1457/1457 通过。</x:v>
      </x:c>
      <x:c r="H1036" s="144" t="str">
        <x:v>coem/BYD_UKE/gen_bsw/Com/Com_PBcfg.c:48322; BoschOversea_StandardCANFD_commplatform_RCR_CAN_Matrix_V4.18.2_20251104.dbc:397</x:v>
      </x:c>
    </x:row>
    <x:row r="1037" ht="72" customHeight="1">
      <x:c r="A1037" s="144" t="str">
        <x:v>Com-Signal</x:v>
      </x:c>
      <x:c r="B1037" s="144" t="str">
        <x:v>COM-SIG-Rx-0125 / WheelSpeed_FR</x:v>
      </x:c>
      <x:c r="C1037" s="144" t="str">
        <x:v>PDU=IPB_0x10C; startBit=60; length=12; byteOrder=Little; type=UINT16; factor=0.06875; offset=0; min=0; max=281.4625; unit=km/h; receivers=MPC,ADS,MRR,BSMCL,BSMCR,FCR</x:v>
      </x:c>
      <x:c r="D10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7" s="144" t="str">
        <x:v>M2</x:v>
      </x:c>
      <x:c r="F1037" s="144" t="str">
        <x:v>Signal 级可编辑配置、数据类型/缩放/端序合同、RTE 接口、边界值与 round-trip 测试。</x:v>
      </x:c>
      <x:c r="G1037" s="144" t="str">
        <x:v>raw=0、raw=max、物理 min/max、越界/保留值、端序字节向量、pack→unpack round-trip；1457/1457 通过。</x:v>
      </x:c>
      <x:c r="H1037" s="144" t="str">
        <x:v>coem/BYD_UKE/gen_bsw/Com/Com_PBcfg.c:48382; BoschOversea_StandardCANFD_commplatform_RCR_CAN_Matrix_V4.18.2_20251104.dbc:393</x:v>
      </x:c>
    </x:row>
    <x:row r="1038" ht="72" customHeight="1">
      <x:c r="A1038" s="144" t="str">
        <x:v>Com-Signal</x:v>
      </x:c>
      <x:c r="B1038" s="144" t="str">
        <x:v>COM-SIG-Rx-0126 / WheelSpeed_FR_Status</x:v>
      </x:c>
      <x:c r="C1038" s="144" t="str">
        <x:v>PDU=IPB_0x10C; startBit=96; length=1; byteOrder=Little; type=UINT8; factor=1; offset=0; min=0; max=1; unit=-; receivers=MPC,ADS,MRR,BSMCL,BSMCR,FCR</x:v>
      </x:c>
      <x:c r="D10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8" s="144" t="str">
        <x:v>M2</x:v>
      </x:c>
      <x:c r="F1038" s="144" t="str">
        <x:v>Signal 级可编辑配置、数据类型/缩放/端序合同、RTE 接口、边界值与 round-trip 测试。</x:v>
      </x:c>
      <x:c r="G1038" s="144" t="str">
        <x:v>raw=0、raw=max、物理 min/max、越界/保留值、端序字节向量、pack→unpack round-trip；1457/1457 通过。</x:v>
      </x:c>
      <x:c r="H1038" s="144" t="str">
        <x:v>coem/BYD_UKE/gen_bsw/Com/Com_PBcfg.c:48442; BoschOversea_StandardCANFD_commplatform_RCR_CAN_Matrix_V4.18.2_20251104.dbc:396</x:v>
      </x:c>
    </x:row>
    <x:row r="1039" ht="72" customHeight="1">
      <x:c r="A1039" s="144" t="str">
        <x:v>Com-Signal</x:v>
      </x:c>
      <x:c r="B1039" s="144" t="str">
        <x:v>COM-SIG-Rx-0127 / WheelSpeed_RL</x:v>
      </x:c>
      <x:c r="C1039" s="144" t="str">
        <x:v>PDU=IPB_0x10C; startBit=72; length=12; byteOrder=Little; type=UINT16; factor=0.06875; offset=0; min=0; max=281.4625; unit=km/h; receivers=MPC,ADS,MRR,BSMCL,BSMCR,FCR</x:v>
      </x:c>
      <x:c r="D10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39" s="144" t="str">
        <x:v>M2</x:v>
      </x:c>
      <x:c r="F1039" s="144" t="str">
        <x:v>Signal 级可编辑配置、数据类型/缩放/端序合同、RTE 接口、边界值与 round-trip 测试。</x:v>
      </x:c>
      <x:c r="G1039" s="144" t="str">
        <x:v>raw=0、raw=max、物理 min/max、越界/保留值、端序字节向量、pack→unpack round-trip；1457/1457 通过。</x:v>
      </x:c>
      <x:c r="H1039" s="144" t="str">
        <x:v>coem/BYD_UKE/gen_bsw/Com/Com_PBcfg.c:48502; BoschOversea_StandardCANFD_commplatform_RCR_CAN_Matrix_V4.18.2_20251104.dbc:394</x:v>
      </x:c>
    </x:row>
    <x:row r="1040" ht="72" customHeight="1">
      <x:c r="A1040" s="144" t="str">
        <x:v>Com-Signal</x:v>
      </x:c>
      <x:c r="B1040" s="144" t="str">
        <x:v>COM-SIG-Rx-0128 / WheelSpeed_RL_Status</x:v>
      </x:c>
      <x:c r="C1040" s="144" t="str">
        <x:v>PDU=IPB_0x10C; startBit=99; length=1; byteOrder=Little; type=UINT8; factor=1; offset=0; min=0; max=1; unit=-; receivers=MPC,ADS,MRR,BSMCL,BSMCR,FCR</x:v>
      </x:c>
      <x:c r="D10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0" s="144" t="str">
        <x:v>M2</x:v>
      </x:c>
      <x:c r="F1040" s="144" t="str">
        <x:v>Signal 级可编辑配置、数据类型/缩放/端序合同、RTE 接口、边界值与 round-trip 测试。</x:v>
      </x:c>
      <x:c r="G1040" s="144" t="str">
        <x:v>raw=0、raw=max、物理 min/max、越界/保留值、端序字节向量、pack→unpack round-trip；1457/1457 通过。</x:v>
      </x:c>
      <x:c r="H1040" s="144" t="str">
        <x:v>coem/BYD_UKE/gen_bsw/Com/Com_PBcfg.c:48562; BoschOversea_StandardCANFD_commplatform_RCR_CAN_Matrix_V4.18.2_20251104.dbc:399</x:v>
      </x:c>
    </x:row>
    <x:row r="1041" ht="72" customHeight="1">
      <x:c r="A1041" s="144" t="str">
        <x:v>Com-Signal</x:v>
      </x:c>
      <x:c r="B1041" s="144" t="str">
        <x:v>COM-SIG-Rx-0129 / WheelSpeed_RR</x:v>
      </x:c>
      <x:c r="C1041" s="144" t="str">
        <x:v>PDU=IPB_0x10C; startBit=84; length=12; byteOrder=Little; type=UINT16; factor=0.06875; offset=0; min=0; max=281.4625; unit=km/h; receivers=MPC,ADS,MRR,BSMCL,BSMCR,FCR</x:v>
      </x:c>
      <x:c r="D10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1" s="144" t="str">
        <x:v>M2</x:v>
      </x:c>
      <x:c r="F1041" s="144" t="str">
        <x:v>Signal 级可编辑配置、数据类型/缩放/端序合同、RTE 接口、边界值与 round-trip 测试。</x:v>
      </x:c>
      <x:c r="G1041" s="144" t="str">
        <x:v>raw=0、raw=max、物理 min/max、越界/保留值、端序字节向量、pack→unpack round-trip；1457/1457 通过。</x:v>
      </x:c>
      <x:c r="H1041" s="144" t="str">
        <x:v>coem/BYD_UKE/gen_bsw/Com/Com_PBcfg.c:48622; BoschOversea_StandardCANFD_commplatform_RCR_CAN_Matrix_V4.18.2_20251104.dbc:395</x:v>
      </x:c>
    </x:row>
    <x:row r="1042" ht="72" customHeight="1">
      <x:c r="A1042" s="144" t="str">
        <x:v>Com-Signal</x:v>
      </x:c>
      <x:c r="B1042" s="144" t="str">
        <x:v>COM-SIG-Rx-0130 / WheelSpeed_RR_Status</x:v>
      </x:c>
      <x:c r="C1042" s="144" t="str">
        <x:v>PDU=IPB_0x10C; startBit=98; length=1; byteOrder=Little; type=UINT8; factor=1; offset=0; min=0; max=1; unit=-; receivers=MPC,ADS,MRR,BSMCL,BSMCR,FCR</x:v>
      </x:c>
      <x:c r="D10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2" s="144" t="str">
        <x:v>M2</x:v>
      </x:c>
      <x:c r="F1042" s="144" t="str">
        <x:v>Signal 级可编辑配置、数据类型/缩放/端序合同、RTE 接口、边界值与 round-trip 测试。</x:v>
      </x:c>
      <x:c r="G1042" s="144" t="str">
        <x:v>raw=0、raw=max、物理 min/max、越界/保留值、端序字节向量、pack→unpack round-trip；1457/1457 通过。</x:v>
      </x:c>
      <x:c r="H1042" s="144" t="str">
        <x:v>coem/BYD_UKE/gen_bsw/Com/Com_PBcfg.c:48682; BoschOversea_StandardCANFD_commplatform_RCR_CAN_Matrix_V4.18.2_20251104.dbc:398</x:v>
      </x:c>
    </x:row>
    <x:row r="1043" ht="72" customHeight="1">
      <x:c r="A1043" s="144" t="str">
        <x:v>Com-Signal</x:v>
      </x:c>
      <x:c r="B1043" s="144" t="str">
        <x:v>COM-SIG-Rx-0131 / Yaw_Rate</x:v>
      </x:c>
      <x:c r="C1043" s="144" t="str">
        <x:v>PDU=IPB_0x10C; startBit=225; length=12; byteOrder=Little; type=UINT16; factor=0.002132603; offset=-2.0943; min=-2.0943; max=2.0943; unit=rad/s; receivers=MPC,ADS,MRR,BSMCL,BSMCR,FCR</x:v>
      </x:c>
      <x:c r="D10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3" s="144" t="str">
        <x:v>M2</x:v>
      </x:c>
      <x:c r="F1043" s="144" t="str">
        <x:v>Signal 级可编辑配置、数据类型/缩放/端序合同、RTE 接口、边界值与 round-trip 测试。</x:v>
      </x:c>
      <x:c r="G1043" s="144" t="str">
        <x:v>raw=0、raw=max、物理 min/max、越界/保留值、端序字节向量、pack→unpack round-trip；1457/1457 通过。</x:v>
      </x:c>
      <x:c r="H1043" s="144" t="str">
        <x:v>coem/BYD_UKE/gen_bsw/Com/Com_PBcfg.c:48742; BoschOversea_StandardCANFD_commplatform_RCR_CAN_Matrix_V4.18.2_20251104.dbc:429</x:v>
      </x:c>
    </x:row>
    <x:row r="1044" ht="72" customHeight="1">
      <x:c r="A1044" s="144" t="str">
        <x:v>Com-Signal</x:v>
      </x:c>
      <x:c r="B1044" s="144" t="str">
        <x:v>COM-SIG-Rx-0132 / Yaw_Rate_Offset</x:v>
      </x:c>
      <x:c r="C1044" s="144" t="str">
        <x:v>PDU=IPB_0x10C; startBit=237; length=12; byteOrder=Little; type=UINT16; factor=0.002132603; offset=-0.13; min=-0.13; max=0.13; unit=rad/s; receivers=MPC,ADS,MRR,BSMCL,BSMCR,FCR</x:v>
      </x:c>
      <x:c r="D10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4" s="144" t="str">
        <x:v>M2</x:v>
      </x:c>
      <x:c r="F1044" s="144" t="str">
        <x:v>Signal 级可编辑配置、数据类型/缩放/端序合同、RTE 接口、边界值与 round-trip 测试。</x:v>
      </x:c>
      <x:c r="G1044" s="144" t="str">
        <x:v>raw=0、raw=max、物理 min/max、越界/保留值、端序字节向量、pack→unpack round-trip；1457/1457 通过。</x:v>
      </x:c>
      <x:c r="H1044" s="144" t="str">
        <x:v>coem/BYD_UKE/gen_bsw/Com/Com_PBcfg.c:48802; BoschOversea_StandardCANFD_commplatform_RCR_CAN_Matrix_V4.18.2_20251104.dbc:430</x:v>
      </x:c>
    </x:row>
    <x:row r="1045" ht="72" customHeight="1">
      <x:c r="A1045" s="144" t="str">
        <x:v>Com-Signal</x:v>
      </x:c>
      <x:c r="B1045" s="144" t="str">
        <x:v>COM-SIG-Rx-0133 / Yaw_Rate_Status</x:v>
      </x:c>
      <x:c r="C1045" s="144" t="str">
        <x:v>PDU=IPB_0x10C; startBit=249; length=1; byteOrder=Little; type=UINT8; factor=1; offset=0; min=0; max=1; unit=-; receivers=MPC,ADS,MRR,BSMCL,BSMCR,FCR</x:v>
      </x:c>
      <x:c r="D10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5" s="144" t="str">
        <x:v>M2</x:v>
      </x:c>
      <x:c r="F1045" s="144" t="str">
        <x:v>Signal 级可编辑配置、数据类型/缩放/端序合同、RTE 接口、边界值与 round-trip 测试。</x:v>
      </x:c>
      <x:c r="G1045" s="144" t="str">
        <x:v>raw=0、raw=max、物理 min/max、越界/保留值、端序字节向量、pack→unpack round-trip；1457/1457 通过。</x:v>
      </x:c>
      <x:c r="H1045" s="144" t="str">
        <x:v>coem/BYD_UKE/gen_bsw/Com/Com_PBcfg.c:48862; BoschOversea_StandardCANFD_commplatform_RCR_CAN_Matrix_V4.18.2_20251104.dbc:431</x:v>
      </x:c>
    </x:row>
    <x:row r="1046" ht="72" customHeight="1">
      <x:c r="A1046" s="144" t="str">
        <x:v>Com-Signal</x:v>
      </x:c>
      <x:c r="B1046" s="144" t="str">
        <x:v>COM-SIG-Rx-0134 / ABA_Active_S</x:v>
      </x:c>
      <x:c r="C1046" s="144" t="str">
        <x:v>PDU=IPB_0x121; startBit=35; length=1; byteOrder=Little; type=UINT8; factor=1; offset=0; min=0; max=1; unit=-; receivers=BSMCR,ECM_Fuel,MPC,ADS,MRR</x:v>
      </x:c>
      <x:c r="D10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6" s="144" t="str">
        <x:v>M2</x:v>
      </x:c>
      <x:c r="F1046" s="144" t="str">
        <x:v>Signal 级可编辑配置、数据类型/缩放/端序合同、RTE 接口、边界值与 round-trip 测试。</x:v>
      </x:c>
      <x:c r="G1046" s="144" t="str">
        <x:v>raw=0、raw=max、物理 min/max、越界/保留值、端序字节向量、pack→unpack round-trip；1457/1457 通过。</x:v>
      </x:c>
      <x:c r="H1046" s="144" t="str">
        <x:v>coem/BYD_UKE/gen_bsw/Com/Com_PBcfg.c:48922; BoschOversea_StandardCANFD_commplatform_RCR_CAN_Matrix_V4.18.2_20251104.dbc:150</x:v>
      </x:c>
    </x:row>
    <x:row r="1047" ht="72" customHeight="1">
      <x:c r="A1047" s="144" t="str">
        <x:v>Com-Signal</x:v>
      </x:c>
      <x:c r="B1047" s="144" t="str">
        <x:v>COM-SIG-Rx-0135 / ABAavailable_S</x:v>
      </x:c>
      <x:c r="C1047" s="144" t="str">
        <x:v>PDU=IPB_0x121; startBit=34; length=1; byteOrder=Little; type=UINT8; factor=1; offset=0; min=0; max=1; unit=-; receivers=BSMCR,ECM_Fuel,MPC,ADS,MRR</x:v>
      </x:c>
      <x:c r="D10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7" s="144" t="str">
        <x:v>M2</x:v>
      </x:c>
      <x:c r="F1047" s="144" t="str">
        <x:v>Signal 级可编辑配置、数据类型/缩放/端序合同、RTE 接口、边界值与 round-trip 测试。</x:v>
      </x:c>
      <x:c r="G1047" s="144" t="str">
        <x:v>raw=0、raw=max、物理 min/max、越界/保留值、端序字节向量、pack→unpack round-trip；1457/1457 通过。</x:v>
      </x:c>
      <x:c r="H1047" s="144" t="str">
        <x:v>coem/BYD_UKE/gen_bsw/Com/Com_PBcfg.c:48982; BoschOversea_StandardCANFD_commplatform_RCR_CAN_Matrix_V4.18.2_20251104.dbc:149</x:v>
      </x:c>
    </x:row>
    <x:row r="1048" ht="72" customHeight="1">
      <x:c r="A1048" s="144" t="str">
        <x:v>Com-Signal</x:v>
      </x:c>
      <x:c r="B1048" s="144" t="str">
        <x:v>COM-SIG-Rx-0136 / AEB_Dec_Active_S</x:v>
      </x:c>
      <x:c r="C1048" s="144" t="str">
        <x:v>PDU=IPB_0x121; startBit=30; length=1; byteOrder=Little; type=UINT8; factor=1; offset=0; min=0; max=1; unit=-; receivers=BSMCR,Left_BCM_L1,Left_BCM_L2_L3,Left_BCM_L4,Media,ECM_Fuel,VCU,TCU,SRS,MPC,ADS,MRR,APA</x:v>
      </x:c>
      <x:c r="D10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8" s="144" t="str">
        <x:v>M2</x:v>
      </x:c>
      <x:c r="F1048" s="144" t="str">
        <x:v>Signal 级可编辑配置、数据类型/缩放/端序合同、RTE 接口、边界值与 round-trip 测试。</x:v>
      </x:c>
      <x:c r="G1048" s="144" t="str">
        <x:v>raw=0、raw=max、物理 min/max、越界/保留值、端序字节向量、pack→unpack round-trip；1457/1457 通过。</x:v>
      </x:c>
      <x:c r="H1048" s="144" t="str">
        <x:v>coem/BYD_UKE/gen_bsw/Com/Com_PBcfg.c:49042; BoschOversea_StandardCANFD_commplatform_RCR_CAN_Matrix_V4.18.2_20251104.dbc:145</x:v>
      </x:c>
    </x:row>
    <x:row r="1049" ht="72" customHeight="1">
      <x:c r="A1049" s="144" t="str">
        <x:v>Com-Signal</x:v>
      </x:c>
      <x:c r="B1049" s="144" t="str">
        <x:v>COM-SIG-Rx-0137 / AEB_not_Available_S</x:v>
      </x:c>
      <x:c r="C1049" s="144" t="str">
        <x:v>PDU=IPB_0x121; startBit=31; length=1; byteOrder=Little; type=UINT8; factor=1; offset=0; min=0; max=1; unit=-; receivers=BSMCR,ECM_Fuel,VCU,SRS,MPC,ADS,MRR</x:v>
      </x:c>
      <x:c r="D10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49" s="144" t="str">
        <x:v>M2</x:v>
      </x:c>
      <x:c r="F1049" s="144" t="str">
        <x:v>Signal 级可编辑配置、数据类型/缩放/端序合同、RTE 接口、边界值与 round-trip 测试。</x:v>
      </x:c>
      <x:c r="G1049" s="144" t="str">
        <x:v>raw=0、raw=max、物理 min/max、越界/保留值、端序字节向量、pack→unpack round-trip；1457/1457 通过。</x:v>
      </x:c>
      <x:c r="H1049" s="144" t="str">
        <x:v>coem/BYD_UKE/gen_bsw/Com/Com_PBcfg.c:49102; BoschOversea_StandardCANFD_commplatform_RCR_CAN_Matrix_V4.18.2_20251104.dbc:146</x:v>
      </x:c>
    </x:row>
    <x:row r="1050" ht="72" customHeight="1">
      <x:c r="A1050" s="144" t="str">
        <x:v>Com-Signal</x:v>
      </x:c>
      <x:c r="B1050" s="144" t="str">
        <x:v>COM-SIG-Rx-0138 / AWB_Active_Brake_Warning_S</x:v>
      </x:c>
      <x:c r="C1050" s="144" t="str">
        <x:v>PDU=IPB_0x121; startBit=29; length=1; byteOrder=Little; type=UINT8; factor=1; offset=0; min=0; max=1; unit=-; receivers=BSMCR,ECM_Fuel,MPC,ADS,MRR</x:v>
      </x:c>
      <x:c r="D105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0" s="144" t="str">
        <x:v>M2</x:v>
      </x:c>
      <x:c r="F1050" s="144" t="str">
        <x:v>Signal 级可编辑配置、数据类型/缩放/端序合同、RTE 接口、边界值与 round-trip 测试。</x:v>
      </x:c>
      <x:c r="G1050" s="144" t="str">
        <x:v>raw=0、raw=max、物理 min/max、越界/保留值、端序字节向量、pack→unpack round-trip；1457/1457 通过。</x:v>
      </x:c>
      <x:c r="H1050" s="144" t="str">
        <x:v>coem/BYD_UKE/gen_bsw/Com/Com_PBcfg.c:49162; BoschOversea_StandardCANFD_commplatform_RCR_CAN_Matrix_V4.18.2_20251104.dbc:144</x:v>
      </x:c>
    </x:row>
    <x:row r="1051" ht="72" customHeight="1">
      <x:c r="A1051" s="144" t="str">
        <x:v>Com-Signal</x:v>
      </x:c>
      <x:c r="B1051" s="144" t="str">
        <x:v>COM-SIG-Rx-0139 / AWB_Available_S</x:v>
      </x:c>
      <x:c r="C1051" s="144" t="str">
        <x:v>PDU=IPB_0x121; startBit=28; length=1; byteOrder=Little; type=UINT8; factor=1; offset=0; min=0; max=1; unit=-; receivers=BSMCR,ECM_Fuel,MPC,ADS,MRR</x:v>
      </x:c>
      <x:c r="D10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1" s="144" t="str">
        <x:v>M2</x:v>
      </x:c>
      <x:c r="F1051" s="144" t="str">
        <x:v>Signal 级可编辑配置、数据类型/缩放/端序合同、RTE 接口、边界值与 round-trip 测试。</x:v>
      </x:c>
      <x:c r="G1051" s="144" t="str">
        <x:v>raw=0、raw=max、物理 min/max、越界/保留值、端序字节向量、pack→unpack round-trip；1457/1457 通过。</x:v>
      </x:c>
      <x:c r="H1051" s="144" t="str">
        <x:v>coem/BYD_UKE/gen_bsw/Com/Com_PBcfg.c:49222; BoschOversea_StandardCANFD_commplatform_RCR_CAN_Matrix_V4.18.2_20251104.dbc:143</x:v>
      </x:c>
    </x:row>
    <x:row r="1052" ht="72" customHeight="1">
      <x:c r="A1052" s="144" t="str">
        <x:v>Com-Signal</x:v>
      </x:c>
      <x:c r="B1052" s="144" t="str">
        <x:v>COM-SIG-Rx-0140 / Alive_Counter_121_S</x:v>
      </x:c>
      <x:c r="C1052" s="144" t="str">
        <x:v>PDU=IPB_0x121; startBit=48; length=4; byteOrder=Little; type=UINT8; factor=1; offset=0; min=0; max=15; unit=-; receivers=Rear_BCM,ECM,ECM_Fuel,EPS,MPC,ADS,MRR,BSMCL,BSMCR,APA</x:v>
      </x:c>
      <x:c r="D10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2" s="144" t="str">
        <x:v>M2</x:v>
      </x:c>
      <x:c r="F1052" s="144" t="str">
        <x:v>Signal 级可编辑配置、数据类型/缩放/端序合同、RTE 接口、边界值与 round-trip 测试。</x:v>
      </x:c>
      <x:c r="G1052" s="144" t="str">
        <x:v>raw=0、raw=max、物理 min/max、越界/保留值、端序字节向量、pack→unpack round-trip；1457/1457 通过。</x:v>
      </x:c>
      <x:c r="H1052" s="144" t="str">
        <x:v>coem/BYD_UKE/gen_bsw/Com/Com_PBcfg.c:49282; BoschOversea_StandardCANFD_commplatform_RCR_CAN_Matrix_V4.18.2_20251104.dbc:151</x:v>
      </x:c>
    </x:row>
    <x:row r="1053" ht="72" customHeight="1">
      <x:c r="A1053" s="144" t="str">
        <x:v>Com-Signal</x:v>
      </x:c>
      <x:c r="B1053" s="144" t="str">
        <x:v>COM-SIG-Rx-0141 / Checknum121_S</x:v>
      </x:c>
      <x:c r="C1053" s="144" t="str">
        <x:v>PDU=IPB_0x121; startBit=56; length=8; byteOrder=Little; type=UINT8; factor=1; offset=0; min=0; max=255; unit=-; receivers=Left_BCM_L1,Left_BCM_L2_L3,Left_BCM_L4,Right_BCM,Rear_BCM,Media,ECM,ECM_Fuel,TCU,EPS,MPC,ADS,MRR,BSMCL,BSMCR,APA</x:v>
      </x:c>
      <x:c r="D10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3" s="144" t="str">
        <x:v>M2</x:v>
      </x:c>
      <x:c r="F1053" s="144" t="str">
        <x:v>Signal 级可编辑配置、数据类型/缩放/端序合同、RTE 接口、边界值与 round-trip 测试。</x:v>
      </x:c>
      <x:c r="G1053" s="144" t="str">
        <x:v>raw=0、raw=max、物理 min/max、越界/保留值、端序字节向量、pack→unpack round-trip；1457/1457 通过。</x:v>
      </x:c>
      <x:c r="H1053" s="144" t="str">
        <x:v>coem/BYD_UKE/gen_bsw/Com/Com_PBcfg.c:49342; BoschOversea_StandardCANFD_commplatform_RCR_CAN_Matrix_V4.18.2_20251104.dbc:152</x:v>
      </x:c>
    </x:row>
    <x:row r="1054" ht="72" customHeight="1">
      <x:c r="A1054" s="144" t="str">
        <x:v>Com-Signal</x:v>
      </x:c>
      <x:c r="B1054" s="144" t="str">
        <x:v>COM-SIG-Rx-0142 / IPB_Vehicle_Speed_S</x:v>
      </x:c>
      <x:c r="C1054" s="144" t="str">
        <x:v>PDU=IPB_0x121; startBit=0; length=12; byteOrder=Little; type=UINT16; factor=0.06875; offset=0; min=0; max=281.4625; unit=km/h; receivers=Left_BCM_L1,Left_BCM_L2_L3,Left_BCM_L4,Right_BCM,Rear_BCM,Media,LTE4G,AVAS,PSDL,PSDR,BD,ALS,LBMS,SCPA,SCU,ECM,ECM_Fuel,VCU,BMS,DCOBC,BDC,FMCU,RMCU,ISG,BSG,TCU,EPS,SRS,MPC,ADS,MRR,BSMCL,BSMCR,APA,FLL,FLR</x:v>
      </x:c>
      <x:c r="D10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4" s="144" t="str">
        <x:v>M2</x:v>
      </x:c>
      <x:c r="F1054" s="144" t="str">
        <x:v>Signal 级可编辑配置、数据类型/缩放/端序合同、RTE 接口、边界值与 round-trip 测试。</x:v>
      </x:c>
      <x:c r="G1054" s="144" t="str">
        <x:v>raw=0、raw=max、物理 min/max、越界/保留值、端序字节向量、pack→unpack round-trip；1457/1457 通过。</x:v>
      </x:c>
      <x:c r="H1054" s="144" t="str">
        <x:v>coem/BYD_UKE/gen_bsw/Com/Com_PBcfg.c:49402; BoschOversea_StandardCANFD_commplatform_RCR_CAN_Matrix_V4.18.2_20251104.dbc:141</x:v>
      </x:c>
    </x:row>
    <x:row r="1055" ht="72" customHeight="1">
      <x:c r="A1055" s="144" t="str">
        <x:v>Com-Signal</x:v>
      </x:c>
      <x:c r="B1055" s="144" t="str">
        <x:v>COM-SIG-Rx-0143 / Prefill_Active_S</x:v>
      </x:c>
      <x:c r="C1055" s="144" t="str">
        <x:v>PDU=IPB_0x121; startBit=33; length=1; byteOrder=Little; type=UINT8; factor=1; offset=0; min=0; max=1; unit=-; receivers=BSMCR,ECM_Fuel,MPC,ADS,MRR</x:v>
      </x:c>
      <x:c r="D10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5" s="144" t="str">
        <x:v>M2</x:v>
      </x:c>
      <x:c r="F1055" s="144" t="str">
        <x:v>Signal 级可编辑配置、数据类型/缩放/端序合同、RTE 接口、边界值与 round-trip 测试。</x:v>
      </x:c>
      <x:c r="G1055" s="144" t="str">
        <x:v>raw=0、raw=max、物理 min/max、越界/保留值、端序字节向量、pack→unpack round-trip；1457/1457 通过。</x:v>
      </x:c>
      <x:c r="H1055" s="144" t="str">
        <x:v>coem/BYD_UKE/gen_bsw/Com/Com_PBcfg.c:49462; BoschOversea_StandardCANFD_commplatform_RCR_CAN_Matrix_V4.18.2_20251104.dbc:148</x:v>
      </x:c>
    </x:row>
    <x:row r="1056" ht="72" customHeight="1">
      <x:c r="A1056" s="144" t="str">
        <x:v>Com-Signal</x:v>
      </x:c>
      <x:c r="B1056" s="144" t="str">
        <x:v>COM-SIG-Rx-0144 / Prefill_Available_S</x:v>
      </x:c>
      <x:c r="C1056" s="144" t="str">
        <x:v>PDU=IPB_0x121; startBit=32; length=1; byteOrder=Little; type=UINT8; factor=1; offset=0; min=0; max=1; unit=-; receivers=BSMCR,ECM_Fuel,MPC,ADS,MRR</x:v>
      </x:c>
      <x:c r="D10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6" s="144" t="str">
        <x:v>M2</x:v>
      </x:c>
      <x:c r="F1056" s="144" t="str">
        <x:v>Signal 级可编辑配置、数据类型/缩放/端序合同、RTE 接口、边界值与 round-trip 测试。</x:v>
      </x:c>
      <x:c r="G1056" s="144" t="str">
        <x:v>raw=0、raw=max、物理 min/max、越界/保留值、端序字节向量、pack→unpack round-trip；1457/1457 通过。</x:v>
      </x:c>
      <x:c r="H1056" s="144" t="str">
        <x:v>coem/BYD_UKE/gen_bsw/Com/Com_PBcfg.c:49522; BoschOversea_StandardCANFD_commplatform_RCR_CAN_Matrix_V4.18.2_20251104.dbc:147</x:v>
      </x:c>
    </x:row>
    <x:row r="1057" ht="72" customHeight="1">
      <x:c r="A1057" s="144" t="str">
        <x:v>Com-Signal</x:v>
      </x:c>
      <x:c r="B1057" s="144" t="str">
        <x:v>COM-SIG-Rx-0145 / Vehicle_Speed_Stats_S</x:v>
      </x:c>
      <x:c r="C1057" s="144" t="str">
        <x:v>PDU=IPB_0x121; startBit=15; length=1; byteOrder=Little; type=UINT8; factor=1; offset=0; min=0; max=1; unit=-; receivers=Left_BCM_L1,Left_BCM_L2_L3,Left_BCM_L4,Right_BCM,Rear_BCM,Media,LTE4G,PSDL,PSDR,BD,ALS,SCPA,SCU,ECM,ECM_Fuel,VCU,BDC,FMCU,RMCU,ISG,BSG,TCU,EPS,MPC,ADS,MRR,BSMCL,BSMCR,APA</x:v>
      </x:c>
      <x:c r="D105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7" s="144" t="str">
        <x:v>M2</x:v>
      </x:c>
      <x:c r="F1057" s="144" t="str">
        <x:v>Signal 级可编辑配置、数据类型/缩放/端序合同、RTE 接口、边界值与 round-trip 测试。</x:v>
      </x:c>
      <x:c r="G1057" s="144" t="str">
        <x:v>raw=0、raw=max、物理 min/max、越界/保留值、端序字节向量、pack→unpack round-trip；1457/1457 通过。</x:v>
      </x:c>
      <x:c r="H1057" s="144" t="str">
        <x:v>coem/BYD_UKE/gen_bsw/Com/Com_PBcfg.c:49582; BoschOversea_StandardCANFD_commplatform_RCR_CAN_Matrix_V4.18.2_20251104.dbc:142</x:v>
      </x:c>
    </x:row>
    <x:row r="1058" ht="72" customHeight="1">
      <x:c r="A1058" s="144" t="str">
        <x:v>Com-Signal</x:v>
      </x:c>
      <x:c r="B1058" s="144" t="str">
        <x:v>COM-SIG-Rx-0146 / Brake_Pedal_Status_S</x:v>
      </x:c>
      <x:c r="C1058" s="144" t="str">
        <x:v>PDU=IPB_0x123; startBit=43; length=2; byteOrder=Little; type=UINT8; factor=1; offset=0; min=0; max=3; unit=-; receivers=Rear_BCM,ECM_Fuel,EPS,SRS,MPC,ADS,MRR,BSMCL,BSMCR,APA</x:v>
      </x:c>
      <x:c r="D10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8" s="144" t="str">
        <x:v>M2</x:v>
      </x:c>
      <x:c r="F1058" s="144" t="str">
        <x:v>Signal 级可编辑配置、数据类型/缩放/端序合同、RTE 接口、边界值与 round-trip 测试。</x:v>
      </x:c>
      <x:c r="G1058" s="144" t="str">
        <x:v>raw=0、raw=max、物理 min/max、越界/保留值、端序字节向量、pack→unpack round-trip；1457/1457 通过。</x:v>
      </x:c>
      <x:c r="H1058" s="144" t="str">
        <x:v>coem/BYD_UKE/gen_bsw/Com/Com_PBcfg.c:49642; BoschOversea_StandardCANFD_commplatform_RCR_CAN_Matrix_V4.18.2_20251104.dbc:156</x:v>
      </x:c>
    </x:row>
    <x:row r="1059" ht="72" customHeight="1">
      <x:c r="A1059" s="144" t="str">
        <x:v>Com-Signal</x:v>
      </x:c>
      <x:c r="B1059" s="144" t="str">
        <x:v>COM-SIG-Rx-0147 / Checksum123_S</x:v>
      </x:c>
      <x:c r="C1059" s="144" t="str">
        <x:v>PDU=IPB_0x123; startBit=56; length=8; byteOrder=Little; type=UINT8; factor=1; offset=0; min=0; max=255; unit=-; receivers=Rear_BCM,ECM_Fuel,MPC,ADS,MRR,BSMCL,BSMCR,APA</x:v>
      </x:c>
      <x:c r="D10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59" s="144" t="str">
        <x:v>M2</x:v>
      </x:c>
      <x:c r="F1059" s="144" t="str">
        <x:v>Signal 级可编辑配置、数据类型/缩放/端序合同、RTE 接口、边界值与 round-trip 测试。</x:v>
      </x:c>
      <x:c r="G1059" s="144" t="str">
        <x:v>raw=0、raw=max、物理 min/max、越界/保留值、端序字节向量、pack→unpack round-trip；1457/1457 通过。</x:v>
      </x:c>
      <x:c r="H1059" s="144" t="str">
        <x:v>coem/BYD_UKE/gen_bsw/Com/Com_PBcfg.c:49702; BoschOversea_StandardCANFD_commplatform_RCR_CAN_Matrix_V4.18.2_20251104.dbc:162</x:v>
      </x:c>
    </x:row>
    <x:row r="1060" ht="72" customHeight="1">
      <x:c r="A1060" s="144" t="str">
        <x:v>Com-Signal</x:v>
      </x:c>
      <x:c r="B1060" s="144" t="str">
        <x:v>COM-SIG-Rx-0148 / Counter123_S</x:v>
      </x:c>
      <x:c r="C1060" s="144" t="str">
        <x:v>PDU=IPB_0x123; startBit=48; length=4; byteOrder=Little; type=UINT8; factor=1; offset=0; min=0; max=15; unit=-; receivers=ECM_Fuel,MPC,ADS,MRR,BSMCL,BSMCR</x:v>
      </x:c>
      <x:c r="D10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0" s="144" t="str">
        <x:v>M2</x:v>
      </x:c>
      <x:c r="F1060" s="144" t="str">
        <x:v>Signal 级可编辑配置、数据类型/缩放/端序合同、RTE 接口、边界值与 round-trip 测试。</x:v>
      </x:c>
      <x:c r="G1060" s="144" t="str">
        <x:v>raw=0、raw=max、物理 min/max、越界/保留值、端序字节向量、pack→unpack round-trip；1457/1457 通过。</x:v>
      </x:c>
      <x:c r="H1060" s="144" t="str">
        <x:v>coem/BYD_UKE/gen_bsw/Com/Com_PBcfg.c:49762; BoschOversea_StandardCANFD_commplatform_RCR_CAN_Matrix_V4.18.2_20251104.dbc:157</x:v>
      </x:c>
    </x:row>
    <x:row r="1061" ht="72" customHeight="1">
      <x:c r="A1061" s="144" t="str">
        <x:v>Com-Signal</x:v>
      </x:c>
      <x:c r="B1061" s="144" t="str">
        <x:v>COM-SIG-Rx-0149 / ESP_Active_S</x:v>
      </x:c>
      <x:c r="C1061" s="144" t="str">
        <x:v>PDU=IPB_0x123; startBit=53; length=1; byteOrder=Little; type=UINT8; factor=1; offset=0; min=0; max=1; unit=-; receivers=Left_BCM_L1,Left_BCM_L2_L3,Left_BCM_L4,Rear_BCM,ECM_Fuel,VCU,TCU,EPS,SRS,MPC,ADS,MRR,BSMCL,BSMCR,APA</x:v>
      </x:c>
      <x:c r="D10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1" s="144" t="str">
        <x:v>M2</x:v>
      </x:c>
      <x:c r="F1061" s="144" t="str">
        <x:v>Signal 级可编辑配置、数据类型/缩放/端序合同、RTE 接口、边界值与 round-trip 测试。</x:v>
      </x:c>
      <x:c r="G1061" s="144" t="str">
        <x:v>raw=0、raw=max、物理 min/max、越界/保留值、端序字节向量、pack→unpack round-trip；1457/1457 通过。</x:v>
      </x:c>
      <x:c r="H1061" s="144" t="str">
        <x:v>coem/BYD_UKE/gen_bsw/Com/Com_PBcfg.c:49822; BoschOversea_StandardCANFD_commplatform_RCR_CAN_Matrix_V4.18.2_20251104.dbc:159</x:v>
      </x:c>
    </x:row>
    <x:row r="1062" ht="72" customHeight="1">
      <x:c r="A1062" s="144" t="str">
        <x:v>Com-Signal</x:v>
      </x:c>
      <x:c r="B1062" s="144" t="str">
        <x:v>COM-SIG-Rx-0150 / ESP_OFF_S</x:v>
      </x:c>
      <x:c r="C1062" s="144" t="str">
        <x:v>PDU=IPB_0x123; startBit=52; length=1; byteOrder=Little; type=UINT8; factor=1; offset=0; min=0; max=1; unit=-; receivers=Left_BCM_L1,Left_BCM_L2_L3,Left_BCM_L4,Rear_BCM,Media,SCPA,ECM_Fuel,TCU,EPS,SRS,MPC,ADS,MRR,BSMCL,BSMCR</x:v>
      </x:c>
      <x:c r="D10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2" s="144" t="str">
        <x:v>M2</x:v>
      </x:c>
      <x:c r="F1062" s="144" t="str">
        <x:v>Signal 级可编辑配置、数据类型/缩放/端序合同、RTE 接口、边界值与 round-trip 测试。</x:v>
      </x:c>
      <x:c r="G1062" s="144" t="str">
        <x:v>raw=0、raw=max、物理 min/max、越界/保留值、端序字节向量、pack→unpack round-trip；1457/1457 通过。</x:v>
      </x:c>
      <x:c r="H1062" s="144" t="str">
        <x:v>coem/BYD_UKE/gen_bsw/Com/Com_PBcfg.c:49882; BoschOversea_StandardCANFD_commplatform_RCR_CAN_Matrix_V4.18.2_20251104.dbc:158</x:v>
      </x:c>
    </x:row>
    <x:row r="1063" ht="72" customHeight="1">
      <x:c r="A1063" s="144" t="str">
        <x:v>Com-Signal</x:v>
      </x:c>
      <x:c r="B1063" s="144" t="str">
        <x:v>COM-SIG-Rx-0151 / HDC_CtrlStatus_S</x:v>
      </x:c>
      <x:c r="C1063" s="144" t="str">
        <x:v>PDU=IPB_0x123; startBit=41; length=2; byteOrder=Little; type=UINT8; factor=1; offset=0; min=0; max=3; unit=-; receivers=Left_BCM_L1,Left_BCM_L2_L3,Left_BCM_L4,Media,ECM_Fuel,VCU,TCU,MPC,ADS,MRR,BSMCL,BSMCR</x:v>
      </x:c>
      <x:c r="D10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3" s="144" t="str">
        <x:v>M2</x:v>
      </x:c>
      <x:c r="F1063" s="144" t="str">
        <x:v>Signal 级可编辑配置、数据类型/缩放/端序合同、RTE 接口、边界值与 round-trip 测试。</x:v>
      </x:c>
      <x:c r="G1063" s="144" t="str">
        <x:v>raw=0、raw=max、物理 min/max、越界/保留值、端序字节向量、pack→unpack round-trip；1457/1457 通过。</x:v>
      </x:c>
      <x:c r="H1063" s="144" t="str">
        <x:v>coem/BYD_UKE/gen_bsw/Com/Com_PBcfg.c:49942; BoschOversea_StandardCANFD_commplatform_RCR_CAN_Matrix_V4.18.2_20251104.dbc:155</x:v>
      </x:c>
    </x:row>
    <x:row r="1064" ht="72" customHeight="1">
      <x:c r="A1064" s="144" t="str">
        <x:v>Com-Signal</x:v>
      </x:c>
      <x:c r="B1064" s="144" t="str">
        <x:v>COM-SIG-Rx-0152 / TCS_Fault_S</x:v>
      </x:c>
      <x:c r="C1064" s="144" t="str">
        <x:v>PDU=IPB_0x123; startBit=54; length=1; byteOrder=Little; type=UINT8; factor=1; offset=0; min=0; max=1; unit=-; receivers=Left_BCM_L1,Left_BCM_L2_L3,Left_BCM_L4,Rear_BCM,ECM_Fuel,VCU,TCU,EPS,MPC,ADS,MRR,BSMCL,BSMCR</x:v>
      </x:c>
      <x:c r="D106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4" s="144" t="str">
        <x:v>M2</x:v>
      </x:c>
      <x:c r="F1064" s="144" t="str">
        <x:v>Signal 级可编辑配置、数据类型/缩放/端序合同、RTE 接口、边界值与 round-trip 测试。</x:v>
      </x:c>
      <x:c r="G1064" s="144" t="str">
        <x:v>raw=0、raw=max、物理 min/max、越界/保留值、端序字节向量、pack→unpack round-trip；1457/1457 通过。</x:v>
      </x:c>
      <x:c r="H1064" s="144" t="str">
        <x:v>coem/BYD_UKE/gen_bsw/Com/Com_PBcfg.c:50002; BoschOversea_StandardCANFD_commplatform_RCR_CAN_Matrix_V4.18.2_20251104.dbc:160</x:v>
      </x:c>
    </x:row>
    <x:row r="1065" ht="72" customHeight="1">
      <x:c r="A1065" s="144" t="str">
        <x:v>Com-Signal</x:v>
      </x:c>
      <x:c r="B1065" s="144" t="str">
        <x:v>COM-SIG-Rx-0153 / VDC_Fault_S</x:v>
      </x:c>
      <x:c r="C1065" s="144" t="str">
        <x:v>PDU=IPB_0x123; startBit=55; length=1; byteOrder=Little; type=UINT8; factor=1; offset=0; min=0; max=1; unit=-; receivers=Left_BCM_L1,Left_BCM_L2_L3,Left_BCM_L4,Rear_BCM,ECM_Fuel,VCU,TCU,MPC,ADS,MRR,BSMCL,BSMCR</x:v>
      </x:c>
      <x:c r="D10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5" s="144" t="str">
        <x:v>M2</x:v>
      </x:c>
      <x:c r="F1065" s="144" t="str">
        <x:v>Signal 级可编辑配置、数据类型/缩放/端序合同、RTE 接口、边界值与 round-trip 测试。</x:v>
      </x:c>
      <x:c r="G1065" s="144" t="str">
        <x:v>raw=0、raw=max、物理 min/max、越界/保留值、端序字节向量、pack→unpack round-trip；1457/1457 通过。</x:v>
      </x:c>
      <x:c r="H1065" s="144" t="str">
        <x:v>coem/BYD_UKE/gen_bsw/Com/Com_PBcfg.c:50062; BoschOversea_StandardCANFD_commplatform_RCR_CAN_Matrix_V4.18.2_20251104.dbc:161</x:v>
      </x:c>
    </x:row>
    <x:row r="1066" ht="72" customHeight="1">
      <x:c r="A1066" s="144" t="str">
        <x:v>Com-Signal</x:v>
      </x:c>
      <x:c r="B1066" s="144" t="str">
        <x:v>COM-SIG-Rx-0154 / Checksum_1F0_S</x:v>
      </x:c>
      <x:c r="C1066" s="144" t="str">
        <x:v>PDU=IPB_0x1F0; startBit=56; length=8; byteOrder=Little; type=UINT8; factor=1; offset=0; min=0; max=255; unit=-; receivers=Media,MPC,ADS,MRR,BSMCL,BSMCR,APA</x:v>
      </x:c>
      <x:c r="D10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6" s="144" t="str">
        <x:v>M2</x:v>
      </x:c>
      <x:c r="F1066" s="144" t="str">
        <x:v>Signal 级可编辑配置、数据类型/缩放/端序合同、RTE 接口、边界值与 round-trip 测试。</x:v>
      </x:c>
      <x:c r="G1066" s="144" t="str">
        <x:v>raw=0、raw=max、物理 min/max、越界/保留值、端序字节向量、pack→unpack round-trip；1457/1457 通过。</x:v>
      </x:c>
      <x:c r="H1066" s="144" t="str">
        <x:v>coem/BYD_UKE/gen_bsw/Com/Com_PBcfg.c:50122; BoschOversea_StandardCANFD_commplatform_RCR_CAN_Matrix_V4.18.2_20251104.dbc:223</x:v>
      </x:c>
    </x:row>
    <x:row r="1067" ht="72" customHeight="1">
      <x:c r="A1067" s="144" t="str">
        <x:v>Com-Signal</x:v>
      </x:c>
      <x:c r="B1067" s="144" t="str">
        <x:v>COM-SIG-Rx-0155 / Message_Counter_1F0_S</x:v>
      </x:c>
      <x:c r="C1067" s="144" t="str">
        <x:v>PDU=IPB_0x1F0; startBit=52; length=4; byteOrder=Little; type=UINT8; factor=1; offset=0; min=0; max=15; unit=-; receivers=MPC,ADS,MRR,BSMCL,BSMCR,APA</x:v>
      </x:c>
      <x:c r="D10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7" s="144" t="str">
        <x:v>M2</x:v>
      </x:c>
      <x:c r="F1067" s="144" t="str">
        <x:v>Signal 级可编辑配置、数据类型/缩放/端序合同、RTE 接口、边界值与 round-trip 测试。</x:v>
      </x:c>
      <x:c r="G1067" s="144" t="str">
        <x:v>raw=0、raw=max、物理 min/max、越界/保留值、端序字节向量、pack→unpack round-trip；1457/1457 通过。</x:v>
      </x:c>
      <x:c r="H1067" s="144" t="str">
        <x:v>coem/BYD_UKE/gen_bsw/Com/Com_PBcfg.c:50182; BoschOversea_StandardCANFD_commplatform_RCR_CAN_Matrix_V4.18.2_20251104.dbc:222</x:v>
      </x:c>
    </x:row>
    <x:row r="1068" ht="72" customHeight="1">
      <x:c r="A1068" s="144" t="str">
        <x:v>Com-Signal</x:v>
      </x:c>
      <x:c r="B1068" s="144" t="str">
        <x:v>COM-SIG-Rx-0156 / WheelSpeed_RL_Status_1F0_S</x:v>
      </x:c>
      <x:c r="C1068" s="144" t="str">
        <x:v>PDU=IPB_0x1F0; startBit=15; length=1; byteOrder=Little; type=UINT8; factor=1; offset=0; min=0; max=1; unit=-; receivers=Media,MPC,ADS,MRR,BSMCL,BSMCR,APA</x:v>
      </x:c>
      <x:c r="D10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8" s="144" t="str">
        <x:v>M2</x:v>
      </x:c>
      <x:c r="F1068" s="144" t="str">
        <x:v>Signal 级可编辑配置、数据类型/缩放/端序合同、RTE 接口、边界值与 round-trip 测试。</x:v>
      </x:c>
      <x:c r="G1068" s="144" t="str">
        <x:v>raw=0、raw=max、物理 min/max、越界/保留值、端序字节向量、pack→unpack round-trip；1457/1457 通过。</x:v>
      </x:c>
      <x:c r="H1068" s="144" t="str">
        <x:v>coem/BYD_UKE/gen_bsw/Com/Com_PBcfg.c:50242; BoschOversea_StandardCANFD_commplatform_RCR_CAN_Matrix_V4.18.2_20251104.dbc:218</x:v>
      </x:c>
    </x:row>
    <x:row r="1069" ht="72" customHeight="1">
      <x:c r="A1069" s="144" t="str">
        <x:v>Com-Signal</x:v>
      </x:c>
      <x:c r="B1069" s="144" t="str">
        <x:v>COM-SIG-Rx-0157 / Wheel_Speed_FL_1F0_S</x:v>
      </x:c>
      <x:c r="C1069" s="144" t="str">
        <x:v>PDU=IPB_0x1F0; startBit=0; length=12; byteOrder=Little; type=UINT16; factor=0.06875; offset=0; min=0; max=281.4625; unit=km/h; receivers=Media,MPC,ADS,MRR,BSMCL,BSMCR,APA</x:v>
      </x:c>
      <x:c r="D10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69" s="144" t="str">
        <x:v>M2</x:v>
      </x:c>
      <x:c r="F1069" s="144" t="str">
        <x:v>Signal 级可编辑配置、数据类型/缩放/端序合同、RTE 接口、边界值与 round-trip 测试。</x:v>
      </x:c>
      <x:c r="G1069" s="144" t="str">
        <x:v>raw=0、raw=max、物理 min/max、越界/保留值、端序字节向量、pack→unpack round-trip；1457/1457 通过。</x:v>
      </x:c>
      <x:c r="H1069" s="144" t="str">
        <x:v>coem/BYD_UKE/gen_bsw/Com/Com_PBcfg.c:50302; BoschOversea_StandardCANFD_commplatform_RCR_CAN_Matrix_V4.18.2_20251104.dbc:214</x:v>
      </x:c>
    </x:row>
    <x:row r="1070" ht="72" customHeight="1">
      <x:c r="A1070" s="144" t="str">
        <x:v>Com-Signal</x:v>
      </x:c>
      <x:c r="B1070" s="144" t="str">
        <x:v>COM-SIG-Rx-0158 / Wheel_Speed_FL_Stats_1F0_S</x:v>
      </x:c>
      <x:c r="C1070" s="144" t="str">
        <x:v>PDU=IPB_0x1F0; startBit=13; length=1; byteOrder=Little; type=UINT8; factor=1; offset=0; min=0; max=1; unit=-; receivers=Media,MPC,ADS,MRR,BSMCL,BSMCR,APA</x:v>
      </x:c>
      <x:c r="D107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0" s="144" t="str">
        <x:v>M2</x:v>
      </x:c>
      <x:c r="F1070" s="144" t="str">
        <x:v>Signal 级可编辑配置、数据类型/缩放/端序合同、RTE 接口、边界值与 round-trip 测试。</x:v>
      </x:c>
      <x:c r="G1070" s="144" t="str">
        <x:v>raw=0、raw=max、物理 min/max、越界/保留值、端序字节向量、pack→unpack round-trip；1457/1457 通过。</x:v>
      </x:c>
      <x:c r="H1070" s="144" t="str">
        <x:v>coem/BYD_UKE/gen_bsw/Com/Com_PBcfg.c:50362; BoschOversea_StandardCANFD_commplatform_RCR_CAN_Matrix_V4.18.2_20251104.dbc:216</x:v>
      </x:c>
    </x:row>
    <x:row r="1071" ht="72" customHeight="1">
      <x:c r="A1071" s="144" t="str">
        <x:v>Com-Signal</x:v>
      </x:c>
      <x:c r="B1071" s="144" t="str">
        <x:v>COM-SIG-Rx-0159 / Wheel_Speed_FR_1F0_S</x:v>
      </x:c>
      <x:c r="C1071" s="144" t="str">
        <x:v>PDU=IPB_0x1F0; startBit=16; length=12; byteOrder=Little; type=UINT16; factor=0.06875; offset=0; min=0; max=281.4625; unit=km/h; receivers=Media,MPC,ADS,MRR,BSMCL,BSMCR,APA</x:v>
      </x:c>
      <x:c r="D10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1" s="144" t="str">
        <x:v>M2</x:v>
      </x:c>
      <x:c r="F1071" s="144" t="str">
        <x:v>Signal 级可编辑配置、数据类型/缩放/端序合同、RTE 接口、边界值与 round-trip 测试。</x:v>
      </x:c>
      <x:c r="G1071" s="144" t="str">
        <x:v>raw=0、raw=max、物理 min/max、越界/保留值、端序字节向量、pack→unpack round-trip；1457/1457 通过。</x:v>
      </x:c>
      <x:c r="H1071" s="144" t="str">
        <x:v>coem/BYD_UKE/gen_bsw/Com/Com_PBcfg.c:50422; BoschOversea_StandardCANFD_commplatform_RCR_CAN_Matrix_V4.18.2_20251104.dbc:219</x:v>
      </x:c>
    </x:row>
    <x:row r="1072" ht="72" customHeight="1">
      <x:c r="A1072" s="144" t="str">
        <x:v>Com-Signal</x:v>
      </x:c>
      <x:c r="B1072" s="144" t="str">
        <x:v>COM-SIG-Rx-0160 / Wheel_Speed_FR_Stats_1F0_S</x:v>
      </x:c>
      <x:c r="C1072" s="144" t="str">
        <x:v>PDU=IPB_0x1F0; startBit=12; length=1; byteOrder=Little; type=UINT8; factor=1; offset=0; min=0; max=1; unit=-; receivers=Media,MPC,ADS,MRR,BSMCL,BSMCR,APA</x:v>
      </x:c>
      <x:c r="D10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2" s="144" t="str">
        <x:v>M2</x:v>
      </x:c>
      <x:c r="F1072" s="144" t="str">
        <x:v>Signal 级可编辑配置、数据类型/缩放/端序合同、RTE 接口、边界值与 round-trip 测试。</x:v>
      </x:c>
      <x:c r="G1072" s="144" t="str">
        <x:v>raw=0、raw=max、物理 min/max、越界/保留值、端序字节向量、pack→unpack round-trip；1457/1457 通过。</x:v>
      </x:c>
      <x:c r="H1072" s="144" t="str">
        <x:v>coem/BYD_UKE/gen_bsw/Com/Com_PBcfg.c:50482; BoschOversea_StandardCANFD_commplatform_RCR_CAN_Matrix_V4.18.2_20251104.dbc:215</x:v>
      </x:c>
    </x:row>
    <x:row r="1073" ht="72" customHeight="1">
      <x:c r="A1073" s="144" t="str">
        <x:v>Com-Signal</x:v>
      </x:c>
      <x:c r="B1073" s="144" t="str">
        <x:v>COM-SIG-Rx-0161 / Wheel_Speed_RL_1F0_S</x:v>
      </x:c>
      <x:c r="C1073" s="144" t="str">
        <x:v>PDU=IPB_0x1F0; startBit=28; length=12; byteOrder=Little; type=UINT16; factor=0.06875; offset=0; min=0; max=281.4625; unit=km/h; receivers=Media,MPC,ADS,MRR,BSMCL,BSMCR,APA</x:v>
      </x:c>
      <x:c r="D10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3" s="144" t="str">
        <x:v>M2</x:v>
      </x:c>
      <x:c r="F1073" s="144" t="str">
        <x:v>Signal 级可编辑配置、数据类型/缩放/端序合同、RTE 接口、边界值与 round-trip 测试。</x:v>
      </x:c>
      <x:c r="G1073" s="144" t="str">
        <x:v>raw=0、raw=max、物理 min/max、越界/保留值、端序字节向量、pack→unpack round-trip；1457/1457 通过。</x:v>
      </x:c>
      <x:c r="H1073" s="144" t="str">
        <x:v>coem/BYD_UKE/gen_bsw/Com/Com_PBcfg.c:50542; BoschOversea_StandardCANFD_commplatform_RCR_CAN_Matrix_V4.18.2_20251104.dbc:220</x:v>
      </x:c>
    </x:row>
    <x:row r="1074" ht="72" customHeight="1">
      <x:c r="A1074" s="144" t="str">
        <x:v>Com-Signal</x:v>
      </x:c>
      <x:c r="B1074" s="144" t="str">
        <x:v>COM-SIG-Rx-0162 / Wheel_Speed_RR_1F0_S</x:v>
      </x:c>
      <x:c r="C1074" s="144" t="str">
        <x:v>PDU=IPB_0x1F0; startBit=40; length=12; byteOrder=Little; type=UINT16; factor=0.06875; offset=0; min=0; max=281.4625; unit=km/h; receivers=Media,MPC,ADS,MRR,BSMCL,BSMCR,APA</x:v>
      </x:c>
      <x:c r="D10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4" s="144" t="str">
        <x:v>M2</x:v>
      </x:c>
      <x:c r="F1074" s="144" t="str">
        <x:v>Signal 级可编辑配置、数据类型/缩放/端序合同、RTE 接口、边界值与 round-trip 测试。</x:v>
      </x:c>
      <x:c r="G1074" s="144" t="str">
        <x:v>raw=0、raw=max、物理 min/max、越界/保留值、端序字节向量、pack→unpack round-trip；1457/1457 通过。</x:v>
      </x:c>
      <x:c r="H1074" s="144" t="str">
        <x:v>coem/BYD_UKE/gen_bsw/Com/Com_PBcfg.c:50602; BoschOversea_StandardCANFD_commplatform_RCR_CAN_Matrix_V4.18.2_20251104.dbc:221</x:v>
      </x:c>
    </x:row>
    <x:row r="1075" ht="72" customHeight="1">
      <x:c r="A1075" s="144" t="str">
        <x:v>Com-Signal</x:v>
      </x:c>
      <x:c r="B1075" s="144" t="str">
        <x:v>COM-SIG-Rx-0163 / Wheel_Speed_RR_Stats_1F0_S</x:v>
      </x:c>
      <x:c r="C1075" s="144" t="str">
        <x:v>PDU=IPB_0x1F0; startBit=14; length=1; byteOrder=Little; type=UINT8; factor=1; offset=0; min=0; max=1; unit=-; receivers=Media,MPC,ADS,MRR,BSMCL,BSMCR,APA</x:v>
      </x:c>
      <x:c r="D10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5" s="144" t="str">
        <x:v>M2</x:v>
      </x:c>
      <x:c r="F1075" s="144" t="str">
        <x:v>Signal 级可编辑配置、数据类型/缩放/端序合同、RTE 接口、边界值与 round-trip 测试。</x:v>
      </x:c>
      <x:c r="G1075" s="144" t="str">
        <x:v>raw=0、raw=max、物理 min/max、越界/保留值、端序字节向量、pack→unpack round-trip；1457/1457 通过。</x:v>
      </x:c>
      <x:c r="H1075" s="144" t="str">
        <x:v>coem/BYD_UKE/gen_bsw/Com/Com_PBcfg.c:50662; BoschOversea_StandardCANFD_commplatform_RCR_CAN_Matrix_V4.18.2_20251104.dbc:217</x:v>
      </x:c>
    </x:row>
    <x:row r="1076" ht="72" customHeight="1">
      <x:c r="A1076" s="144" t="str">
        <x:v>Com-Signal</x:v>
      </x:c>
      <x:c r="B1076" s="144" t="str">
        <x:v>COM-SIG-Rx-0164 / CDD_Active_S</x:v>
      </x:c>
      <x:c r="C1076" s="144" t="str">
        <x:v>PDU=IPB_0x220; startBit=54; length=1; byteOrder=Little; type=UINT8; factor=1; offset=0; min=0; max=1; unit=-; receivers=ECM_Fuel,MPC,ADS,MRR,BSMCL,BSMCR</x:v>
      </x:c>
      <x:c r="D10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6" s="144" t="str">
        <x:v>M2</x:v>
      </x:c>
      <x:c r="F1076" s="144" t="str">
        <x:v>Signal 级可编辑配置、数据类型/缩放/端序合同、RTE 接口、边界值与 round-trip 测试。</x:v>
      </x:c>
      <x:c r="G1076" s="144" t="str">
        <x:v>raw=0、raw=max、物理 min/max、越界/保留值、端序字节向量、pack→unpack round-trip；1457/1457 通过。</x:v>
      </x:c>
      <x:c r="H1076" s="144" t="str">
        <x:v>coem/BYD_UKE/gen_bsw/Com/Com_PBcfg.c:50722; BoschOversea_StandardCANFD_commplatform_RCR_CAN_Matrix_V4.18.2_20251104.dbc:209</x:v>
      </x:c>
    </x:row>
    <x:row r="1077" ht="72" customHeight="1">
      <x:c r="A1077" s="144" t="str">
        <x:v>Com-Signal</x:v>
      </x:c>
      <x:c r="B1077" s="144" t="str">
        <x:v>COM-SIG-Rx-0165 / CDD_Available_S</x:v>
      </x:c>
      <x:c r="C1077" s="144" t="str">
        <x:v>PDU=IPB_0x220; startBit=53; length=1; byteOrder=Little; type=UINT8; factor=1; offset=0; min=0; max=1; unit=-; receivers=ECM_Fuel,TCU,MPC,ADS,MRR,BSMCL,BSMCR</x:v>
      </x:c>
      <x:c r="D10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7" s="144" t="str">
        <x:v>M2</x:v>
      </x:c>
      <x:c r="F1077" s="144" t="str">
        <x:v>Signal 级可编辑配置、数据类型/缩放/端序合同、RTE 接口、边界值与 round-trip 测试。</x:v>
      </x:c>
      <x:c r="G1077" s="144" t="str">
        <x:v>raw=0、raw=max、物理 min/max、越界/保留值、端序字节向量、pack→unpack round-trip；1457/1457 通过。</x:v>
      </x:c>
      <x:c r="H1077" s="144" t="str">
        <x:v>coem/BYD_UKE/gen_bsw/Com/Com_PBcfg.c:50782; BoschOversea_StandardCANFD_commplatform_RCR_CAN_Matrix_V4.18.2_20251104.dbc:208</x:v>
      </x:c>
    </x:row>
    <x:row r="1078" ht="72" customHeight="1">
      <x:c r="A1078" s="144" t="str">
        <x:v>Com-Signal</x:v>
      </x:c>
      <x:c r="B1078" s="144" t="str">
        <x:v>COM-SIG-Rx-0166 / CDD_Fail_S</x:v>
      </x:c>
      <x:c r="C1078" s="144" t="str">
        <x:v>PDU=IPB_0x220; startBit=55; length=1; byteOrder=Little; type=UINT8; factor=1; offset=0; min=0; max=1; unit=-; receivers=ECM_Fuel,TCU,MPC,ADS,MRR,BSMCL,BSMCR</x:v>
      </x:c>
      <x:c r="D10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8" s="144" t="str">
        <x:v>M2</x:v>
      </x:c>
      <x:c r="F1078" s="144" t="str">
        <x:v>Signal 级可编辑配置、数据类型/缩放/端序合同、RTE 接口、边界值与 round-trip 测试。</x:v>
      </x:c>
      <x:c r="G1078" s="144" t="str">
        <x:v>raw=0、raw=max、物理 min/max、越界/保留值、端序字节向量、pack→unpack round-trip；1457/1457 通过。</x:v>
      </x:c>
      <x:c r="H1078" s="144" t="str">
        <x:v>coem/BYD_UKE/gen_bsw/Com/Com_PBcfg.c:50842; BoschOversea_StandardCANFD_commplatform_RCR_CAN_Matrix_V4.18.2_20251104.dbc:210</x:v>
      </x:c>
    </x:row>
    <x:row r="1079" ht="72" customHeight="1">
      <x:c r="A1079" s="144" t="str">
        <x:v>Com-Signal</x:v>
      </x:c>
      <x:c r="B1079" s="144" t="str">
        <x:v>COM-SIG-Rx-0167 / CheckSum220_S</x:v>
      </x:c>
      <x:c r="C1079" s="144" t="str">
        <x:v>PDU=IPB_0x220; startBit=56; length=8; byteOrder=Little; type=UINT8; factor=1; offset=0; min=0; max=255; unit=-; receivers=Rear_BCM,Media,ECM_Fuel,TCU,MPC,ADS,MRR,BSMCL,BSMCR,APA</x:v>
      </x:c>
      <x:c r="D10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79" s="144" t="str">
        <x:v>M2</x:v>
      </x:c>
      <x:c r="F1079" s="144" t="str">
        <x:v>Signal 级可编辑配置、数据类型/缩放/端序合同、RTE 接口、边界值与 round-trip 测试。</x:v>
      </x:c>
      <x:c r="G1079" s="144" t="str">
        <x:v>raw=0、raw=max、物理 min/max、越界/保留值、端序字节向量、pack→unpack round-trip；1457/1457 通过。</x:v>
      </x:c>
      <x:c r="H1079" s="144" t="str">
        <x:v>coem/BYD_UKE/gen_bsw/Com/Com_PBcfg.c:50902; BoschOversea_StandardCANFD_commplatform_RCR_CAN_Matrix_V4.18.2_20251104.dbc:211</x:v>
      </x:c>
    </x:row>
    <x:row r="1080" ht="72" customHeight="1">
      <x:c r="A1080" s="144" t="str">
        <x:v>Com-Signal</x:v>
      </x:c>
      <x:c r="B1080" s="144" t="str">
        <x:v>COM-SIG-Rx-0168 / ECD_Temp_Off_S</x:v>
      </x:c>
      <x:c r="C1080" s="144" t="str">
        <x:v>PDU=IPB_0x220; startBit=16; length=1; byteOrder=Little; type=UINT8; factor=1; offset=0; min=0; max=1; unit=-; receivers=ECM_Fuel,MPC,ADS,MRR,BSMCL,BSMCR</x:v>
      </x:c>
      <x:c r="D10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0" s="144" t="str">
        <x:v>M2</x:v>
      </x:c>
      <x:c r="F1080" s="144" t="str">
        <x:v>Signal 级可编辑配置、数据类型/缩放/端序合同、RTE 接口、边界值与 round-trip 测试。</x:v>
      </x:c>
      <x:c r="G1080" s="144" t="str">
        <x:v>raw=0、raw=max、物理 min/max、越界/保留值、端序字节向量、pack→unpack round-trip；1457/1457 通过。</x:v>
      </x:c>
      <x:c r="H1080" s="144" t="str">
        <x:v>coem/BYD_UKE/gen_bsw/Com/Com_PBcfg.c:50962; BoschOversea_StandardCANFD_commplatform_RCR_CAN_Matrix_V4.18.2_20251104.dbc:200</x:v>
      </x:c>
    </x:row>
    <x:row r="1081" ht="72" customHeight="1">
      <x:c r="A1081" s="144" t="str">
        <x:v>Com-Signal</x:v>
      </x:c>
      <x:c r="B1081" s="144" t="str">
        <x:v>COM-SIG-Rx-0169 / FL_Wheel_Drive_Direct_Stat_S</x:v>
      </x:c>
      <x:c r="C1081" s="144" t="str">
        <x:v>PDU=IPB_0x220; startBit=20; length=1; byteOrder=Little; type=UINT8; factor=1; offset=0; min=0; max=1; unit=-; receivers=Media,MPC,ADS,MRR,BSMCL,BSMCR,APA</x:v>
      </x:c>
      <x:c r="D10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1" s="144" t="str">
        <x:v>M2</x:v>
      </x:c>
      <x:c r="F1081" s="144" t="str">
        <x:v>Signal 级可编辑配置、数据类型/缩放/端序合同、RTE 接口、边界值与 round-trip 测试。</x:v>
      </x:c>
      <x:c r="G1081" s="144" t="str">
        <x:v>raw=0、raw=max、物理 min/max、越界/保留值、端序字节向量、pack→unpack round-trip；1457/1457 通过。</x:v>
      </x:c>
      <x:c r="H1081" s="144" t="str">
        <x:v>coem/BYD_UKE/gen_bsw/Com/Com_PBcfg.c:51022; BoschOversea_StandardCANFD_commplatform_RCR_CAN_Matrix_V4.18.2_20251104.dbc:202</x:v>
      </x:c>
    </x:row>
    <x:row r="1082" ht="72" customHeight="1">
      <x:c r="A1082" s="144" t="str">
        <x:v>Com-Signal</x:v>
      </x:c>
      <x:c r="B1082" s="144" t="str">
        <x:v>COM-SIG-Rx-0170 / FL_Wheel_Drive_Direction_S</x:v>
      </x:c>
      <x:c r="C1082" s="144" t="str">
        <x:v>PDU=IPB_0x220; startBit=6; length=2; byteOrder=Little; type=UINT8; factor=1; offset=0; min=0; max=3; unit=-; receivers=Rear_BCM,Media,ECM_Fuel,MPC,ADS,MRR,BSMCL,BSMCR,APA</x:v>
      </x:c>
      <x:c r="D10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2" s="144" t="str">
        <x:v>M2</x:v>
      </x:c>
      <x:c r="F1082" s="144" t="str">
        <x:v>Signal 级可编辑配置、数据类型/缩放/端序合同、RTE 接口、边界值与 round-trip 测试。</x:v>
      </x:c>
      <x:c r="G1082" s="144" t="str">
        <x:v>raw=0、raw=max、物理 min/max、越界/保留值、端序字节向量、pack→unpack round-trip；1457/1457 通过。</x:v>
      </x:c>
      <x:c r="H1082" s="144" t="str">
        <x:v>coem/BYD_UKE/gen_bsw/Com/Com_PBcfg.c:51082; BoschOversea_StandardCANFD_commplatform_RCR_CAN_Matrix_V4.18.2_20251104.dbc:193</x:v>
      </x:c>
    </x:row>
    <x:row r="1083" ht="72" customHeight="1">
      <x:c r="A1083" s="144" t="str">
        <x:v>Com-Signal</x:v>
      </x:c>
      <x:c r="B1083" s="144" t="str">
        <x:v>COM-SIG-Rx-0171 / FR_Wheel_Drive_Direct_Stat_S</x:v>
      </x:c>
      <x:c r="C1083" s="144" t="str">
        <x:v>PDU=IPB_0x220; startBit=21; length=1; byteOrder=Little; type=UINT8; factor=1; offset=0; min=0; max=1; unit=-; receivers=Media,MPC,ADS,MRR,BSMCL,BSMCR,APA</x:v>
      </x:c>
      <x:c r="D10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3" s="144" t="str">
        <x:v>M2</x:v>
      </x:c>
      <x:c r="F1083" s="144" t="str">
        <x:v>Signal 级可编辑配置、数据类型/缩放/端序合同、RTE 接口、边界值与 round-trip 测试。</x:v>
      </x:c>
      <x:c r="G1083" s="144" t="str">
        <x:v>raw=0、raw=max、物理 min/max、越界/保留值、端序字节向量、pack→unpack round-trip；1457/1457 通过。</x:v>
      </x:c>
      <x:c r="H1083" s="144" t="str">
        <x:v>coem/BYD_UKE/gen_bsw/Com/Com_PBcfg.c:51142; BoschOversea_StandardCANFD_commplatform_RCR_CAN_Matrix_V4.18.2_20251104.dbc:203</x:v>
      </x:c>
    </x:row>
    <x:row r="1084" ht="72" customHeight="1">
      <x:c r="A1084" s="144" t="str">
        <x:v>Com-Signal</x:v>
      </x:c>
      <x:c r="B1084" s="144" t="str">
        <x:v>COM-SIG-Rx-0172 / FR_Wheel_Drive_Direction_S</x:v>
      </x:c>
      <x:c r="C1084" s="144" t="str">
        <x:v>PDU=IPB_0x220; startBit=4; length=2; byteOrder=Little; type=UINT8; factor=1; offset=0; min=0; max=3; unit=-; receivers=Rear_BCM,Media,ECM_Fuel,MPC,ADS,MRR,BSMCL,BSMCR,APA</x:v>
      </x:c>
      <x:c r="D108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4" s="144" t="str">
        <x:v>M2</x:v>
      </x:c>
      <x:c r="F1084" s="144" t="str">
        <x:v>Signal 级可编辑配置、数据类型/缩放/端序合同、RTE 接口、边界值与 round-trip 测试。</x:v>
      </x:c>
      <x:c r="G1084" s="144" t="str">
        <x:v>raw=0、raw=max、物理 min/max、越界/保留值、端序字节向量、pack→unpack round-trip；1457/1457 通过。</x:v>
      </x:c>
      <x:c r="H1084" s="144" t="str">
        <x:v>coem/BYD_UKE/gen_bsw/Com/Com_PBcfg.c:51202; BoschOversea_StandardCANFD_commplatform_RCR_CAN_Matrix_V4.18.2_20251104.dbc:192</x:v>
      </x:c>
    </x:row>
    <x:row r="1085" ht="72" customHeight="1">
      <x:c r="A1085" s="144" t="str">
        <x:v>Com-Signal</x:v>
      </x:c>
      <x:c r="B1085" s="144" t="str">
        <x:v>COM-SIG-Rx-0173 / Message_Counter220_S</x:v>
      </x:c>
      <x:c r="C1085" s="144" t="str">
        <x:v>PDU=IPB_0x220; startBit=48; length=4; byteOrder=Little; type=UINT8; factor=1; offset=0; min=0; max=15; unit=-; receivers=ECM_Fuel,MPC,ADS,MRR,BSMCL,BSMCR,APA</x:v>
      </x:c>
      <x:c r="D10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5" s="144" t="str">
        <x:v>M2</x:v>
      </x:c>
      <x:c r="F1085" s="144" t="str">
        <x:v>Signal 级可编辑配置、数据类型/缩放/端序合同、RTE 接口、边界值与 round-trip 测试。</x:v>
      </x:c>
      <x:c r="G1085" s="144" t="str">
        <x:v>raw=0、raw=max、物理 min/max、越界/保留值、端序字节向量、pack→unpack round-trip；1457/1457 通过。</x:v>
      </x:c>
      <x:c r="H1085" s="144" t="str">
        <x:v>coem/BYD_UKE/gen_bsw/Com/Com_PBcfg.c:51262; BoschOversea_StandardCANFD_commplatform_RCR_CAN_Matrix_V4.18.2_20251104.dbc:207</x:v>
      </x:c>
    </x:row>
    <x:row r="1086" ht="72" customHeight="1">
      <x:c r="A1086" s="144" t="str">
        <x:v>Com-Signal</x:v>
      </x:c>
      <x:c r="B1086" s="144" t="str">
        <x:v>COM-SIG-Rx-0174 / No_Brake_Force_S</x:v>
      </x:c>
      <x:c r="C1086" s="144" t="str">
        <x:v>PDU=IPB_0x220; startBit=12; length=1; byteOrder=Little; type=UINT8; factor=1; offset=0; min=0; max=1; unit=-; receivers=ECM_Fuel,MPC,ADS,MRR,BSMCL,BSMCR</x:v>
      </x:c>
      <x:c r="D10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6" s="144" t="str">
        <x:v>M2</x:v>
      </x:c>
      <x:c r="F1086" s="144" t="str">
        <x:v>Signal 级可编辑配置、数据类型/缩放/端序合同、RTE 接口、边界值与 round-trip 测试。</x:v>
      </x:c>
      <x:c r="G1086" s="144" t="str">
        <x:v>raw=0、raw=max、物理 min/max、越界/保留值、端序字节向量、pack→unpack round-trip；1457/1457 通过。</x:v>
      </x:c>
      <x:c r="H1086" s="144" t="str">
        <x:v>coem/BYD_UKE/gen_bsw/Com/Com_PBcfg.c:51322; BoschOversea_StandardCANFD_commplatform_RCR_CAN_Matrix_V4.18.2_20251104.dbc:198</x:v>
      </x:c>
    </x:row>
    <x:row r="1087" ht="72" customHeight="1">
      <x:c r="A1087" s="144" t="str">
        <x:v>Com-Signal</x:v>
      </x:c>
      <x:c r="B1087" s="144" t="str">
        <x:v>COM-SIG-Rx-0175 / QDC_ACC_S</x:v>
      </x:c>
      <x:c r="C1087" s="144" t="str">
        <x:v>PDU=IPB_0x220; startBit=15; length=1; byteOrder=Little; type=UINT8; factor=1; offset=0; min=0; max=1; unit=-; receivers=ECM_Fuel,MPC,ADS,MRR,BSMCL,BSMCR</x:v>
      </x:c>
      <x:c r="D10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7" s="144" t="str">
        <x:v>M2</x:v>
      </x:c>
      <x:c r="F1087" s="144" t="str">
        <x:v>Signal 级可编辑配置、数据类型/缩放/端序合同、RTE 接口、边界值与 round-trip 测试。</x:v>
      </x:c>
      <x:c r="G1087" s="144" t="str">
        <x:v>raw=0、raw=max、物理 min/max、越界/保留值、端序字节向量、pack→unpack round-trip；1457/1457 通过。</x:v>
      </x:c>
      <x:c r="H1087" s="144" t="str">
        <x:v>coem/BYD_UKE/gen_bsw/Com/Com_PBcfg.c:51382; BoschOversea_StandardCANFD_commplatform_RCR_CAN_Matrix_V4.18.2_20251104.dbc:199</x:v>
      </x:c>
    </x:row>
    <x:row r="1088" ht="72" customHeight="1">
      <x:c r="A1088" s="144" t="str">
        <x:v>Com-Signal</x:v>
      </x:c>
      <x:c r="B1088" s="144" t="str">
        <x:v>COM-SIG-Rx-0176 / RL_Wheel_Drive_Direct_Stat_S</x:v>
      </x:c>
      <x:c r="C1088" s="144" t="str">
        <x:v>PDU=IPB_0x220; startBit=22; length=1; byteOrder=Little; type=UINT8; factor=1; offset=0; min=0; max=1; unit=-; receivers=Media,MPC,ADS,MRR,BSMCL,BSMCR,APA</x:v>
      </x:c>
      <x:c r="D10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8" s="144" t="str">
        <x:v>M2</x:v>
      </x:c>
      <x:c r="F1088" s="144" t="str">
        <x:v>Signal 级可编辑配置、数据类型/缩放/端序合同、RTE 接口、边界值与 round-trip 测试。</x:v>
      </x:c>
      <x:c r="G1088" s="144" t="str">
        <x:v>raw=0、raw=max、物理 min/max、越界/保留值、端序字节向量、pack→unpack round-trip；1457/1457 通过。</x:v>
      </x:c>
      <x:c r="H1088" s="144" t="str">
        <x:v>coem/BYD_UKE/gen_bsw/Com/Com_PBcfg.c:51442; BoschOversea_StandardCANFD_commplatform_RCR_CAN_Matrix_V4.18.2_20251104.dbc:204</x:v>
      </x:c>
    </x:row>
    <x:row r="1089" ht="72" customHeight="1">
      <x:c r="A1089" s="144" t="str">
        <x:v>Com-Signal</x:v>
      </x:c>
      <x:c r="B1089" s="144" t="str">
        <x:v>COM-SIG-Rx-0177 / RL_Wheel_Drive_Direction_S</x:v>
      </x:c>
      <x:c r="C1089" s="144" t="str">
        <x:v>PDU=IPB_0x220; startBit=2; length=2; byteOrder=Little; type=UINT8; factor=1; offset=0; min=0; max=3; unit=-; receivers=Rear_BCM,Media,ECM_Fuel,MPC,ADS,MRR,BSMCL,BSMCR,APA</x:v>
      </x:c>
      <x:c r="D10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89" s="144" t="str">
        <x:v>M2</x:v>
      </x:c>
      <x:c r="F1089" s="144" t="str">
        <x:v>Signal 级可编辑配置、数据类型/缩放/端序合同、RTE 接口、边界值与 round-trip 测试。</x:v>
      </x:c>
      <x:c r="G1089" s="144" t="str">
        <x:v>raw=0、raw=max、物理 min/max、越界/保留值、端序字节向量、pack→unpack round-trip；1457/1457 通过。</x:v>
      </x:c>
      <x:c r="H1089" s="144" t="str">
        <x:v>coem/BYD_UKE/gen_bsw/Com/Com_PBcfg.c:51502; BoschOversea_StandardCANFD_commplatform_RCR_CAN_Matrix_V4.18.2_20251104.dbc:191</x:v>
      </x:c>
    </x:row>
    <x:row r="1090" ht="72" customHeight="1">
      <x:c r="A1090" s="144" t="str">
        <x:v>Com-Signal</x:v>
      </x:c>
      <x:c r="B1090" s="144" t="str">
        <x:v>COM-SIG-Rx-0178 / RR_Wheel_Drive_Direct_Stat_S</x:v>
      </x:c>
      <x:c r="C1090" s="144" t="str">
        <x:v>PDU=IPB_0x220; startBit=23; length=1; byteOrder=Little; type=UINT8; factor=1; offset=0; min=0; max=1; unit=-; receivers=Media,MPC,ADS,MRR,BSMCL,BSMCR,APA</x:v>
      </x:c>
      <x:c r="D10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0" s="144" t="str">
        <x:v>M2</x:v>
      </x:c>
      <x:c r="F1090" s="144" t="str">
        <x:v>Signal 级可编辑配置、数据类型/缩放/端序合同、RTE 接口、边界值与 round-trip 测试。</x:v>
      </x:c>
      <x:c r="G1090" s="144" t="str">
        <x:v>raw=0、raw=max、物理 min/max、越界/保留值、端序字节向量、pack→unpack round-trip；1457/1457 通过。</x:v>
      </x:c>
      <x:c r="H1090" s="144" t="str">
        <x:v>coem/BYD_UKE/gen_bsw/Com/Com_PBcfg.c:51562; BoschOversea_StandardCANFD_commplatform_RCR_CAN_Matrix_V4.18.2_20251104.dbc:205</x:v>
      </x:c>
    </x:row>
    <x:row r="1091" ht="72" customHeight="1">
      <x:c r="A1091" s="144" t="str">
        <x:v>Com-Signal</x:v>
      </x:c>
      <x:c r="B1091" s="144" t="str">
        <x:v>COM-SIG-Rx-0179 / RR_Wheel_Drive_Direction_S</x:v>
      </x:c>
      <x:c r="C1091" s="144" t="str">
        <x:v>PDU=IPB_0x220; startBit=0; length=2; byteOrder=Little; type=UINT8; factor=1; offset=0; min=0; max=3; unit=-; receivers=Rear_BCM,Media,ECM_Fuel,MPC,ADS,MRR,BSMCL,BSMCR,APA</x:v>
      </x:c>
      <x:c r="D10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1" s="144" t="str">
        <x:v>M2</x:v>
      </x:c>
      <x:c r="F1091" s="144" t="str">
        <x:v>Signal 级可编辑配置、数据类型/缩放/端序合同、RTE 接口、边界值与 round-trip 测试。</x:v>
      </x:c>
      <x:c r="G1091" s="144" t="str">
        <x:v>raw=0、raw=max、物理 min/max、越界/保留值、端序字节向量、pack→unpack round-trip；1457/1457 通过。</x:v>
      </x:c>
      <x:c r="H1091" s="144" t="str">
        <x:v>coem/BYD_UKE/gen_bsw/Com/Com_PBcfg.c:51622; BoschOversea_StandardCANFD_commplatform_RCR_CAN_Matrix_V4.18.2_20251104.dbc:190</x:v>
      </x:c>
    </x:row>
    <x:row r="1092" ht="72" customHeight="1">
      <x:c r="A1092" s="144" t="str">
        <x:v>Com-Signal</x:v>
      </x:c>
      <x:c r="B1092" s="144" t="str">
        <x:v>COM-SIG-Rx-0180 / VLC_Active_S</x:v>
      </x:c>
      <x:c r="C1092" s="144" t="str">
        <x:v>PDU=IPB_0x220; startBit=10; length=1; byteOrder=Little; type=UINT8; factor=1; offset=0; min=0; max=1; unit=-; receivers=Rear_BCM,Media,ECM_Fuel,TCU,MPC,ADS,MRR,BSMCL,BSMCR,APA</x:v>
      </x:c>
      <x:c r="D10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2" s="144" t="str">
        <x:v>M2</x:v>
      </x:c>
      <x:c r="F1092" s="144" t="str">
        <x:v>Signal 级可编辑配置、数据类型/缩放/端序合同、RTE 接口、边界值与 round-trip 测试。</x:v>
      </x:c>
      <x:c r="G1092" s="144" t="str">
        <x:v>raw=0、raw=max、物理 min/max、越界/保留值、端序字节向量、pack→unpack round-trip；1457/1457 通过。</x:v>
      </x:c>
      <x:c r="H1092" s="144" t="str">
        <x:v>coem/BYD_UKE/gen_bsw/Com/Com_PBcfg.c:51682; BoschOversea_StandardCANFD_commplatform_RCR_CAN_Matrix_V4.18.2_20251104.dbc:196</x:v>
      </x:c>
    </x:row>
    <x:row r="1093" ht="72" customHeight="1">
      <x:c r="A1093" s="144" t="str">
        <x:v>Com-Signal</x:v>
      </x:c>
      <x:c r="B1093" s="144" t="str">
        <x:v>COM-SIG-Rx-0181 / VLC_Available_S</x:v>
      </x:c>
      <x:c r="C1093" s="144" t="str">
        <x:v>PDU=IPB_0x220; startBit=9; length=1; byteOrder=Little; type=UINT8; factor=1; offset=0; min=0; max=1; unit=-; receivers=Rear_BCM,Media,ECM_Fuel,MPC,ADS,MRR,BSMCL,BSMCR,APA</x:v>
      </x:c>
      <x:c r="D10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3" s="144" t="str">
        <x:v>M2</x:v>
      </x:c>
      <x:c r="F1093" s="144" t="str">
        <x:v>Signal 级可编辑配置、数据类型/缩放/端序合同、RTE 接口、边界值与 round-trip 测试。</x:v>
      </x:c>
      <x:c r="G1093" s="144" t="str">
        <x:v>raw=0、raw=max、物理 min/max、越界/保留值、端序字节向量、pack→unpack round-trip；1457/1457 通过。</x:v>
      </x:c>
      <x:c r="H1093" s="144" t="str">
        <x:v>coem/BYD_UKE/gen_bsw/Com/Com_PBcfg.c:51742; BoschOversea_StandardCANFD_commplatform_RCR_CAN_Matrix_V4.18.2_20251104.dbc:195</x:v>
      </x:c>
    </x:row>
    <x:row r="1094" ht="72" customHeight="1">
      <x:c r="A1094" s="144" t="str">
        <x:v>Com-Signal</x:v>
      </x:c>
      <x:c r="B1094" s="144" t="str">
        <x:v>COM-SIG-Rx-0182 / VLC_Fail_S</x:v>
      </x:c>
      <x:c r="C1094" s="144" t="str">
        <x:v>PDU=IPB_0x220; startBit=11; length=1; byteOrder=Little; type=UINT8; factor=1; offset=0; min=0; max=1; unit=-; receivers=Rear_BCM,Media,ECM_Fuel,MPC,ADS,MRR,BSMCL,BSMCR,APA</x:v>
      </x:c>
      <x:c r="D10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4" s="144" t="str">
        <x:v>M2</x:v>
      </x:c>
      <x:c r="F1094" s="144" t="str">
        <x:v>Signal 级可编辑配置、数据类型/缩放/端序合同、RTE 接口、边界值与 round-trip 测试。</x:v>
      </x:c>
      <x:c r="G1094" s="144" t="str">
        <x:v>raw=0、raw=max、物理 min/max、越界/保留值、端序字节向量、pack→unpack round-trip；1457/1457 通过。</x:v>
      </x:c>
      <x:c r="H1094" s="144" t="str">
        <x:v>coem/BYD_UKE/gen_bsw/Com/Com_PBcfg.c:51802; BoschOversea_StandardCANFD_commplatform_RCR_CAN_Matrix_V4.18.2_20251104.dbc:197</x:v>
      </x:c>
    </x:row>
    <x:row r="1095" ht="72" customHeight="1">
      <x:c r="A1095" s="144" t="str">
        <x:v>Com-Signal</x:v>
      </x:c>
      <x:c r="B1095" s="144" t="str">
        <x:v>COM-SIG-Rx-0183 / VLC_Internal_Targ_Accel_S</x:v>
      </x:c>
      <x:c r="C1095" s="144" t="str">
        <x:v>PDU=IPB_0x220; startBit=24; length=8; byteOrder=Little; type=UINT8; factor=0.05; offset=-7; min=-7; max=5.75; unit=m/s2; receivers=ECM_Fuel,TCU,MPC,ADS,MRR,BSMCL,BSMCR</x:v>
      </x:c>
      <x:c r="D109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5" s="144" t="str">
        <x:v>M2</x:v>
      </x:c>
      <x:c r="F1095" s="144" t="str">
        <x:v>Signal 级可编辑配置、数据类型/缩放/端序合同、RTE 接口、边界值与 round-trip 测试。</x:v>
      </x:c>
      <x:c r="G1095" s="144" t="str">
        <x:v>raw=0、raw=max、物理 min/max、越界/保留值、端序字节向量、pack→unpack round-trip；1457/1457 通过。</x:v>
      </x:c>
      <x:c r="H1095" s="144" t="str">
        <x:v>coem/BYD_UKE/gen_bsw/Com/Com_PBcfg.c:51862; BoschOversea_StandardCANFD_commplatform_RCR_CAN_Matrix_V4.18.2_20251104.dbc:206</x:v>
      </x:c>
    </x:row>
    <x:row r="1096" ht="72" customHeight="1">
      <x:c r="A1096" s="144" t="str">
        <x:v>Com-Signal</x:v>
      </x:c>
      <x:c r="B1096" s="144" t="str">
        <x:v>COM-SIG-Rx-0184 / Vehicle_Stand_Still_S</x:v>
      </x:c>
      <x:c r="C1096" s="144" t="str">
        <x:v>PDU=IPB_0x220; startBit=18; length=2; byteOrder=Little; type=UINT8; factor=1; offset=0; min=0; max=3; unit=-; receivers=Rear_BCM,Media,ECM_Fuel,MPC,ADS,MRR,BSMCL,BSMCR,APA</x:v>
      </x:c>
      <x:c r="D10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6" s="144" t="str">
        <x:v>M2</x:v>
      </x:c>
      <x:c r="F1096" s="144" t="str">
        <x:v>Signal 级可编辑配置、数据类型/缩放/端序合同、RTE 接口、边界值与 round-trip 测试。</x:v>
      </x:c>
      <x:c r="G1096" s="144" t="str">
        <x:v>raw=0、raw=max、物理 min/max、越界/保留值、端序字节向量、pack→unpack round-trip；1457/1457 通过。</x:v>
      </x:c>
      <x:c r="H1096" s="144" t="str">
        <x:v>coem/BYD_UKE/gen_bsw/Com/Com_PBcfg.c:51922; BoschOversea_StandardCANFD_commplatform_RCR_CAN_Matrix_V4.18.2_20251104.dbc:201</x:v>
      </x:c>
    </x:row>
    <x:row r="1097" ht="72" customHeight="1">
      <x:c r="A1097" s="144" t="str">
        <x:v>Com-Signal</x:v>
      </x:c>
      <x:c r="B1097" s="144" t="str">
        <x:v>COM-SIG-Rx-0185 / ABS_Active_222_S</x:v>
      </x:c>
      <x:c r="C1097" s="144" t="str">
        <x:v>PDU=IPB_0x222; startBit=25; length=1; byteOrder=Little; type=UINT8; factor=1; offset=0; min=0; max=1; unit=-; receivers=EPS,MPC,ADS,MRR,BSMCL,BSMCR,APA</x:v>
      </x:c>
      <x:c r="D10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7" s="144" t="str">
        <x:v>M2</x:v>
      </x:c>
      <x:c r="F1097" s="144" t="str">
        <x:v>Signal 级可编辑配置、数据类型/缩放/端序合同、RTE 接口、边界值与 round-trip 测试。</x:v>
      </x:c>
      <x:c r="G1097" s="144" t="str">
        <x:v>raw=0、raw=max、物理 min/max、越界/保留值、端序字节向量、pack→unpack round-trip；1457/1457 通过。</x:v>
      </x:c>
      <x:c r="H1097" s="144" t="str">
        <x:v>coem/BYD_UKE/gen_bsw/Com/Com_PBcfg.c:51982; BoschOversea_StandardCANFD_commplatform_RCR_CAN_Matrix_V4.18.2_20251104.dbc:168</x:v>
      </x:c>
    </x:row>
    <x:row r="1098" ht="72" customHeight="1">
      <x:c r="A1098" s="144" t="str">
        <x:v>Com-Signal</x:v>
      </x:c>
      <x:c r="B1098" s="144" t="str">
        <x:v>COM-SIG-Rx-0186 / ABS_Fault_222_S</x:v>
      </x:c>
      <x:c r="C1098" s="144" t="str">
        <x:v>PDU=IPB_0x222; startBit=27; length=1; byteOrder=Little; type=UINT8; factor=1; offset=0; min=0; max=1; unit=-; receivers=EPS,MPC,ADS,MRR,BSMCL,BSMCR</x:v>
      </x:c>
      <x:c r="D10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8" s="144" t="str">
        <x:v>M2</x:v>
      </x:c>
      <x:c r="F1098" s="144" t="str">
        <x:v>Signal 级可编辑配置、数据类型/缩放/端序合同、RTE 接口、边界值与 round-trip 测试。</x:v>
      </x:c>
      <x:c r="G1098" s="144" t="str">
        <x:v>raw=0、raw=max、物理 min/max、越界/保留值、端序字节向量、pack→unpack round-trip；1457/1457 通过。</x:v>
      </x:c>
      <x:c r="H1098" s="144" t="str">
        <x:v>coem/BYD_UKE/gen_bsw/Com/Com_PBcfg.c:52042; BoschOversea_StandardCANFD_commplatform_RCR_CAN_Matrix_V4.18.2_20251104.dbc:170</x:v>
      </x:c>
    </x:row>
    <x:row r="1099" ht="72" customHeight="1">
      <x:c r="A1099" s="144" t="str">
        <x:v>Com-Signal</x:v>
      </x:c>
      <x:c r="B1099" s="144" t="str">
        <x:v>COM-SIG-Rx-0187 / CCO_Active</x:v>
      </x:c>
      <x:c r="C1099" s="144" t="str">
        <x:v>PDU=IPB_0x222; startBit=38; length=2; byteOrder=Little; type=UINT8; factor=1; offset=0; min=0; max=3; unit=-; receivers=MPC,MRR,BSMCL,BSMCR,FCR</x:v>
      </x:c>
      <x:c r="D109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099" s="144" t="str">
        <x:v>M2</x:v>
      </x:c>
      <x:c r="F1099" s="144" t="str">
        <x:v>Signal 级可编辑配置、数据类型/缩放/端序合同、RTE 接口、边界值与 round-trip 测试。</x:v>
      </x:c>
      <x:c r="G1099" s="144" t="str">
        <x:v>raw=0、raw=max、物理 min/max、越界/保留值、端序字节向量、pack→unpack round-trip；1457/1457 通过。</x:v>
      </x:c>
      <x:c r="H1099" s="144" t="str">
        <x:v>coem/BYD_UKE/gen_bsw/Com/Com_PBcfg.c:52102; BoschOversea_StandardCANFD_commplatform_RCR_CAN_Matrix_V4.18.2_20251104.dbc:175</x:v>
      </x:c>
    </x:row>
    <x:row r="1100" ht="72" customHeight="1">
      <x:c r="A1100" s="144" t="str">
        <x:v>Com-Signal</x:v>
      </x:c>
      <x:c r="B1100" s="144" t="str">
        <x:v>COM-SIG-Rx-0188 / Checksum222_S</x:v>
      </x:c>
      <x:c r="C1100" s="144" t="str">
        <x:v>PDU=IPB_0x222; startBit=56; length=8; byteOrder=Little; type=UINT8; factor=1; offset=0; min=0; max=255; unit=-; receivers=Rear_BCM,ECM_Fuel,MPC,ADS,MRR,BSMCL,BSMCR,APA</x:v>
      </x:c>
      <x:c r="D110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0" s="144" t="str">
        <x:v>M2</x:v>
      </x:c>
      <x:c r="F1100" s="144" t="str">
        <x:v>Signal 级可编辑配置、数据类型/缩放/端序合同、RTE 接口、边界值与 round-trip 测试。</x:v>
      </x:c>
      <x:c r="G1100" s="144" t="str">
        <x:v>raw=0、raw=max、物理 min/max、越界/保留值、端序字节向量、pack→unpack round-trip；1457/1457 通过。</x:v>
      </x:c>
      <x:c r="H1100" s="144" t="str">
        <x:v>coem/BYD_UKE/gen_bsw/Com/Com_PBcfg.c:52162; BoschOversea_StandardCANFD_commplatform_RCR_CAN_Matrix_V4.18.2_20251104.dbc:177</x:v>
      </x:c>
    </x:row>
    <x:row r="1101" ht="72" customHeight="1">
      <x:c r="A1101" s="144" t="str">
        <x:v>Com-Signal</x:v>
      </x:c>
      <x:c r="B1101" s="144" t="str">
        <x:v>COM-SIG-Rx-0189 / DTC_Active_222_S</x:v>
      </x:c>
      <x:c r="C1101" s="144" t="str">
        <x:v>PDU=IPB_0x222; startBit=29; length=1; byteOrder=Little; type=UINT8; factor=1; offset=0; min=0; max=1; unit=-; receivers=MPC,ADS,MRR,BSMCL,BSMCR</x:v>
      </x:c>
      <x:c r="D110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1" s="144" t="str">
        <x:v>M2</x:v>
      </x:c>
      <x:c r="F1101" s="144" t="str">
        <x:v>Signal 级可编辑配置、数据类型/缩放/端序合同、RTE 接口、边界值与 round-trip 测试。</x:v>
      </x:c>
      <x:c r="G1101" s="144" t="str">
        <x:v>raw=0、raw=max、物理 min/max、越界/保留值、端序字节向量、pack→unpack round-trip；1457/1457 通过。</x:v>
      </x:c>
      <x:c r="H1101" s="144" t="str">
        <x:v>coem/BYD_UKE/gen_bsw/Com/Com_PBcfg.c:52222; BoschOversea_StandardCANFD_commplatform_RCR_CAN_Matrix_V4.18.2_20251104.dbc:172</x:v>
      </x:c>
    </x:row>
    <x:row r="1102" ht="72" customHeight="1">
      <x:c r="A1102" s="144" t="str">
        <x:v>Com-Signal</x:v>
      </x:c>
      <x:c r="B1102" s="144" t="str">
        <x:v>COM-SIG-Rx-0190 / EBD_Active_222_S</x:v>
      </x:c>
      <x:c r="C1102" s="144" t="str">
        <x:v>PDU=IPB_0x222; startBit=24; length=1; byteOrder=Little; type=UINT8; factor=1; offset=0; min=0; max=1; unit=-; receivers=EPS,MPC,ADS,MRR,BSMCL,BSMCR</x:v>
      </x:c>
      <x:c r="D110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2" s="144" t="str">
        <x:v>M2</x:v>
      </x:c>
      <x:c r="F1102" s="144" t="str">
        <x:v>Signal 级可编辑配置、数据类型/缩放/端序合同、RTE 接口、边界值与 round-trip 测试。</x:v>
      </x:c>
      <x:c r="G1102" s="144" t="str">
        <x:v>raw=0、raw=max、物理 min/max、越界/保留值、端序字节向量、pack→unpack round-trip；1457/1457 通过。</x:v>
      </x:c>
      <x:c r="H1102" s="144" t="str">
        <x:v>coem/BYD_UKE/gen_bsw/Com/Com_PBcfg.c:52282; BoschOversea_StandardCANFD_commplatform_RCR_CAN_Matrix_V4.18.2_20251104.dbc:167</x:v>
      </x:c>
    </x:row>
    <x:row r="1103" ht="72" customHeight="1">
      <x:c r="A1103" s="144" t="str">
        <x:v>Com-Signal</x:v>
      </x:c>
      <x:c r="B1103" s="144" t="str">
        <x:v>COM-SIG-Rx-0191 / EBD_Fault_222_S</x:v>
      </x:c>
      <x:c r="C1103" s="144" t="str">
        <x:v>PDU=IPB_0x222; startBit=26; length=1; byteOrder=Little; type=UINT8; factor=1; offset=0; min=0; max=1; unit=-; receivers=EPS,MPC,ADS,MRR,BSMCL,BSMCR</x:v>
      </x:c>
      <x:c r="D110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3" s="144" t="str">
        <x:v>M2</x:v>
      </x:c>
      <x:c r="F1103" s="144" t="str">
        <x:v>Signal 级可编辑配置、数据类型/缩放/端序合同、RTE 接口、边界值与 round-trip 测试。</x:v>
      </x:c>
      <x:c r="G1103" s="144" t="str">
        <x:v>raw=0、raw=max、物理 min/max、越界/保留值、端序字节向量、pack→unpack round-trip；1457/1457 通过。</x:v>
      </x:c>
      <x:c r="H1103" s="144" t="str">
        <x:v>coem/BYD_UKE/gen_bsw/Com/Com_PBcfg.c:52342; BoschOversea_StandardCANFD_commplatform_RCR_CAN_Matrix_V4.18.2_20251104.dbc:169</x:v>
      </x:c>
    </x:row>
    <x:row r="1104" ht="72" customHeight="1">
      <x:c r="A1104" s="144" t="str">
        <x:v>Com-Signal</x:v>
      </x:c>
      <x:c r="B1104" s="144" t="str">
        <x:v>COM-SIG-Rx-0192 / Message_Counter222_S</x:v>
      </x:c>
      <x:c r="C1104" s="144" t="str">
        <x:v>PDU=IPB_0x222; startBit=48; length=4; byteOrder=Little; type=UINT8; factor=1; offset=0; min=0; max=15; unit=-; receivers=Rear_BCM,ECM_Fuel,MPC,ADS,MRR,BSMCL,BSMCR,APA</x:v>
      </x:c>
      <x:c r="D110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4" s="144" t="str">
        <x:v>M2</x:v>
      </x:c>
      <x:c r="F1104" s="144" t="str">
        <x:v>Signal 级可编辑配置、数据类型/缩放/端序合同、RTE 接口、边界值与 round-trip 测试。</x:v>
      </x:c>
      <x:c r="G1104" s="144" t="str">
        <x:v>raw=0、raw=max、物理 min/max、越界/保留值、端序字节向量、pack→unpack round-trip；1457/1457 通过。</x:v>
      </x:c>
      <x:c r="H1104" s="144" t="str">
        <x:v>coem/BYD_UKE/gen_bsw/Com/Com_PBcfg.c:52402; BoschOversea_StandardCANFD_commplatform_RCR_CAN_Matrix_V4.18.2_20251104.dbc:176</x:v>
      </x:c>
    </x:row>
    <x:row r="1105" ht="72" customHeight="1">
      <x:c r="A1105" s="144" t="str">
        <x:v>Com-Signal</x:v>
      </x:c>
      <x:c r="B1105" s="144" t="str">
        <x:v>COM-SIG-Rx-0193 / TCS_Active_222_S</x:v>
      </x:c>
      <x:c r="C1105" s="144" t="str">
        <x:v>PDU=IPB_0x222; startBit=28; length=1; byteOrder=Little; type=UINT8; factor=1; offset=0; min=0; max=1; unit=-; receivers=EPS,MPC,ADS,MRR,BSMCL,BSMCR,APA</x:v>
      </x:c>
      <x:c r="D110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5" s="144" t="str">
        <x:v>M2</x:v>
      </x:c>
      <x:c r="F1105" s="144" t="str">
        <x:v>Signal 级可编辑配置、数据类型/缩放/端序合同、RTE 接口、边界值与 round-trip 测试。</x:v>
      </x:c>
      <x:c r="G1105" s="144" t="str">
        <x:v>raw=0、raw=max、物理 min/max、越界/保留值、端序字节向量、pack→unpack round-trip；1457/1457 通过。</x:v>
      </x:c>
      <x:c r="H1105" s="144" t="str">
        <x:v>coem/BYD_UKE/gen_bsw/Com/Com_PBcfg.c:52462; BoschOversea_StandardCANFD_commplatform_RCR_CAN_Matrix_V4.18.2_20251104.dbc:171</x:v>
      </x:c>
    </x:row>
    <x:row r="1106" ht="72" customHeight="1">
      <x:c r="A1106" s="144" t="str">
        <x:v>Com-Signal</x:v>
      </x:c>
      <x:c r="B1106" s="144" t="str">
        <x:v>COM-SIG-Rx-0194 / VDC_Active_222_S</x:v>
      </x:c>
      <x:c r="C1106" s="144" t="str">
        <x:v>PDU=IPB_0x222; startBit=30; length=1; byteOrder=Little; type=UINT8; factor=1; offset=0; min=0; max=1; unit=-; receivers=EPS,MPC,ADS,MRR,BSMCL,BSMCR</x:v>
      </x:c>
      <x:c r="D110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6" s="144" t="str">
        <x:v>M2</x:v>
      </x:c>
      <x:c r="F1106" s="144" t="str">
        <x:v>Signal 级可编辑配置、数据类型/缩放/端序合同、RTE 接口、边界值与 round-trip 测试。</x:v>
      </x:c>
      <x:c r="G1106" s="144" t="str">
        <x:v>raw=0、raw=max、物理 min/max、越界/保留值、端序字节向量、pack→unpack round-trip；1457/1457 通过。</x:v>
      </x:c>
      <x:c r="H1106" s="144" t="str">
        <x:v>coem/BYD_UKE/gen_bsw/Com/Com_PBcfg.c:52522; BoschOversea_StandardCANFD_commplatform_RCR_CAN_Matrix_V4.18.2_20251104.dbc:173</x:v>
      </x:c>
    </x:row>
    <x:row r="1107" ht="72" customHeight="1">
      <x:c r="A1107" s="144" t="str">
        <x:v>Com-Signal</x:v>
      </x:c>
      <x:c r="B1107" s="144" t="str">
        <x:v>COM-SIG-Rx-0195 / Yaw_Rate_Offset_S</x:v>
      </x:c>
      <x:c r="C1107" s="144" t="str">
        <x:v>PDU=IPB_0x222; startBit=12; length=12; byteOrder=Little; type=UINT16; factor=0.002132603; offset=-0.13; min=-0.13; max=0.13; unit=rad/s; receivers=ECM_Fuel,EPS,MPC,ADS,MRR,BSMCL,BSMCR,APA</x:v>
      </x:c>
      <x:c r="D110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7" s="144" t="str">
        <x:v>M2</x:v>
      </x:c>
      <x:c r="F1107" s="144" t="str">
        <x:v>Signal 级可编辑配置、数据类型/缩放/端序合同、RTE 接口、边界值与 round-trip 测试。</x:v>
      </x:c>
      <x:c r="G1107" s="144" t="str">
        <x:v>raw=0、raw=max、物理 min/max、越界/保留值、端序字节向量、pack→unpack round-trip；1457/1457 通过。</x:v>
      </x:c>
      <x:c r="H1107" s="144" t="str">
        <x:v>coem/BYD_UKE/gen_bsw/Com/Com_PBcfg.c:52582; BoschOversea_StandardCANFD_commplatform_RCR_CAN_Matrix_V4.18.2_20251104.dbc:166</x:v>
      </x:c>
    </x:row>
    <x:row r="1108" ht="72" customHeight="1">
      <x:c r="A1108" s="144" t="str">
        <x:v>Com-Signal</x:v>
      </x:c>
      <x:c r="B1108" s="144" t="str">
        <x:v>COM-SIG-Rx-0196 / Yaw_Rate_Signal_S</x:v>
      </x:c>
      <x:c r="C1108" s="144" t="str">
        <x:v>PDU=IPB_0x222; startBit=0; length=12; byteOrder=Little; type=UINT16; factor=0.002132603; offset=-2.0943; min=-2.0943; max=2.0943; unit=rad/s; receivers=ECM_Fuel,EPS,SRS,MPC,ADS,MRR,BSMCL,BSMCR,APA</x:v>
      </x:c>
      <x:c r="D110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8" s="144" t="str">
        <x:v>M2</x:v>
      </x:c>
      <x:c r="F1108" s="144" t="str">
        <x:v>Signal 级可编辑配置、数据类型/缩放/端序合同、RTE 接口、边界值与 round-trip 测试。</x:v>
      </x:c>
      <x:c r="G1108" s="144" t="str">
        <x:v>raw=0、raw=max、物理 min/max、越界/保留值、端序字节向量、pack→unpack round-trip；1457/1457 通过。</x:v>
      </x:c>
      <x:c r="H1108" s="144" t="str">
        <x:v>coem/BYD_UKE/gen_bsw/Com/Com_PBcfg.c:52642; BoschOversea_StandardCANFD_commplatform_RCR_CAN_Matrix_V4.18.2_20251104.dbc:165</x:v>
      </x:c>
    </x:row>
    <x:row r="1109" ht="72" customHeight="1">
      <x:c r="A1109" s="144" t="str">
        <x:v>Com-Signal</x:v>
      </x:c>
      <x:c r="B1109" s="144" t="str">
        <x:v>COM-SIG-Rx-0197 / Yaw_Rate_Status_S</x:v>
      </x:c>
      <x:c r="C1109" s="144" t="str">
        <x:v>PDU=IPB_0x222; startBit=31; length=1; byteOrder=Little; type=UINT8; factor=1; offset=0; min=0; max=1; unit=-; receivers=ECM_Fuel,EPS,SRS,MPC,ADS,MRR,BSMCL,BSMCR</x:v>
      </x:c>
      <x:c r="D110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09" s="144" t="str">
        <x:v>M2</x:v>
      </x:c>
      <x:c r="F1109" s="144" t="str">
        <x:v>Signal 级可编辑配置、数据类型/缩放/端序合同、RTE 接口、边界值与 round-trip 测试。</x:v>
      </x:c>
      <x:c r="G1109" s="144" t="str">
        <x:v>raw=0、raw=max、物理 min/max、越界/保留值、端序字节向量、pack→unpack round-trip；1457/1457 通过。</x:v>
      </x:c>
      <x:c r="H1109" s="144" t="str">
        <x:v>coem/BYD_UKE/gen_bsw/Com/Com_PBcfg.c:52702; BoschOversea_StandardCANFD_commplatform_RCR_CAN_Matrix_V4.18.2_20251104.dbc:174</x:v>
      </x:c>
    </x:row>
    <x:row r="1110" ht="72" customHeight="1">
      <x:c r="A1110" s="144" t="str">
        <x:v>Com-Signal</x:v>
      </x:c>
      <x:c r="B1110" s="144" t="str">
        <x:v>COM-SIG-Rx-0198 / Checksum223_S</x:v>
      </x:c>
      <x:c r="C1110" s="144" t="str">
        <x:v>PDU=IPB_0x223; startBit=56; length=8; byteOrder=Little; type=UINT8; factor=1; offset=0; min=0; max=255; unit=-; receivers=Rear_BCM,ECM_Fuel,TCU,MPC,ADS,MRR,BSMCL,BSMCR,APA</x:v>
      </x:c>
      <x:c r="D111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0" s="144" t="str">
        <x:v>M2</x:v>
      </x:c>
      <x:c r="F1110" s="144" t="str">
        <x:v>Signal 级可编辑配置、数据类型/缩放/端序合同、RTE 接口、边界值与 round-trip 测试。</x:v>
      </x:c>
      <x:c r="G1110" s="144" t="str">
        <x:v>raw=0、raw=max、物理 min/max、越界/保留值、端序字节向量、pack→unpack round-trip；1457/1457 通过。</x:v>
      </x:c>
      <x:c r="H1110" s="144" t="str">
        <x:v>coem/BYD_UKE/gen_bsw/Com/Com_PBcfg.c:52762; BoschOversea_StandardCANFD_commplatform_RCR_CAN_Matrix_V4.18.2_20251104.dbc:187</x:v>
      </x:c>
    </x:row>
    <x:row r="1111" ht="72" customHeight="1">
      <x:c r="A1111" s="144" t="str">
        <x:v>Com-Signal</x:v>
      </x:c>
      <x:c r="B1111" s="144" t="str">
        <x:v>COM-SIG-Rx-0199 / IPB_AX_S</x:v>
      </x:c>
      <x:c r="C1111" s="144" t="str">
        <x:v>PDU=IPB_0x223; startBit=0; length=12; byteOrder=Little; type=UINT16; factor=0.027126736; offset=-21.593; min=-21.593; max=21.593; unit=m/s??; receivers=Left_BCM_L1,Left_BCM_L2_L3,Left_BCM_L4,Rear_BCM,Media,ECM_Fuel,TCU,SRS,MPC,ADS,MRR,BSMCL,BSMCR,APA</x:v>
      </x:c>
      <x:c r="D111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1" s="144" t="str">
        <x:v>M2</x:v>
      </x:c>
      <x:c r="F1111" s="144" t="str">
        <x:v>Signal 级可编辑配置、数据类型/缩放/端序合同、RTE 接口、边界值与 round-trip 测试。</x:v>
      </x:c>
      <x:c r="G1111" s="144" t="str">
        <x:v>raw=0、raw=max、物理 min/max、越界/保留值、端序字节向量、pack→unpack round-trip；1457/1457 通过。</x:v>
      </x:c>
      <x:c r="H1111" s="144" t="str">
        <x:v>coem/BYD_UKE/gen_bsw/Com/Com_PBcfg.c:52822; BoschOversea_StandardCANFD_commplatform_RCR_CAN_Matrix_V4.18.2_20251104.dbc:180</x:v>
      </x:c>
    </x:row>
    <x:row r="1112" ht="72" customHeight="1">
      <x:c r="A1112" s="144" t="str">
        <x:v>Com-Signal</x:v>
      </x:c>
      <x:c r="B1112" s="144" t="str">
        <x:v>COM-SIG-Rx-0200 / IPB_AX_Status_S</x:v>
      </x:c>
      <x:c r="C1112" s="144" t="str">
        <x:v>PDU=IPB_0x223; startBit=55; length=1; byteOrder=Little; type=UINT8; factor=1; offset=0; min=0; max=1; unit=-; receivers=Rear_BCM,Media,ECM_Fuel,TCU,SRS,MPC,ADS,MRR,BSMCL,BSMCR,APA</x:v>
      </x:c>
      <x:c r="D111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2" s="144" t="str">
        <x:v>M2</x:v>
      </x:c>
      <x:c r="F1112" s="144" t="str">
        <x:v>Signal 级可编辑配置、数据类型/缩放/端序合同、RTE 接口、边界值与 round-trip 测试。</x:v>
      </x:c>
      <x:c r="G1112" s="144" t="str">
        <x:v>raw=0、raw=max、物理 min/max、越界/保留值、端序字节向量、pack→unpack round-trip；1457/1457 通过。</x:v>
      </x:c>
      <x:c r="H1112" s="144" t="str">
        <x:v>coem/BYD_UKE/gen_bsw/Com/Com_PBcfg.c:52882; BoschOversea_StandardCANFD_commplatform_RCR_CAN_Matrix_V4.18.2_20251104.dbc:186</x:v>
      </x:c>
    </x:row>
    <x:row r="1113" ht="72" customHeight="1">
      <x:c r="A1113" s="144" t="str">
        <x:v>Com-Signal</x:v>
      </x:c>
      <x:c r="B1113" s="144" t="str">
        <x:v>COM-SIG-Rx-0201 / IPB_AX_offset_S</x:v>
      </x:c>
      <x:c r="C1113" s="144" t="str">
        <x:v>PDU=IPB_0x223; startBit=12; length=12; byteOrder=Little; type=UINT16; factor=0.027126736; offset=-21.593; min=-21.593; max=21.593; unit=m/s??; receivers=Left_BCM_L1,Left_BCM_L2_L3,Left_BCM_L4,Rear_BCM,Media,ECM_Fuel,TCU,MPC,ADS,MRR,BSMCL,BSMCR,APA</x:v>
      </x:c>
      <x:c r="D11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3" s="144" t="str">
        <x:v>M2</x:v>
      </x:c>
      <x:c r="F1113" s="144" t="str">
        <x:v>Signal 级可编辑配置、数据类型/缩放/端序合同、RTE 接口、边界值与 round-trip 测试。</x:v>
      </x:c>
      <x:c r="G1113" s="144" t="str">
        <x:v>raw=0、raw=max、物理 min/max、越界/保留值、端序字节向量、pack→unpack round-trip；1457/1457 通过。</x:v>
      </x:c>
      <x:c r="H1113" s="144" t="str">
        <x:v>coem/BYD_UKE/gen_bsw/Com/Com_PBcfg.c:52942; BoschOversea_StandardCANFD_commplatform_RCR_CAN_Matrix_V4.18.2_20251104.dbc:181</x:v>
      </x:c>
    </x:row>
    <x:row r="1114" ht="72" customHeight="1">
      <x:c r="A1114" s="144" t="str">
        <x:v>Com-Signal</x:v>
      </x:c>
      <x:c r="B1114" s="144" t="str">
        <x:v>COM-SIG-Rx-0202 / IPB_AY_Offset_S</x:v>
      </x:c>
      <x:c r="C1114" s="144" t="str">
        <x:v>PDU=IPB_0x223; startBit=36; length=12; byteOrder=Little; type=UINT16; factor=0.027126736; offset=-21.593; min=-21.593; max=21.593; unit=m/s??; receivers=Rear_BCM,Media,ECM_Fuel,MPC,ADS,MRR,BSMCL,BSMCR,APA</x:v>
      </x:c>
      <x:c r="D11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4" s="144" t="str">
        <x:v>M2</x:v>
      </x:c>
      <x:c r="F1114" s="144" t="str">
        <x:v>Signal 级可编辑配置、数据类型/缩放/端序合同、RTE 接口、边界值与 round-trip 测试。</x:v>
      </x:c>
      <x:c r="G1114" s="144" t="str">
        <x:v>raw=0、raw=max、物理 min/max、越界/保留值、端序字节向量、pack→unpack round-trip；1457/1457 通过。</x:v>
      </x:c>
      <x:c r="H1114" s="144" t="str">
        <x:v>coem/BYD_UKE/gen_bsw/Com/Com_PBcfg.c:53002; BoschOversea_StandardCANFD_commplatform_RCR_CAN_Matrix_V4.18.2_20251104.dbc:183</x:v>
      </x:c>
    </x:row>
    <x:row r="1115" ht="72" customHeight="1">
      <x:c r="A1115" s="144" t="str">
        <x:v>Com-Signal</x:v>
      </x:c>
      <x:c r="B1115" s="144" t="str">
        <x:v>COM-SIG-Rx-0203 / IPB_AY_S</x:v>
      </x:c>
      <x:c r="C1115" s="144" t="str">
        <x:v>PDU=IPB_0x223; startBit=24; length=12; byteOrder=Little; type=UINT16; factor=0.027126736; offset=-21.593; min=-21.593; max=21.593; unit=m/s??; receivers=Rear_BCM,Media,ECM_Fuel,SRS,MPC,ADS,MRR,BSMCL,BSMCR,APA</x:v>
      </x:c>
      <x:c r="D11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5" s="144" t="str">
        <x:v>M2</x:v>
      </x:c>
      <x:c r="F1115" s="144" t="str">
        <x:v>Signal 级可编辑配置、数据类型/缩放/端序合同、RTE 接口、边界值与 round-trip 测试。</x:v>
      </x:c>
      <x:c r="G1115" s="144" t="str">
        <x:v>raw=0、raw=max、物理 min/max、越界/保留值、端序字节向量、pack→unpack round-trip；1457/1457 通过。</x:v>
      </x:c>
      <x:c r="H1115" s="144" t="str">
        <x:v>coem/BYD_UKE/gen_bsw/Com/Com_PBcfg.c:53062; BoschOversea_StandardCANFD_commplatform_RCR_CAN_Matrix_V4.18.2_20251104.dbc:182</x:v>
      </x:c>
    </x:row>
    <x:row r="1116" ht="72" customHeight="1">
      <x:c r="A1116" s="144" t="str">
        <x:v>Com-Signal</x:v>
      </x:c>
      <x:c r="B1116" s="144" t="str">
        <x:v>COM-SIG-Rx-0204 / IPB_AY_Status_S</x:v>
      </x:c>
      <x:c r="C1116" s="144" t="str">
        <x:v>PDU=IPB_0x223; startBit=54; length=1; byteOrder=Little; type=UINT8; factor=1; offset=0; min=0; max=1; unit=-; receivers=Rear_BCM,Media,ECM_Fuel,SRS,MPC,ADS,MRR,BSMCL,BSMCR,APA</x:v>
      </x:c>
      <x:c r="D111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6" s="144" t="str">
        <x:v>M2</x:v>
      </x:c>
      <x:c r="F1116" s="144" t="str">
        <x:v>Signal 级可编辑配置、数据类型/缩放/端序合同、RTE 接口、边界值与 round-trip 测试。</x:v>
      </x:c>
      <x:c r="G1116" s="144" t="str">
        <x:v>raw=0、raw=max、物理 min/max、越界/保留值、端序字节向量、pack→unpack round-trip；1457/1457 通过。</x:v>
      </x:c>
      <x:c r="H1116" s="144" t="str">
        <x:v>coem/BYD_UKE/gen_bsw/Com/Com_PBcfg.c:53122; BoschOversea_StandardCANFD_commplatform_RCR_CAN_Matrix_V4.18.2_20251104.dbc:185</x:v>
      </x:c>
    </x:row>
    <x:row r="1117" ht="72" customHeight="1">
      <x:c r="A1117" s="144" t="str">
        <x:v>Com-Signal</x:v>
      </x:c>
      <x:c r="B1117" s="144" t="str">
        <x:v>COM-SIG-Rx-0205 / Message_Counter223_S</x:v>
      </x:c>
      <x:c r="C1117" s="144" t="str">
        <x:v>PDU=IPB_0x223; startBit=48; length=4; byteOrder=Little; type=UINT8; factor=1; offset=0; min=0; max=15; unit=-; receivers=Rear_BCM,ECM_Fuel,MPC,ADS,MRR,BSMCL,BSMCR,APA</x:v>
      </x:c>
      <x:c r="D111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7" s="144" t="str">
        <x:v>M2</x:v>
      </x:c>
      <x:c r="F1117" s="144" t="str">
        <x:v>Signal 级可编辑配置、数据类型/缩放/端序合同、RTE 接口、边界值与 round-trip 测试。</x:v>
      </x:c>
      <x:c r="G1117" s="144" t="str">
        <x:v>raw=0、raw=max、物理 min/max、越界/保留值、端序字节向量、pack→unpack round-trip；1457/1457 通过。</x:v>
      </x:c>
      <x:c r="H1117" s="144" t="str">
        <x:v>coem/BYD_UKE/gen_bsw/Com/Com_PBcfg.c:53182; BoschOversea_StandardCANFD_commplatform_RCR_CAN_Matrix_V4.18.2_20251104.dbc:184</x:v>
      </x:c>
    </x:row>
    <x:row r="1118" ht="72" customHeight="1">
      <x:c r="A1118" s="144" t="str">
        <x:v>Com-Signal</x:v>
      </x:c>
      <x:c r="B1118" s="144" t="str">
        <x:v>COM-SIG-Rx-0206 / RCTB_Available</x:v>
      </x:c>
      <x:c r="C1118" s="144" t="str">
        <x:v>PDU=IPB_0x322; startBit=44; length=1; byteOrder=Little; type=UINT8; factor=1; offset=0; min=0; max=1; unit=-; receivers=BSMCL,BSMCR</x:v>
      </x:c>
      <x:c r="D11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8" s="144" t="str">
        <x:v>M2</x:v>
      </x:c>
      <x:c r="F1118" s="144" t="str">
        <x:v>Signal 级可编辑配置、数据类型/缩放/端序合同、RTE 接口、边界值与 round-trip 测试。</x:v>
      </x:c>
      <x:c r="G1118" s="144" t="str">
        <x:v>raw=0、raw=max、物理 min/max、越界/保留值、端序字节向量、pack→unpack round-trip；1457/1457 通过。</x:v>
      </x:c>
      <x:c r="H1118" s="144" t="str">
        <x:v>coem/BYD_UKE/gen_bsw/Com/Com_PBcfg.c:53242; BoschOversea_StandardCANFD_commplatform_RCR_CAN_Matrix_V4.18.2_20251104.dbc:373</x:v>
      </x:c>
    </x:row>
    <x:row r="1119" ht="72" customHeight="1">
      <x:c r="A1119" s="144" t="str">
        <x:v>Com-Signal</x:v>
      </x:c>
      <x:c r="B1119" s="144" t="str">
        <x:v>COM-SIG-Rx-0207 / RCTB_active</x:v>
      </x:c>
      <x:c r="C1119" s="144" t="str">
        <x:v>PDU=IPB_0x322; startBit=43; length=1; byteOrder=Little; type=UINT8; factor=1; offset=0; min=0; max=1; unit=-; receivers=BSMCL,BSMCR</x:v>
      </x:c>
      <x:c r="D11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19" s="144" t="str">
        <x:v>M2</x:v>
      </x:c>
      <x:c r="F1119" s="144" t="str">
        <x:v>Signal 级可编辑配置、数据类型/缩放/端序合同、RTE 接口、边界值与 round-trip 测试。</x:v>
      </x:c>
      <x:c r="G1119" s="144" t="str">
        <x:v>raw=0、raw=max、物理 min/max、越界/保留值、端序字节向量、pack→unpack round-trip；1457/1457 通过。</x:v>
      </x:c>
      <x:c r="H1119" s="144" t="str">
        <x:v>coem/BYD_UKE/gen_bsw/Com/Com_PBcfg.c:53302; BoschOversea_StandardCANFD_commplatform_RCR_CAN_Matrix_V4.18.2_20251104.dbc:372</x:v>
      </x:c>
    </x:row>
    <x:row r="1120" ht="72" customHeight="1">
      <x:c r="A1120" s="144" t="str">
        <x:v>Com-Signal</x:v>
      </x:c>
      <x:c r="B1120" s="144" t="str">
        <x:v>COM-SIG-Rx-0208 / Medium_Checksum_49A_S</x:v>
      </x:c>
      <x:c r="C1120" s="144" t="str">
        <x:v>PDU=LTE4G_0x49A; startBit=56; length=8; byteOrder=Little; type=UINT8; factor=1; offset=0; min=0; max=255; unit=-; receivers=Left_BCM_L1,Left_BCM_L2_L3,Left_BCM_L4,VCU,FMCU,RMCU,BSG,IPB,MPC,ADS,MRR,BSMCL,BSMCR,FCR,APA</x:v>
      </x:c>
      <x:c r="D11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0" s="144" t="str">
        <x:v>M2</x:v>
      </x:c>
      <x:c r="F1120" s="144" t="str">
        <x:v>Signal 级可编辑配置、数据类型/缩放/端序合同、RTE 接口、边界值与 round-trip 测试。</x:v>
      </x:c>
      <x:c r="G1120" s="144" t="str">
        <x:v>raw=0、raw=max、物理 min/max、越界/保留值、端序字节向量、pack→unpack round-trip；1457/1457 通过。</x:v>
      </x:c>
      <x:c r="H1120" s="144" t="str">
        <x:v>coem/BYD_UKE/gen_bsw/Com/Com_PBcfg.c:53362; BoschOversea_StandardCANFD_commplatform_RCR_CAN_Matrix_V4.18.2_20251104.dbc:346</x:v>
      </x:c>
    </x:row>
    <x:row r="1121" ht="72" customHeight="1">
      <x:c r="A1121" s="144" t="str">
        <x:v>Com-Signal</x:v>
      </x:c>
      <x:c r="B1121" s="144" t="str">
        <x:v>COM-SIG-Rx-0209 / Medium_Enter_OTA_Mode_Req_S</x:v>
      </x:c>
      <x:c r="C1121" s="144" t="str">
        <x:v>PDU=LTE4G_0x49A; startBit=4; length=1; byteOrder=Little; type=UINT8; factor=1; offset=0; min=0; max=1; unit=-; receivers=Left_BCM_L1,Left_BCM_L2_L3,Left_BCM_L4,Right_BCM,Rear_BCM,SWS,AVAS,PSDL,PSDR,PM25,ALS,PAL,FPTC,LBMS,SCPA,SCU,ECM,VCU,BMS,DCOBC,BDC,ISG,MPC,ADS,MRR,BSMCL,BSMCR,FCR,APA</x:v>
      </x:c>
      <x:c r="D11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1" s="144" t="str">
        <x:v>M2</x:v>
      </x:c>
      <x:c r="F1121" s="144" t="str">
        <x:v>Signal 级可编辑配置、数据类型/缩放/端序合同、RTE 接口、边界值与 round-trip 测试。</x:v>
      </x:c>
      <x:c r="G1121" s="144" t="str">
        <x:v>raw=0、raw=max、物理 min/max、越界/保留值、端序字节向量、pack→unpack round-trip；1457/1457 通过。</x:v>
      </x:c>
      <x:c r="H1121" s="144" t="str">
        <x:v>coem/BYD_UKE/gen_bsw/Com/Com_PBcfg.c:53422; BoschOversea_StandardCANFD_commplatform_RCR_CAN_Matrix_V4.18.2_20251104.dbc:345</x:v>
      </x:c>
    </x:row>
    <x:row r="1122" ht="72" customHeight="1">
      <x:c r="A1122" s="144" t="str">
        <x:v>Com-Signal</x:v>
      </x:c>
      <x:c r="B1122" s="144" t="str">
        <x:v>COM-SIG-Rx-0210 / BCMPower_Gear_12D_S</x:v>
      </x:c>
      <x:c r="C1122" s="144" t="str">
        <x:v>PDU=Left_BCM_0x12D; startBit=34; length=3; byteOrder=Little; type=UINT8; factor=1; offset=0; min=0; max=7; unit=-; receivers=Right_BCM,Rear_BCM,Media,LTE4G,CS,SWS,WCM,RRSE,LRSE,PSDL,PSDR,IRM,BD,ALS,PAL,LBMS,SCPA,SCU,ECM_Fuel,VCU,BMS,DCOBC,TCU,MPC,ADS,BSMCL,BSMCR,APA,FLL,FLR</x:v>
      </x:c>
      <x:c r="D11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2" s="144" t="str">
        <x:v>M2</x:v>
      </x:c>
      <x:c r="F1122" s="144" t="str">
        <x:v>Signal 级可编辑配置、数据类型/缩放/端序合同、RTE 接口、边界值与 round-trip 测试。</x:v>
      </x:c>
      <x:c r="G1122" s="144" t="str">
        <x:v>raw=0、raw=max、物理 min/max、越界/保留值、端序字节向量、pack→unpack round-trip；1457/1457 通过。</x:v>
      </x:c>
      <x:c r="H1122" s="144" t="str">
        <x:v>coem/BYD_UKE/gen_bsw/Com/Com_PBcfg.c:53482; BoschOversea_StandardCANFD_commplatform_RCR_CAN_Matrix_V4.18.2_20251104.dbc:67</x:v>
      </x:c>
    </x:row>
    <x:row r="1123" ht="72" customHeight="1">
      <x:c r="A1123" s="144" t="str">
        <x:v>Com-Signal</x:v>
      </x:c>
      <x:c r="B1123" s="144" t="str">
        <x:v>COM-SIG-Rx-0211 / Vehicle_Status_Security_S</x:v>
      </x:c>
      <x:c r="C1123" s="144" t="str">
        <x:v>PDU=Left_BCM_0x12D; startBit=37; length=3; byteOrder=Little; type=UINT8; factor=1; offset=0; min=0; max=7; unit=-; receivers=Right_BCM,Rear_BCM,Media,LTE4G,CS,SWS,BD,LBMS,SCPA,ADS,BSMCL,BSMCR,FLL,FLR</x:v>
      </x:c>
      <x:c r="D11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3" s="144" t="str">
        <x:v>M2</x:v>
      </x:c>
      <x:c r="F1123" s="144" t="str">
        <x:v>Signal 级可编辑配置、数据类型/缩放/端序合同、RTE 接口、边界值与 round-trip 测试。</x:v>
      </x:c>
      <x:c r="G1123" s="144" t="str">
        <x:v>raw=0、raw=max、物理 min/max、越界/保留值、端序字节向量、pack→unpack round-trip；1457/1457 通过。</x:v>
      </x:c>
      <x:c r="H1123" s="144" t="str">
        <x:v>coem/BYD_UKE/gen_bsw/Com/Com_PBcfg.c:53542; BoschOversea_StandardCANFD_commplatform_RCR_CAN_Matrix_V4.18.2_20251104.dbc:68</x:v>
      </x:c>
    </x:row>
    <x:row r="1124" ht="72" customHeight="1">
      <x:c r="A1124" s="144" t="str">
        <x:v>Com-Signal</x:v>
      </x:c>
      <x:c r="B1124" s="144" t="str">
        <x:v>COM-SIG-Rx-0212 / Back_Door_Status_294_S</x:v>
      </x:c>
      <x:c r="C1124" s="144" t="str">
        <x:v>PDU=Left_BCM_0x294; startBit=18; length=2; byteOrder=Little; type=UINT8; factor=1; offset=0; min=0; max=1; unit=-; receivers=BSMCR</x:v>
      </x:c>
      <x:c r="D11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4" s="144" t="str">
        <x:v>M2</x:v>
      </x:c>
      <x:c r="F1124" s="144" t="str">
        <x:v>Signal 级可编辑配置、数据类型/缩放/端序合同、RTE 接口、边界值与 round-trip 测试。</x:v>
      </x:c>
      <x:c r="G1124" s="144" t="str">
        <x:v>raw=0、raw=max、物理 min/max、越界/保留值、端序字节向量、pack→unpack round-trip；1457/1457 通过。</x:v>
      </x:c>
      <x:c r="H1124" s="144" t="str">
        <x:v>coem/BYD_UKE/gen_bsw/Com/Com_PBcfg.c:53602; BoschOversea_StandardCANFD_commplatform_RCR_CAN_Matrix_V4.18.2_20251104.dbc:42</x:v>
      </x:c>
    </x:row>
    <x:row r="1125" ht="72" customHeight="1">
      <x:c r="A1125" s="144" t="str">
        <x:v>Com-Signal</x:v>
      </x:c>
      <x:c r="B1125" s="144" t="str">
        <x:v>COM-SIG-Rx-0213 / Back_Door_Sts_Effectiv_Bit_294_S</x:v>
      </x:c>
      <x:c r="C1125" s="144" t="str">
        <x:v>PDU=Left_BCM_0x294; startBit=13; length=1; byteOrder=Little; type=UINT8; factor=1; offset=0; min=0; max=1; unit=-; receivers=BSMCR</x:v>
      </x:c>
      <x:c r="D11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5" s="144" t="str">
        <x:v>M2</x:v>
      </x:c>
      <x:c r="F1125" s="144" t="str">
        <x:v>Signal 级可编辑配置、数据类型/缩放/端序合同、RTE 接口、边界值与 round-trip 测试。</x:v>
      </x:c>
      <x:c r="G1125" s="144" t="str">
        <x:v>raw=0、raw=max、物理 min/max、越界/保留值、端序字节向量、pack→unpack round-trip；1457/1457 通过。</x:v>
      </x:c>
      <x:c r="H1125" s="144" t="str">
        <x:v>coem/BYD_UKE/gen_bsw/Com/Com_PBcfg.c:53662; BoschOversea_StandardCANFD_commplatform_RCR_CAN_Matrix_V4.18.2_20251104.dbc:46</x:v>
      </x:c>
    </x:row>
    <x:row r="1126" ht="72" customHeight="1">
      <x:c r="A1126" s="144" t="str">
        <x:v>Com-Signal</x:v>
      </x:c>
      <x:c r="B1126" s="144" t="str">
        <x:v>COM-SIG-Rx-0214 / Checksum_294_S</x:v>
      </x:c>
      <x:c r="C1126" s="144" t="str">
        <x:v>PDU=Left_BCM_0x294; startBit=56; length=8; byteOrder=Little; type=UINT8; factor=1; offset=0; min=0; max=255; unit=-; receivers=IPB,MPC,ADS,MRR,BSMCL,BSMCR,APA</x:v>
      </x:c>
      <x:c r="D11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6" s="144" t="str">
        <x:v>M2</x:v>
      </x:c>
      <x:c r="F1126" s="144" t="str">
        <x:v>Signal 级可编辑配置、数据类型/缩放/端序合同、RTE 接口、边界值与 round-trip 测试。</x:v>
      </x:c>
      <x:c r="G1126" s="144" t="str">
        <x:v>raw=0、raw=max、物理 min/max、越界/保留值、端序字节向量、pack→unpack round-trip；1457/1457 通过。</x:v>
      </x:c>
      <x:c r="H1126" s="144" t="str">
        <x:v>coem/BYD_UKE/gen_bsw/Com/Com_PBcfg.c:53722; BoschOversea_StandardCANFD_commplatform_RCR_CAN_Matrix_V4.18.2_20251104.dbc:57</x:v>
      </x:c>
    </x:row>
    <x:row r="1127" ht="72" customHeight="1">
      <x:c r="A1127" s="144" t="str">
        <x:v>Com-Signal</x:v>
      </x:c>
      <x:c r="B1127" s="144" t="str">
        <x:v>COM-SIG-Rx-0215 / Driver_Belt_Stat_Effective_Bit_S</x:v>
      </x:c>
      <x:c r="C1127" s="144" t="str">
        <x:v>PDU=Left_BCM_0x294; startBit=12; length=1; byteOrder=Little; type=UINT8; factor=1; offset=0; min=0; max=1; unit=-; receivers=BSMCR</x:v>
      </x:c>
      <x:c r="D11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7" s="144" t="str">
        <x:v>M2</x:v>
      </x:c>
      <x:c r="F1127" s="144" t="str">
        <x:v>Signal 级可编辑配置、数据类型/缩放/端序合同、RTE 接口、边界值与 round-trip 测试。</x:v>
      </x:c>
      <x:c r="G1127" s="144" t="str">
        <x:v>raw=0、raw=max、物理 min/max、越界/保留值、端序字节向量、pack→unpack round-trip；1457/1457 通过。</x:v>
      </x:c>
      <x:c r="H1127" s="144" t="str">
        <x:v>coem/BYD_UKE/gen_bsw/Com/Com_PBcfg.c:53782; BoschOversea_StandardCANFD_commplatform_RCR_CAN_Matrix_V4.18.2_20251104.dbc:47</x:v>
      </x:c>
    </x:row>
    <x:row r="1128" ht="72" customHeight="1">
      <x:c r="A1128" s="144" t="str">
        <x:v>Com-Signal</x:v>
      </x:c>
      <x:c r="B1128" s="144" t="str">
        <x:v>COM-SIG-Rx-0216 / Driver_Belt_Status_S</x:v>
      </x:c>
      <x:c r="C1128" s="144" t="str">
        <x:v>PDU=Left_BCM_0x294; startBit=16; length=2; byteOrder=Little; type=UINT8; factor=1; offset=0; min=0; max=1; unit=-; receivers=BSMCR</x:v>
      </x:c>
      <x:c r="D11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8" s="144" t="str">
        <x:v>M2</x:v>
      </x:c>
      <x:c r="F1128" s="144" t="str">
        <x:v>Signal 级可编辑配置、数据类型/缩放/端序合同、RTE 接口、边界值与 round-trip 测试。</x:v>
      </x:c>
      <x:c r="G1128" s="144" t="str">
        <x:v>raw=0、raw=max、物理 min/max、越界/保留值、端序字节向量、pack→unpack round-trip；1457/1457 通过。</x:v>
      </x:c>
      <x:c r="H1128" s="144" t="str">
        <x:v>coem/BYD_UKE/gen_bsw/Com/Com_PBcfg.c:53842; BoschOversea_StandardCANFD_commplatform_RCR_CAN_Matrix_V4.18.2_20251104.dbc:43</x:v>
      </x:c>
    </x:row>
    <x:row r="1129" ht="72" customHeight="1">
      <x:c r="A1129" s="144" t="str">
        <x:v>Com-Signal</x:v>
      </x:c>
      <x:c r="B1129" s="144" t="str">
        <x:v>COM-SIG-Rx-0217 / Emergency_Alarm_Effective_Bit_S</x:v>
      </x:c>
      <x:c r="C1129" s="144" t="str">
        <x:v>PDU=Left_BCM_0x294; startBit=15; length=1; byteOrder=Little; type=UINT8; factor=1; offset=0; min=0; max=1; unit=-; receivers=BSMCR</x:v>
      </x:c>
      <x:c r="D11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29" s="144" t="str">
        <x:v>M2</x:v>
      </x:c>
      <x:c r="F1129" s="144" t="str">
        <x:v>Signal 级可编辑配置、数据类型/缩放/端序合同、RTE 接口、边界值与 round-trip 测试。</x:v>
      </x:c>
      <x:c r="G1129" s="144" t="str">
        <x:v>raw=0、raw=max、物理 min/max、越界/保留值、端序字节向量、pack→unpack round-trip；1457/1457 通过。</x:v>
      </x:c>
      <x:c r="H1129" s="144" t="str">
        <x:v>coem/BYD_UKE/gen_bsw/Com/Com_PBcfg.c:53902; BoschOversea_StandardCANFD_commplatform_RCR_CAN_Matrix_V4.18.2_20251104.dbc:44</x:v>
      </x:c>
    </x:row>
    <x:row r="1130" ht="72" customHeight="1">
      <x:c r="A1130" s="144" t="str">
        <x:v>Com-Signal</x:v>
      </x:c>
      <x:c r="B1130" s="144" t="str">
        <x:v>COM-SIG-Rx-0218 / Emergency_Alarm_Status_S</x:v>
      </x:c>
      <x:c r="C1130" s="144" t="str">
        <x:v>PDU=Left_BCM_0x294; startBit=22; length=2; byteOrder=Little; type=UINT8; factor=1; offset=0; min=0; max=1; unit=-; receivers=BSMCR</x:v>
      </x:c>
      <x:c r="D11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0" s="144" t="str">
        <x:v>M2</x:v>
      </x:c>
      <x:c r="F1130" s="144" t="str">
        <x:v>Signal 级可编辑配置、数据类型/缩放/端序合同、RTE 接口、边界值与 round-trip 测试。</x:v>
      </x:c>
      <x:c r="G1130" s="144" t="str">
        <x:v>raw=0、raw=max、物理 min/max、越界/保留值、端序字节向量、pack→unpack round-trip；1457/1457 通过。</x:v>
      </x:c>
      <x:c r="H1130" s="144" t="str">
        <x:v>coem/BYD_UKE/gen_bsw/Com/Com_PBcfg.c:53962; BoschOversea_StandardCANFD_commplatform_RCR_CAN_Matrix_V4.18.2_20251104.dbc:40</x:v>
      </x:c>
    </x:row>
    <x:row r="1131" ht="72" customHeight="1">
      <x:c r="A1131" s="144" t="str">
        <x:v>Com-Signal</x:v>
      </x:c>
      <x:c r="B1131" s="144" t="str">
        <x:v>COM-SIG-Rx-0219 / Former_Hatch_Status_294_S</x:v>
      </x:c>
      <x:c r="C1131" s="144" t="str">
        <x:v>PDU=Left_BCM_0x294; startBit=20; length=2; byteOrder=Little; type=UINT8; factor=1; offset=0; min=0; max=1; unit=-; receivers=BSMCR</x:v>
      </x:c>
      <x:c r="D11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1" s="144" t="str">
        <x:v>M2</x:v>
      </x:c>
      <x:c r="F1131" s="144" t="str">
        <x:v>Signal 级可编辑配置、数据类型/缩放/端序合同、RTE 接口、边界值与 round-trip 测试。</x:v>
      </x:c>
      <x:c r="G1131" s="144" t="str">
        <x:v>raw=0、raw=max、物理 min/max、越界/保留值、端序字节向量、pack→unpack round-trip；1457/1457 通过。</x:v>
      </x:c>
      <x:c r="H1131" s="144" t="str">
        <x:v>coem/BYD_UKE/gen_bsw/Com/Com_PBcfg.c:54022; BoschOversea_StandardCANFD_commplatform_RCR_CAN_Matrix_V4.18.2_20251104.dbc:41</x:v>
      </x:c>
    </x:row>
    <x:row r="1132" ht="72" customHeight="1">
      <x:c r="A1132" s="144" t="str">
        <x:v>Com-Signal</x:v>
      </x:c>
      <x:c r="B1132" s="144" t="str">
        <x:v>COM-SIG-Rx-0220 / Frnt_Hatch_Stat_Effective_Bit_S</x:v>
      </x:c>
      <x:c r="C1132" s="144" t="str">
        <x:v>PDU=Left_BCM_0x294; startBit=14; length=1; byteOrder=Little; type=UINT8; factor=1; offset=0; min=0; max=1; unit=-; receivers=BSMCR</x:v>
      </x:c>
      <x:c r="D11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2" s="144" t="str">
        <x:v>M2</x:v>
      </x:c>
      <x:c r="F1132" s="144" t="str">
        <x:v>Signal 级可编辑配置、数据类型/缩放/端序合同、RTE 接口、边界值与 round-trip 测试。</x:v>
      </x:c>
      <x:c r="G1132" s="144" t="str">
        <x:v>raw=0、raw=max、物理 min/max、越界/保留值、端序字节向量、pack→unpack round-trip；1457/1457 通过。</x:v>
      </x:c>
      <x:c r="H1132" s="144" t="str">
        <x:v>coem/BYD_UKE/gen_bsw/Com/Com_PBcfg.c:54082; BoschOversea_StandardCANFD_commplatform_RCR_CAN_Matrix_V4.18.2_20251104.dbc:45</x:v>
      </x:c>
    </x:row>
    <x:row r="1133" ht="72" customHeight="1">
      <x:c r="A1133" s="144" t="str">
        <x:v>Com-Signal</x:v>
      </x:c>
      <x:c r="B1133" s="144" t="str">
        <x:v>COM-SIG-Rx-0221 / LeftF_Door_Stats_Valid_Bit_S</x:v>
      </x:c>
      <x:c r="C1133" s="144" t="str">
        <x:v>PDU=Left_BCM_0x294; startBit=8; length=1; byteOrder=Little; type=UINT8; factor=1; offset=0; min=0; max=1; unit=-; receivers=Media,LTE4G,IPB,MPC,ADS,MRR,BSMCL,BSMCR,APA</x:v>
      </x:c>
      <x:c r="D11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3" s="144" t="str">
        <x:v>M2</x:v>
      </x:c>
      <x:c r="F1133" s="144" t="str">
        <x:v>Signal 级可编辑配置、数据类型/缩放/端序合同、RTE 接口、边界值与 round-trip 测试。</x:v>
      </x:c>
      <x:c r="G1133" s="144" t="str">
        <x:v>raw=0、raw=max、物理 min/max、越界/保留值、端序字节向量、pack→unpack round-trip；1457/1457 通过。</x:v>
      </x:c>
      <x:c r="H1133" s="144" t="str">
        <x:v>coem/BYD_UKE/gen_bsw/Com/Com_PBcfg.c:54142; BoschOversea_StandardCANFD_commplatform_RCR_CAN_Matrix_V4.18.2_20251104.dbc:52</x:v>
      </x:c>
    </x:row>
    <x:row r="1134" ht="72" customHeight="1">
      <x:c r="A1134" s="144" t="str">
        <x:v>Com-Signal</x:v>
      </x:c>
      <x:c r="B1134" s="144" t="str">
        <x:v>COM-SIG-Rx-0222 / LeftR_Door_Stats_Valid_Bit_S</x:v>
      </x:c>
      <x:c r="C1134" s="144" t="str">
        <x:v>PDU=Left_BCM_0x294; startBit=10; length=1; byteOrder=Little; type=UINT8; factor=1; offset=0; min=0; max=1; unit=-; receivers=Media,LTE4G,MPC,ADS,MRR,BSMCL,BSMCR,APA</x:v>
      </x:c>
      <x:c r="D11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4" s="144" t="str">
        <x:v>M2</x:v>
      </x:c>
      <x:c r="F1134" s="144" t="str">
        <x:v>Signal 级可编辑配置、数据类型/缩放/端序合同、RTE 接口、边界值与 round-trip 测试。</x:v>
      </x:c>
      <x:c r="G1134" s="144" t="str">
        <x:v>raw=0、raw=max、物理 min/max、越界/保留值、端序字节向量、pack→unpack round-trip；1457/1457 通过。</x:v>
      </x:c>
      <x:c r="H1134" s="144" t="str">
        <x:v>coem/BYD_UKE/gen_bsw/Com/Com_PBcfg.c:54202; BoschOversea_StandardCANFD_commplatform_RCR_CAN_Matrix_V4.18.2_20251104.dbc:54</x:v>
      </x:c>
    </x:row>
    <x:row r="1135" ht="72" customHeight="1">
      <x:c r="A1135" s="144" t="str">
        <x:v>Com-Signal</x:v>
      </x:c>
      <x:c r="B1135" s="144" t="str">
        <x:v>COM-SIG-Rx-0223 / Left_Back_Door_Status_294_S</x:v>
      </x:c>
      <x:c r="C1135" s="144" t="str">
        <x:v>PDU=Left_BCM_0x294; startBit=4; length=2; byteOrder=Little; type=UINT8; factor=1; offset=0; min=0; max=3; unit=-; receivers=Right_BCM,Rear_BCM,Media,LTE4G,CS,PM25,SCPA,ECM_Fuel,DCOBC,MPC,ADS,MRR,BSMCL,BSMCR,APA,FLL</x:v>
      </x:c>
      <x:c r="D11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5" s="144" t="str">
        <x:v>M2</x:v>
      </x:c>
      <x:c r="F1135" s="144" t="str">
        <x:v>Signal 级可编辑配置、数据类型/缩放/端序合同、RTE 接口、边界值与 round-trip 测试。</x:v>
      </x:c>
      <x:c r="G1135" s="144" t="str">
        <x:v>raw=0、raw=max、物理 min/max、越界/保留值、端序字节向量、pack→unpack round-trip；1457/1457 通过。</x:v>
      </x:c>
      <x:c r="H1135" s="144" t="str">
        <x:v>coem/BYD_UKE/gen_bsw/Com/Com_PBcfg.c:54262; BoschOversea_StandardCANFD_commplatform_RCR_CAN_Matrix_V4.18.2_20251104.dbc:50</x:v>
      </x:c>
    </x:row>
    <x:row r="1136" ht="72" customHeight="1">
      <x:c r="A1136" s="144" t="str">
        <x:v>Com-Signal</x:v>
      </x:c>
      <x:c r="B1136" s="144" t="str">
        <x:v>COM-SIG-Rx-0224 / Left_Front_Door_Status_294_S</x:v>
      </x:c>
      <x:c r="C1136" s="144" t="str">
        <x:v>PDU=Left_BCM_0x294; startBit=0; length=2; byteOrder=Little; type=UINT8; factor=1; offset=0; min=0; max=3; unit=-; receivers=Right_BCM,Rear_BCM,Media,LTE4G,CS,WCM,PM25,SCPA,SCU,ECM_Fuel,DCOBC,IPB,MPC,ADS,MRR,BSMCL,BSMCR,APA,FLL</x:v>
      </x:c>
      <x:c r="D11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6" s="144" t="str">
        <x:v>M2</x:v>
      </x:c>
      <x:c r="F1136" s="144" t="str">
        <x:v>Signal 级可编辑配置、数据类型/缩放/端序合同、RTE 接口、边界值与 round-trip 测试。</x:v>
      </x:c>
      <x:c r="G1136" s="144" t="str">
        <x:v>raw=0、raw=max、物理 min/max、越界/保留值、端序字节向量、pack→unpack round-trip；1457/1457 通过。</x:v>
      </x:c>
      <x:c r="H1136" s="144" t="str">
        <x:v>coem/BYD_UKE/gen_bsw/Com/Com_PBcfg.c:54322; BoschOversea_StandardCANFD_commplatform_RCR_CAN_Matrix_V4.18.2_20251104.dbc:48</x:v>
      </x:c>
    </x:row>
    <x:row r="1137" ht="72" customHeight="1">
      <x:c r="A1137" s="144" t="str">
        <x:v>Com-Signal</x:v>
      </x:c>
      <x:c r="B1137" s="144" t="str">
        <x:v>COM-SIG-Rx-0225 / RightF_Door_Sts_Valid_Bit_294_S</x:v>
      </x:c>
      <x:c r="C1137" s="144" t="str">
        <x:v>PDU=Left_BCM_0x294; startBit=9; length=1; byteOrder=Little; type=UINT8; factor=1; offset=0; min=0; max=1; unit=-; receivers=Media,LTE4G,MPC,ADS,MRR,BSMCL,BSMCR,APA</x:v>
      </x:c>
      <x:c r="D11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7" s="144" t="str">
        <x:v>M2</x:v>
      </x:c>
      <x:c r="F1137" s="144" t="str">
        <x:v>Signal 级可编辑配置、数据类型/缩放/端序合同、RTE 接口、边界值与 round-trip 测试。</x:v>
      </x:c>
      <x:c r="G1137" s="144" t="str">
        <x:v>raw=0、raw=max、物理 min/max、越界/保留值、端序字节向量、pack→unpack round-trip；1457/1457 通过。</x:v>
      </x:c>
      <x:c r="H1137" s="144" t="str">
        <x:v>coem/BYD_UKE/gen_bsw/Com/Com_PBcfg.c:54382; BoschOversea_StandardCANFD_commplatform_RCR_CAN_Matrix_V4.18.2_20251104.dbc:53</x:v>
      </x:c>
    </x:row>
    <x:row r="1138" ht="72" customHeight="1">
      <x:c r="A1138" s="144" t="str">
        <x:v>Com-Signal</x:v>
      </x:c>
      <x:c r="B1138" s="144" t="str">
        <x:v>COM-SIG-Rx-0226 / RightR_Door_Sts_Valid_Bit_294_S</x:v>
      </x:c>
      <x:c r="C1138" s="144" t="str">
        <x:v>PDU=Left_BCM_0x294; startBit=11; length=1; byteOrder=Little; type=UINT8; factor=1; offset=0; min=0; max=1; unit=-; receivers=Media,LTE4G,MPC,ADS,MRR,BSMCL,BSMCR,APA</x:v>
      </x:c>
      <x:c r="D11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8" s="144" t="str">
        <x:v>M2</x:v>
      </x:c>
      <x:c r="F1138" s="144" t="str">
        <x:v>Signal 级可编辑配置、数据类型/缩放/端序合同、RTE 接口、边界值与 round-trip 测试。</x:v>
      </x:c>
      <x:c r="G1138" s="144" t="str">
        <x:v>raw=0、raw=max、物理 min/max、越界/保留值、端序字节向量、pack→unpack round-trip；1457/1457 通过。</x:v>
      </x:c>
      <x:c r="H1138" s="144" t="str">
        <x:v>coem/BYD_UKE/gen_bsw/Com/Com_PBcfg.c:54442; BoschOversea_StandardCANFD_commplatform_RCR_CAN_Matrix_V4.18.2_20251104.dbc:55</x:v>
      </x:c>
    </x:row>
    <x:row r="1139" ht="72" customHeight="1">
      <x:c r="A1139" s="144" t="str">
        <x:v>Com-Signal</x:v>
      </x:c>
      <x:c r="B1139" s="144" t="str">
        <x:v>COM-SIG-Rx-0227 / Right_Back_Door_Status_294_S</x:v>
      </x:c>
      <x:c r="C1139" s="144" t="str">
        <x:v>PDU=Left_BCM_0x294; startBit=6; length=2; byteOrder=Little; type=UINT8; factor=1; offset=0; min=0; max=3; unit=-; receivers=Rear_BCM,Media,LTE4G,CS,PM25,SCPA,ECM_Fuel,DCOBC,MPC,ADS,MRR,BSMCL,BSMCR,APA,FLL</x:v>
      </x:c>
      <x:c r="D11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39" s="144" t="str">
        <x:v>M2</x:v>
      </x:c>
      <x:c r="F1139" s="144" t="str">
        <x:v>Signal 级可编辑配置、数据类型/缩放/端序合同、RTE 接口、边界值与 round-trip 测试。</x:v>
      </x:c>
      <x:c r="G1139" s="144" t="str">
        <x:v>raw=0、raw=max、物理 min/max、越界/保留值、端序字节向量、pack→unpack round-trip；1457/1457 通过。</x:v>
      </x:c>
      <x:c r="H1139" s="144" t="str">
        <x:v>coem/BYD_UKE/gen_bsw/Com/Com_PBcfg.c:54502; BoschOversea_StandardCANFD_commplatform_RCR_CAN_Matrix_V4.18.2_20251104.dbc:51</x:v>
      </x:c>
    </x:row>
    <x:row r="1140" ht="72" customHeight="1">
      <x:c r="A1140" s="144" t="str">
        <x:v>Com-Signal</x:v>
      </x:c>
      <x:c r="B1140" s="144" t="str">
        <x:v>COM-SIG-Rx-0228 / Right_Front_Door_Status_294_S</x:v>
      </x:c>
      <x:c r="C1140" s="144" t="str">
        <x:v>PDU=Left_BCM_0x294; startBit=2; length=2; byteOrder=Little; type=UINT8; factor=1; offset=0; min=0; max=3; unit=-; receivers=Media,LTE4G,CS,PM25,SCPA,ECM_Fuel,DCOBC,MPC,ADS,MRR,BSMCL,BSMCR,APA,FLL</x:v>
      </x:c>
      <x:c r="D11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0" s="144" t="str">
        <x:v>M2</x:v>
      </x:c>
      <x:c r="F1140" s="144" t="str">
        <x:v>Signal 级可编辑配置、数据类型/缩放/端序合同、RTE 接口、边界值与 round-trip 测试。</x:v>
      </x:c>
      <x:c r="G1140" s="144" t="str">
        <x:v>raw=0、raw=max、物理 min/max、越界/保留值、端序字节向量、pack→unpack round-trip；1457/1457 通过。</x:v>
      </x:c>
      <x:c r="H1140" s="144" t="str">
        <x:v>coem/BYD_UKE/gen_bsw/Com/Com_PBcfg.c:54562; BoschOversea_StandardCANFD_commplatform_RCR_CAN_Matrix_V4.18.2_20251104.dbc:49</x:v>
      </x:c>
    </x:row>
    <x:row r="1141" ht="72" customHeight="1">
      <x:c r="A1141" s="144" t="str">
        <x:v>Com-Signal</x:v>
      </x:c>
      <x:c r="B1141" s="144" t="str">
        <x:v>COM-SIG-Rx-0229 / Rolling_counter_294_S</x:v>
      </x:c>
      <x:c r="C1141" s="144" t="str">
        <x:v>PDU=Left_BCM_0x294; startBit=48; length=4; byteOrder=Little; type=UINT8; factor=1; offset=0; min=0; max=15; unit=-; receivers=ECM,IPB,MPC,ADS,MRR,BSMCL,BSMCR,APA</x:v>
      </x:c>
      <x:c r="D11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1" s="144" t="str">
        <x:v>M2</x:v>
      </x:c>
      <x:c r="F1141" s="144" t="str">
        <x:v>Signal 级可编辑配置、数据类型/缩放/端序合同、RTE 接口、边界值与 round-trip 测试。</x:v>
      </x:c>
      <x:c r="G1141" s="144" t="str">
        <x:v>raw=0、raw=max、物理 min/max、越界/保留值、端序字节向量、pack→unpack round-trip；1457/1457 通过。</x:v>
      </x:c>
      <x:c r="H1141" s="144" t="str">
        <x:v>coem/BYD_UKE/gen_bsw/Com/Com_PBcfg.c:54622; BoschOversea_StandardCANFD_commplatform_RCR_CAN_Matrix_V4.18.2_20251104.dbc:56</x:v>
      </x:c>
    </x:row>
    <x:row r="1142" ht="72" customHeight="1">
      <x:c r="A1142" s="144" t="str">
        <x:v>Com-Signal</x:v>
      </x:c>
      <x:c r="B1142" s="144" t="str">
        <x:v>COM-SIG-Rx-0230 / Turn_Signal_Work_Condition_38A_S</x:v>
      </x:c>
      <x:c r="C1142" s="144" t="str">
        <x:v>PDU=Left_BCM_0x38A; startBit=36; length=4; byteOrder=Little; type=UINT8; factor=1; offset=0; min=0; max=15; unit=-; receivers=BSMCL,BSMCR</x:v>
      </x:c>
      <x:c r="D11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2" s="144" t="str">
        <x:v>M2</x:v>
      </x:c>
      <x:c r="F1142" s="144" t="str">
        <x:v>Signal 级可编辑配置、数据类型/缩放/端序合同、RTE 接口、边界值与 round-trip 测试。</x:v>
      </x:c>
      <x:c r="G1142" s="144" t="str">
        <x:v>raw=0、raw=max、物理 min/max、越界/保留值、端序字节向量、pack→unpack round-trip；1457/1457 通过。</x:v>
      </x:c>
      <x:c r="H1142" s="144" t="str">
        <x:v>coem/BYD_UKE/gen_bsw/Com/Com_PBcfg.c:54682; BoschOversea_StandardCANFD_commplatform_RCR_CAN_Matrix_V4.18.2_20251104.dbc:376</x:v>
      </x:c>
    </x:row>
    <x:row r="1143" ht="72" customHeight="1">
      <x:c r="A1143" s="144" t="str">
        <x:v>Com-Signal</x:v>
      </x:c>
      <x:c r="B1143" s="144" t="str">
        <x:v>COM-SIG-Rx-0231 / Child_ID_3D9_S</x:v>
      </x:c>
      <x:c r="C1143" s="144" t="str">
        <x:v>PDU=Left_BCM_0x3D9; startBit=0; length=8; byteOrder=Little; type=UINT8; factor=1; offset=0; min=0; max=255; unit=-; receivers=MPC,ADS,MRR,BSMCL,BSMCR,FCR</x:v>
      </x:c>
      <x:c r="D11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3" s="144" t="str">
        <x:v>M2</x:v>
      </x:c>
      <x:c r="F1143" s="144" t="str">
        <x:v>Signal 级可编辑配置、数据类型/缩放/端序合同、RTE 接口、边界值与 round-trip 测试。</x:v>
      </x:c>
      <x:c r="G1143" s="144" t="str">
        <x:v>raw=0、raw=max、物理 min/max、越界/保留值、端序字节向量、pack→unpack round-trip；1457/1457 通过。</x:v>
      </x:c>
      <x:c r="H1143" s="144" t="str">
        <x:v>coem/BYD_UKE/gen_bsw/Com/Com_PBcfg.c:54742; BoschOversea_StandardCANFD_commplatform_RCR_CAN_Matrix_V4.18.2_20251104.dbc:71</x:v>
      </x:c>
    </x:row>
    <x:row r="1144" ht="72" customHeight="1">
      <x:c r="A1144" s="144" t="str">
        <x:v>Com-Signal</x:v>
      </x:c>
      <x:c r="B1144" s="144" t="str">
        <x:v>COM-SIG-Rx-0232 / Total_Distance_3D9s5_S</x:v>
      </x:c>
      <x:c r="C1144" s="144" t="str">
        <x:v>PDU=Left_BCM_0x3D9; startBit=8; length=27; byteOrder=Little; type=UINT32; factor=0.1; offset=0; min=0; max=13421772.7; unit=km; receivers=MPC,ADS,MRR,BSMCL,BSMCR,FCR</x:v>
      </x:c>
      <x:c r="D11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4" s="144" t="str">
        <x:v>M2</x:v>
      </x:c>
      <x:c r="F1144" s="144" t="str">
        <x:v>Signal 级可编辑配置、数据类型/缩放/端序合同、RTE 接口、边界值与 round-trip 测试。</x:v>
      </x:c>
      <x:c r="G1144" s="144" t="str">
        <x:v>raw=0、raw=max、物理 min/max、越界/保留值、端序字节向量、pack→unpack round-trip；1457/1457 通过。</x:v>
      </x:c>
      <x:c r="H1144" s="144" t="str">
        <x:v>coem/BYD_UKE/gen_bsw/Com/Com_PBcfg.c:54802; BoschOversea_StandardCANFD_commplatform_RCR_CAN_Matrix_V4.18.2_20251104.dbc:72</x:v>
      </x:c>
    </x:row>
    <x:row r="1145" ht="72" customHeight="1">
      <x:c r="A1145" s="144" t="str">
        <x:v>Com-Signal</x:v>
      </x:c>
      <x:c r="B1145" s="144" t="str">
        <x:v>COM-SIG-Rx-0233 / FL_Door_Lock_Sttus407_S</x:v>
      </x:c>
      <x:c r="C1145" s="144" t="str">
        <x:v>PDU=Left_BCM_0x407; startBit=0; length=2; byteOrder=Little; type=UINT8; factor=1; offset=0; min=0; max=3; unit=-; receivers=Right_BCM,VCU,ADS,BSMCL,BSMCR</x:v>
      </x:c>
      <x:c r="D11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5" s="144" t="str">
        <x:v>M2</x:v>
      </x:c>
      <x:c r="F1145" s="144" t="str">
        <x:v>Signal 级可编辑配置、数据类型/缩放/端序合同、RTE 接口、边界值与 round-trip 测试。</x:v>
      </x:c>
      <x:c r="G1145" s="144" t="str">
        <x:v>raw=0、raw=max、物理 min/max、越界/保留值、端序字节向量、pack→unpack round-trip；1457/1457 通过。</x:v>
      </x:c>
      <x:c r="H1145" s="144" t="str">
        <x:v>coem/BYD_UKE/gen_bsw/Com/Com_PBcfg.c:54862; BoschOversea_StandardCANFD_commplatform_RCR_CAN_Matrix_V4.18.2_20251104.dbc:60</x:v>
      </x:c>
    </x:row>
    <x:row r="1146" ht="72" customHeight="1">
      <x:c r="A1146" s="144" t="str">
        <x:v>Com-Signal</x:v>
      </x:c>
      <x:c r="B1146" s="144" t="str">
        <x:v>COM-SIG-Rx-0234 / FR_Door_Lock_Status_407_S</x:v>
      </x:c>
      <x:c r="C1146" s="144" t="str">
        <x:v>PDU=Left_BCM_0x407; startBit=2; length=2; byteOrder=Little; type=UINT8; factor=1; offset=0; min=0; max=3; unit=-; receivers=VCU,ADS,BSMCL,BSMCR</x:v>
      </x:c>
      <x:c r="D11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6" s="144" t="str">
        <x:v>M2</x:v>
      </x:c>
      <x:c r="F1146" s="144" t="str">
        <x:v>Signal 级可编辑配置、数据类型/缩放/端序合同、RTE 接口、边界值与 round-trip 测试。</x:v>
      </x:c>
      <x:c r="G1146" s="144" t="str">
        <x:v>raw=0、raw=max、物理 min/max、越界/保留值、端序字节向量、pack→unpack round-trip；1457/1457 通过。</x:v>
      </x:c>
      <x:c r="H1146" s="144" t="str">
        <x:v>coem/BYD_UKE/gen_bsw/Com/Com_PBcfg.c:54922; BoschOversea_StandardCANFD_commplatform_RCR_CAN_Matrix_V4.18.2_20251104.dbc:61</x:v>
      </x:c>
    </x:row>
    <x:row r="1147" ht="72" customHeight="1">
      <x:c r="A1147" s="144" t="str">
        <x:v>Com-Signal</x:v>
      </x:c>
      <x:c r="B1147" s="144" t="str">
        <x:v>COM-SIG-Rx-0235 / Fldig_Extrr_Mrors_Expand_S</x:v>
      </x:c>
      <x:c r="C1147" s="144" t="str">
        <x:v>PDU=Left_BCM_0x407; startBit=22; length=2; byteOrder=Little; type=UINT8; factor=1; offset=0; min=0; max=3; unit=-; receivers=PSDR,VCU,ADS,BSMCL,BSMCR</x:v>
      </x:c>
      <x:c r="D11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7" s="144" t="str">
        <x:v>M2</x:v>
      </x:c>
      <x:c r="F1147" s="144" t="str">
        <x:v>Signal 级可编辑配置、数据类型/缩放/端序合同、RTE 接口、边界值与 round-trip 测试。</x:v>
      </x:c>
      <x:c r="G1147" s="144" t="str">
        <x:v>raw=0、raw=max、物理 min/max、越界/保留值、端序字节向量、pack→unpack round-trip；1457/1457 通过。</x:v>
      </x:c>
      <x:c r="H1147" s="144" t="str">
        <x:v>coem/BYD_UKE/gen_bsw/Com/Com_PBcfg.c:54982; BoschOversea_StandardCANFD_commplatform_RCR_CAN_Matrix_V4.18.2_20251104.dbc:64</x:v>
      </x:c>
    </x:row>
    <x:row r="1148" ht="72" customHeight="1">
      <x:c r="A1148" s="144" t="str">
        <x:v>Com-Signal</x:v>
      </x:c>
      <x:c r="B1148" s="144" t="str">
        <x:v>COM-SIG-Rx-0236 / RL_Door_Lock_Status_S</x:v>
      </x:c>
      <x:c r="C1148" s="144" t="str">
        <x:v>PDU=Left_BCM_0x407; startBit=4; length=2; byteOrder=Little; type=UINT8; factor=1; offset=0; min=0; max=3; unit=-; receivers=PSDL,VCU,ADS,BSMCL,BSMCR</x:v>
      </x:c>
      <x:c r="D11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8" s="144" t="str">
        <x:v>M2</x:v>
      </x:c>
      <x:c r="F1148" s="144" t="str">
        <x:v>Signal 级可编辑配置、数据类型/缩放/端序合同、RTE 接口、边界值与 round-trip 测试。</x:v>
      </x:c>
      <x:c r="G1148" s="144" t="str">
        <x:v>raw=0、raw=max、物理 min/max、越界/保留值、端序字节向量、pack→unpack round-trip；1457/1457 通过。</x:v>
      </x:c>
      <x:c r="H1148" s="144" t="str">
        <x:v>coem/BYD_UKE/gen_bsw/Com/Com_PBcfg.c:55042; BoschOversea_StandardCANFD_commplatform_RCR_CAN_Matrix_V4.18.2_20251104.dbc:62</x:v>
      </x:c>
    </x:row>
    <x:row r="1149" ht="72" customHeight="1">
      <x:c r="A1149" s="144" t="str">
        <x:v>Com-Signal</x:v>
      </x:c>
      <x:c r="B1149" s="144" t="str">
        <x:v>COM-SIG-Rx-0237 / RR_Door_Lock_Status_407_S</x:v>
      </x:c>
      <x:c r="C1149" s="144" t="str">
        <x:v>PDU=Left_BCM_0x407; startBit=6; length=2; byteOrder=Little; type=UINT8; factor=1; offset=0; min=0; max=3; unit=-; receivers=PSDR,VCU,ADS,BSMCL,BSMCR</x:v>
      </x:c>
      <x:c r="D11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49" s="144" t="str">
        <x:v>M2</x:v>
      </x:c>
      <x:c r="F1149" s="144" t="str">
        <x:v>Signal 级可编辑配置、数据类型/缩放/端序合同、RTE 接口、边界值与 round-trip 测试。</x:v>
      </x:c>
      <x:c r="G1149" s="144" t="str">
        <x:v>raw=0、raw=max、物理 min/max、越界/保留值、端序字节向量、pack→unpack round-trip；1457/1457 通过。</x:v>
      </x:c>
      <x:c r="H1149" s="144" t="str">
        <x:v>coem/BYD_UKE/gen_bsw/Com/Com_PBcfg.c:55102; BoschOversea_StandardCANFD_commplatform_RCR_CAN_Matrix_V4.18.2_20251104.dbc:63</x:v>
      </x:c>
    </x:row>
    <x:row r="1150" ht="72" customHeight="1">
      <x:c r="A1150" s="144" t="str">
        <x:v>Com-Signal</x:v>
      </x:c>
      <x:c r="B1150" s="144" t="str">
        <x:v>COM-SIG-Rx-0238 / Drag_And_Drop_Mode_Configuration_S</x:v>
      </x:c>
      <x:c r="C1150" s="144" t="str">
        <x:v>PDU=Left_BCM_0x475; startBit=52; length=2; byteOrder=Little; type=UINT8; factor=1（Com原始值）; offset=0（Com原始值）; min=按位宽/类型; max=按位宽/类型; unit=-; receivers=-</x:v>
      </x:c>
      <x:c r="D115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150" s="144" t="str">
        <x:v>M2</x:v>
      </x:c>
      <x:c r="F1150" s="144" t="str">
        <x:v>Signal 级可编辑配置、数据类型/缩放/端序合同、RTE 接口、边界值与 round-trip 测试。</x:v>
      </x:c>
      <x:c r="G1150" s="144" t="str">
        <x:v>raw=0、raw=max、物理 min/max、越界/保留值、端序字节向量、pack→unpack round-trip；1457/1457 通过。</x:v>
      </x:c>
      <x:c r="H1150" s="144" t="str">
        <x:v>coem/BYD_UKE/gen_bsw/Com/Com_PBcfg.c:55162</x:v>
      </x:c>
    </x:row>
    <x:row r="1151" ht="72" customHeight="1">
      <x:c r="A1151" s="144" t="str">
        <x:v>Com-Signal</x:v>
      </x:c>
      <x:c r="B1151" s="144" t="str">
        <x:v>COM-SIG-Rx-0239 / Wiper_Speed_S</x:v>
      </x:c>
      <x:c r="C1151" s="144" t="str">
        <x:v>PDU=Left_BCM_0x475; startBit=26; length=2; byteOrder=Little; type=UINT8; factor=1; offset=0; min=0; max=3; unit=-; receivers=MPC,MRR,BSMCL,BSMCR,FCR</x:v>
      </x:c>
      <x:c r="D11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1" s="144" t="str">
        <x:v>M2</x:v>
      </x:c>
      <x:c r="F1151" s="144" t="str">
        <x:v>Signal 级可编辑配置、数据类型/缩放/端序合同、RTE 接口、边界值与 round-trip 测试。</x:v>
      </x:c>
      <x:c r="G1151" s="144" t="str">
        <x:v>raw=0、raw=max、物理 min/max、越界/保留值、端序字节向量、pack→unpack round-trip；1457/1457 通过。</x:v>
      </x:c>
      <x:c r="H1151" s="144" t="str">
        <x:v>coem/BYD_UKE/gen_bsw/Com/Com_PBcfg.c:55222; BoschOversea_StandardCANFD_commplatform_RCR_CAN_Matrix_V4.18.2_20251104.dbc:368</x:v>
      </x:c>
    </x:row>
    <x:row r="1152" ht="72" customHeight="1">
      <x:c r="A1152" s="144" t="str">
        <x:v>Com-Signal</x:v>
      </x:c>
      <x:c r="B1152" s="144" t="str">
        <x:v>COM-SIG-Rx-0240 / Checksum490_S</x:v>
      </x:c>
      <x:c r="C1152" s="144" t="str">
        <x:v>PDU=Left_BCM_0x490; startBit=56; length=8; byteOrder=Little; type=UINT8; factor=1; offset=0; min=0; max=255; unit=-; receivers=MPC,MRR,BSMCL,BSMCR,FCR</x:v>
      </x:c>
      <x:c r="D11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2" s="144" t="str">
        <x:v>M2</x:v>
      </x:c>
      <x:c r="F1152" s="144" t="str">
        <x:v>Signal 级可编辑配置、数据类型/缩放/端序合同、RTE 接口、边界值与 round-trip 测试。</x:v>
      </x:c>
      <x:c r="G1152" s="144" t="str">
        <x:v>raw=0、raw=max、物理 min/max、越界/保留值、端序字节向量、pack→unpack round-trip；1457/1457 通过。</x:v>
      </x:c>
      <x:c r="H1152" s="144" t="str">
        <x:v>coem/BYD_UKE/gen_bsw/Com/Com_PBcfg.c:55282; BoschOversea_StandardCANFD_commplatform_RCR_CAN_Matrix_V4.18.2_20251104.dbc:365</x:v>
      </x:c>
    </x:row>
    <x:row r="1153" ht="72" customHeight="1">
      <x:c r="A1153" s="144" t="str">
        <x:v>Com-Signal</x:v>
      </x:c>
      <x:c r="B1153" s="144" t="str">
        <x:v>COM-SIG-Rx-0241 / Drag_Mode_State_S</x:v>
      </x:c>
      <x:c r="C1153" s="144" t="str">
        <x:v>PDU=Left_BCM_0x490; startBit=16; length=2; byteOrder=Little; type=UINT8; factor=1; offset=0; min=0; max=3; unit=-; receivers=MPC,MRR,BSMCL,BSMCR,FCR</x:v>
      </x:c>
      <x:c r="D11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3" s="144" t="str">
        <x:v>M2</x:v>
      </x:c>
      <x:c r="F1153" s="144" t="str">
        <x:v>Signal 级可编辑配置、数据类型/缩放/端序合同、RTE 接口、边界值与 round-trip 测试。</x:v>
      </x:c>
      <x:c r="G1153" s="144" t="str">
        <x:v>raw=0、raw=max、物理 min/max、越界/保留值、端序字节向量、pack→unpack round-trip；1457/1457 通过。</x:v>
      </x:c>
      <x:c r="H1153" s="144" t="str">
        <x:v>coem/BYD_UKE/gen_bsw/Com/Com_PBcfg.c:55342; BoschOversea_StandardCANFD_commplatform_RCR_CAN_Matrix_V4.18.2_20251104.dbc:362</x:v>
      </x:c>
    </x:row>
    <x:row r="1154" ht="72" customHeight="1">
      <x:c r="A1154" s="144" t="str">
        <x:v>Com-Signal</x:v>
      </x:c>
      <x:c r="B1154" s="144" t="str">
        <x:v>COM-SIG-Rx-0242 / Dragging_Method_S</x:v>
      </x:c>
      <x:c r="C1154" s="144" t="str">
        <x:v>PDU=Left_BCM_0x490; startBit=40; length=3; byteOrder=Little; type=UINT8; factor=1; offset=0; min=0; max=7; unit=-; receivers=MPC,MRR,BSMCL,BSMCR,FCR</x:v>
      </x:c>
      <x:c r="D11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4" s="144" t="str">
        <x:v>M2</x:v>
      </x:c>
      <x:c r="F1154" s="144" t="str">
        <x:v>Signal 级可编辑配置、数据类型/缩放/端序合同、RTE 接口、边界值与 round-trip 测试。</x:v>
      </x:c>
      <x:c r="G1154" s="144" t="str">
        <x:v>raw=0、raw=max、物理 min/max、越界/保留值、端序字节向量、pack→unpack round-trip；1457/1457 通过。</x:v>
      </x:c>
      <x:c r="H1154" s="144" t="str">
        <x:v>coem/BYD_UKE/gen_bsw/Com/Com_PBcfg.c:55402; BoschOversea_StandardCANFD_commplatform_RCR_CAN_Matrix_V4.18.2_20251104.dbc:363</x:v>
      </x:c>
    </x:row>
    <x:row r="1155" ht="72" customHeight="1">
      <x:c r="A1155" s="144" t="str">
        <x:v>Com-Signal</x:v>
      </x:c>
      <x:c r="B1155" s="144" t="str">
        <x:v>COM-SIG-Rx-0243 / Message_Counter490_S</x:v>
      </x:c>
      <x:c r="C1155" s="144" t="str">
        <x:v>PDU=Left_BCM_0x490; startBit=48; length=4; byteOrder=Little; type=UINT8; factor=1; offset=0; min=0; max=15; unit=-; receivers=MPC,MRR,BSMCL,BSMCR,FCR</x:v>
      </x:c>
      <x:c r="D11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5" s="144" t="str">
        <x:v>M2</x:v>
      </x:c>
      <x:c r="F1155" s="144" t="str">
        <x:v>Signal 级可编辑配置、数据类型/缩放/端序合同、RTE 接口、边界值与 round-trip 测试。</x:v>
      </x:c>
      <x:c r="G1155" s="144" t="str">
        <x:v>raw=0、raw=max、物理 min/max、越界/保留值、端序字节向量、pack→unpack round-trip；1457/1457 通过。</x:v>
      </x:c>
      <x:c r="H1155" s="144" t="str">
        <x:v>coem/BYD_UKE/gen_bsw/Com/Com_PBcfg.c:55462; BoschOversea_StandardCANFD_commplatform_RCR_CAN_Matrix_V4.18.2_20251104.dbc:364</x:v>
      </x:c>
    </x:row>
    <x:row r="1156" ht="72" customHeight="1">
      <x:c r="A1156" s="144" t="str">
        <x:v>Com-Signal</x:v>
      </x:c>
      <x:c r="B1156" s="144" t="str">
        <x:v>COM-SIG-Rx-0244 / ACC_Axv_Cv_Aim_139_S</x:v>
      </x:c>
      <x:c r="C1156" s="144" t="str">
        <x:v>PDU=MPC_0x139; startBit=32; length=8; byteOrder=Little; type=UINT8; factor=0.05; offset=-7; min=-7; max=5.75; unit=m/s2; receivers=VCU,MRR,BSMCL,BSMCR,FCR</x:v>
      </x:c>
      <x:c r="D11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6" s="144" t="str">
        <x:v>M2</x:v>
      </x:c>
      <x:c r="F1156" s="144" t="str">
        <x:v>Signal 级可编辑配置、数据类型/缩放/端序合同、RTE 接口、边界值与 round-trip 测试。</x:v>
      </x:c>
      <x:c r="G1156" s="144" t="str">
        <x:v>raw=0、raw=max、物理 min/max、越界/保留值、端序字节向量、pack→unpack round-trip；1457/1457 通过。</x:v>
      </x:c>
      <x:c r="H1156" s="144" t="str">
        <x:v>coem/BYD_UKE/gen_bsw/Com/Com_PBcfg.c:55522; BoschOversea_StandardCANFD_commplatform_RCR_CAN_Matrix_V4.18.2_20251104.dbc:695</x:v>
      </x:c>
    </x:row>
    <x:row r="1157" ht="72" customHeight="1">
      <x:c r="A1157" s="144" t="str">
        <x:v>Com-Signal</x:v>
      </x:c>
      <x:c r="B1157" s="144" t="str">
        <x:v>COM-SIG-Rx-0245 / ACC_DecTo_Stop_Req_139_S</x:v>
      </x:c>
      <x:c r="C1157" s="144" t="str">
        <x:v>PDU=MPC_0x139; startBit=72; length=1; byteOrder=Little; type=UINT8; factor=1; offset=0; min=0; max=1; unit=-; receivers=VCU,MRR,BSMCL,BSMCR,FCR</x:v>
      </x:c>
      <x:c r="D115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7" s="144" t="str">
        <x:v>M2</x:v>
      </x:c>
      <x:c r="F1157" s="144" t="str">
        <x:v>Signal 级可编辑配置、数据类型/缩放/端序合同、RTE 接口、边界值与 round-trip 测试。</x:v>
      </x:c>
      <x:c r="G1157" s="144" t="str">
        <x:v>raw=0、raw=max、物理 min/max、越界/保留值、端序字节向量、pack→unpack round-trip；1457/1457 通过。</x:v>
      </x:c>
      <x:c r="H1157" s="144" t="str">
        <x:v>coem/BYD_UKE/gen_bsw/Com/Com_PBcfg.c:55582; BoschOversea_StandardCANFD_commplatform_RCR_CAN_Matrix_V4.18.2_20251104.dbc:702</x:v>
      </x:c>
    </x:row>
    <x:row r="1158" ht="72" customHeight="1">
      <x:c r="A1158" s="144" t="str">
        <x:v>Com-Signal</x:v>
      </x:c>
      <x:c r="B1158" s="144" t="str">
        <x:v>COM-SIG-Rx-0246 / ACC_Drive_Off_Req_139_S</x:v>
      </x:c>
      <x:c r="C1158" s="144" t="str">
        <x:v>PDU=MPC_0x139; startBit=71; length=1; byteOrder=Little; type=UINT8; factor=1; offset=0; min=0; max=1; unit=-; receivers=VCU,MRR,BSMCL,BSMCR,FCR</x:v>
      </x:c>
      <x:c r="D11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8" s="144" t="str">
        <x:v>M2</x:v>
      </x:c>
      <x:c r="F1158" s="144" t="str">
        <x:v>Signal 级可编辑配置、数据类型/缩放/端序合同、RTE 接口、边界值与 round-trip 测试。</x:v>
      </x:c>
      <x:c r="G1158" s="144" t="str">
        <x:v>raw=0、raw=max、物理 min/max、越界/保留值、端序字节向量、pack→unpack round-trip；1457/1457 通过。</x:v>
      </x:c>
      <x:c r="H1158" s="144" t="str">
        <x:v>coem/BYD_UKE/gen_bsw/Com/Com_PBcfg.c:55642; BoschOversea_StandardCANFD_commplatform_RCR_CAN_Matrix_V4.18.2_20251104.dbc:701</x:v>
      </x:c>
    </x:row>
    <x:row r="1159" ht="72" customHeight="1">
      <x:c r="A1159" s="144" t="str">
        <x:v>Com-Signal</x:v>
      </x:c>
      <x:c r="B1159" s="144" t="str">
        <x:v>COM-SIG-Rx-0247 / ACC_Minimum_Braking_139_S</x:v>
      </x:c>
      <x:c r="C1159" s="144" t="str">
        <x:v>PDU=MPC_0x139; startBit=73; length=1; byteOrder=Little; type=UINT8; factor=1; offset=0; min=0; max=1; unit=-; receivers=VCU,MRR,BSMCL,BSMCR,FCR</x:v>
      </x:c>
      <x:c r="D11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59" s="144" t="str">
        <x:v>M2</x:v>
      </x:c>
      <x:c r="F1159" s="144" t="str">
        <x:v>Signal 级可编辑配置、数据类型/缩放/端序合同、RTE 接口、边界值与 round-trip 测试。</x:v>
      </x:c>
      <x:c r="G1159" s="144" t="str">
        <x:v>raw=0、raw=max、物理 min/max、越界/保留值、端序字节向量、pack→unpack round-trip；1457/1457 通过。</x:v>
      </x:c>
      <x:c r="H1159" s="144" t="str">
        <x:v>coem/BYD_UKE/gen_bsw/Com/Com_PBcfg.c:55702; BoschOversea_StandardCANFD_commplatform_RCR_CAN_Matrix_V4.18.2_20251104.dbc:703</x:v>
      </x:c>
    </x:row>
    <x:row r="1160" ht="72" customHeight="1">
      <x:c r="A1160" s="144" t="str">
        <x:v>Com-Signal</x:v>
      </x:c>
      <x:c r="B1160" s="144" t="str">
        <x:v>COM-SIG-Rx-0248 / ACC_Mode_139_S</x:v>
      </x:c>
      <x:c r="C1160" s="144" t="str">
        <x:v>PDU=MPC_0x139; startBit=75; length=3; byteOrder=Little; type=UINT8; factor=1; offset=0; min=0; max=7; unit=-; receivers=VCU,MRR,BSMCL,BSMCR,FCR</x:v>
      </x:c>
      <x:c r="D11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0" s="144" t="str">
        <x:v>M2</x:v>
      </x:c>
      <x:c r="F1160" s="144" t="str">
        <x:v>Signal 级可编辑配置、数据类型/缩放/端序合同、RTE 接口、边界值与 round-trip 测试。</x:v>
      </x:c>
      <x:c r="G1160" s="144" t="str">
        <x:v>raw=0、raw=max、物理 min/max、越界/保留值、端序字节向量、pack→unpack round-trip；1457/1457 通过。</x:v>
      </x:c>
      <x:c r="H1160" s="144" t="str">
        <x:v>coem/BYD_UKE/gen_bsw/Com/Com_PBcfg.c:55762; BoschOversea_StandardCANFD_commplatform_RCR_CAN_Matrix_V4.18.2_20251104.dbc:705</x:v>
      </x:c>
    </x:row>
    <x:row r="1161" ht="72" customHeight="1">
      <x:c r="A1161" s="144" t="str">
        <x:v>Com-Signal</x:v>
      </x:c>
      <x:c r="B1161" s="144" t="str">
        <x:v>COM-SIG-Rx-0249 / ADC_SuspInhibitReq_139_S</x:v>
      </x:c>
      <x:c r="C1161" s="144" t="str">
        <x:v>PDU=MPC_0x139; startBit=63; length=1; byteOrder=Little; type=UINT8; factor=1; offset=0; min=0; max=1; unit=-; receivers=VCU,MRR,BSMCL,BSMCR,FCR</x:v>
      </x:c>
      <x:c r="D11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1" s="144" t="str">
        <x:v>M2</x:v>
      </x:c>
      <x:c r="F1161" s="144" t="str">
        <x:v>Signal 级可编辑配置、数据类型/缩放/端序合同、RTE 接口、边界值与 round-trip 测试。</x:v>
      </x:c>
      <x:c r="G1161" s="144" t="str">
        <x:v>raw=0、raw=max、物理 min/max、越界/保留值、端序字节向量、pack→unpack round-trip；1457/1457 通过。</x:v>
      </x:c>
      <x:c r="H1161" s="144" t="str">
        <x:v>coem/BYD_UKE/gen_bsw/Com/Com_PBcfg.c:55822; BoschOversea_StandardCANFD_commplatform_RCR_CAN_Matrix_V4.18.2_20251104.dbc:699</x:v>
      </x:c>
    </x:row>
    <x:row r="1162" ht="72" customHeight="1">
      <x:c r="A1162" s="144" t="str">
        <x:v>Com-Signal</x:v>
      </x:c>
      <x:c r="B1162" s="144" t="str">
        <x:v>COM-SIG-Rx-0250 / ADt_Upper_Limit_Axv_Cv_139_S</x:v>
      </x:c>
      <x:c r="C1162" s="144" t="str">
        <x:v>PDU=MPC_0x139; startBit=56; length=7; byteOrder=Little; type=UINT8; factor=0.2; offset=0; min=0; max=16; unit=m/s3; receivers=VCU,MRR,BSMCL,BSMCR,FCR</x:v>
      </x:c>
      <x:c r="D11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2" s="144" t="str">
        <x:v>M2</x:v>
      </x:c>
      <x:c r="F1162" s="144" t="str">
        <x:v>Signal 级可编辑配置、数据类型/缩放/端序合同、RTE 接口、边界值与 round-trip 测试。</x:v>
      </x:c>
      <x:c r="G1162" s="144" t="str">
        <x:v>raw=0、raw=max、物理 min/max、越界/保留值、端序字节向量、pack→unpack round-trip；1457/1457 通过。</x:v>
      </x:c>
      <x:c r="H1162" s="144" t="str">
        <x:v>coem/BYD_UKE/gen_bsw/Com/Com_PBcfg.c:55882; BoschOversea_StandardCANFD_commplatform_RCR_CAN_Matrix_V4.18.2_20251104.dbc:698</x:v>
      </x:c>
    </x:row>
    <x:row r="1163" ht="72" customHeight="1">
      <x:c r="A1163" s="144" t="str">
        <x:v>Com-Signal</x:v>
      </x:c>
      <x:c r="B1163" s="144" t="str">
        <x:v>COM-SIG-Rx-0251 / Adt_Lower_Limit_Axv_Cv_139_S</x:v>
      </x:c>
      <x:c r="C1163" s="144" t="str">
        <x:v>PDU=MPC_0x139; startBit=64; length=7; byteOrder=Little; type=UINT8; factor=0.2; offset=-16; min=-16; max=0; unit=m/s3; receivers=VCU,MRR,BSMCL,BSMCR,FCR</x:v>
      </x:c>
      <x:c r="D11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3" s="144" t="str">
        <x:v>M2</x:v>
      </x:c>
      <x:c r="F1163" s="144" t="str">
        <x:v>Signal 级可编辑配置、数据类型/缩放/端序合同、RTE 接口、边界值与 round-trip 测试。</x:v>
      </x:c>
      <x:c r="G1163" s="144" t="str">
        <x:v>raw=0、raw=max、物理 min/max、越界/保留值、端序字节向量、pack→unpack round-trip；1457/1457 通过。</x:v>
      </x:c>
      <x:c r="H1163" s="144" t="str">
        <x:v>coem/BYD_UKE/gen_bsw/Com/Com_PBcfg.c:55942; BoschOversea_StandardCANFD_commplatform_RCR_CAN_Matrix_V4.18.2_20251104.dbc:700</x:v>
      </x:c>
    </x:row>
    <x:row r="1164" ht="72" customHeight="1">
      <x:c r="A1164" s="144" t="str">
        <x:v>Com-Signal</x:v>
      </x:c>
      <x:c r="B1164" s="144" t="str">
        <x:v>COM-SIG-Rx-0252 / Axv_Cv_Coft_Band_Lower_Val_139_S</x:v>
      </x:c>
      <x:c r="C1164" s="144" t="str">
        <x:v>PDU=MPC_0x139; startBit=48; length=8; byteOrder=Little; type=UINT8; factor=0.05; offset=-7; min=-7; max=5.75; unit=m/s2; receivers=VCU,MRR,BSMCL,BSMCR,FCR</x:v>
      </x:c>
      <x:c r="D116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4" s="144" t="str">
        <x:v>M2</x:v>
      </x:c>
      <x:c r="F1164" s="144" t="str">
        <x:v>Signal 级可编辑配置、数据类型/缩放/端序合同、RTE 接口、边界值与 round-trip 测试。</x:v>
      </x:c>
      <x:c r="G1164" s="144" t="str">
        <x:v>raw=0、raw=max、物理 min/max、越界/保留值、端序字节向量、pack→unpack round-trip；1457/1457 通过。</x:v>
      </x:c>
      <x:c r="H1164" s="144" t="str">
        <x:v>coem/BYD_UKE/gen_bsw/Com/Com_PBcfg.c:56002; BoschOversea_StandardCANFD_commplatform_RCR_CAN_Matrix_V4.18.2_20251104.dbc:697</x:v>
      </x:c>
    </x:row>
    <x:row r="1165" ht="72" customHeight="1">
      <x:c r="A1165" s="144" t="str">
        <x:v>Com-Signal</x:v>
      </x:c>
      <x:c r="B1165" s="144" t="str">
        <x:v>COM-SIG-Rx-0253 / Axv_Cv_Coft_Band_Upper_Val_139_S</x:v>
      </x:c>
      <x:c r="C1165" s="144" t="str">
        <x:v>PDU=MPC_0x139; startBit=40; length=8; byteOrder=Little; type=UINT8; factor=0.05; offset=-7; min=-7; max=5.75; unit=m/s2; receivers=VCU,MRR,BSMCL,BSMCR,FCR</x:v>
      </x:c>
      <x:c r="D11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5" s="144" t="str">
        <x:v>M2</x:v>
      </x:c>
      <x:c r="F1165" s="144" t="str">
        <x:v>Signal 级可编辑配置、数据类型/缩放/端序合同、RTE 接口、边界值与 round-trip 测试。</x:v>
      </x:c>
      <x:c r="G1165" s="144" t="str">
        <x:v>raw=0、raw=max、物理 min/max、越界/保留值、端序字节向量、pack→unpack round-trip；1457/1457 通过。</x:v>
      </x:c>
      <x:c r="H1165" s="144" t="str">
        <x:v>coem/BYD_UKE/gen_bsw/Com/Com_PBcfg.c:56062; BoschOversea_StandardCANFD_commplatform_RCR_CAN_Matrix_V4.18.2_20251104.dbc:696</x:v>
      </x:c>
    </x:row>
    <x:row r="1166" ht="72" customHeight="1">
      <x:c r="A1166" s="144" t="str">
        <x:v>Com-Signal</x:v>
      </x:c>
      <x:c r="B1166" s="144" t="str">
        <x:v>COM-SIG-Rx-0254 / Brake_Preferred_139_S</x:v>
      </x:c>
      <x:c r="C1166" s="144" t="str">
        <x:v>PDU=MPC_0x139; startBit=74; length=1; byteOrder=Little; type=UINT8; factor=1; offset=0; min=0; max=1; unit=-; receivers=VCU,MRR,BSMCL,BSMCR,FCR</x:v>
      </x:c>
      <x:c r="D11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6" s="144" t="str">
        <x:v>M2</x:v>
      </x:c>
      <x:c r="F1166" s="144" t="str">
        <x:v>Signal 级可编辑配置、数据类型/缩放/端序合同、RTE 接口、边界值与 round-trip 测试。</x:v>
      </x:c>
      <x:c r="G1166" s="144" t="str">
        <x:v>raw=0、raw=max、物理 min/max、越界/保留值、端序字节向量、pack→unpack round-trip；1457/1457 通过。</x:v>
      </x:c>
      <x:c r="H1166" s="144" t="str">
        <x:v>coem/BYD_UKE/gen_bsw/Com/Com_PBcfg.c:56122; BoschOversea_StandardCANFD_commplatform_RCR_CAN_Matrix_V4.18.2_20251104.dbc:704</x:v>
      </x:c>
    </x:row>
    <x:row r="1167" ht="72" customHeight="1">
      <x:c r="A1167" s="144" t="str">
        <x:v>Com-Signal</x:v>
      </x:c>
      <x:c r="B1167" s="144" t="str">
        <x:v>COM-SIG-Rx-0255 / Checksum_139_S</x:v>
      </x:c>
      <x:c r="C1167" s="144" t="str">
        <x:v>PDU=MPC_0x139; startBit=0; length=16; byteOrder=Little; type=UINT16; factor=1; offset=0; min=0; max=65535; unit=-; receivers=VCU,MRR,BSMCL,BSMCR,FCR</x:v>
      </x:c>
      <x:c r="D11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7" s="144" t="str">
        <x:v>M2</x:v>
      </x:c>
      <x:c r="F1167" s="144" t="str">
        <x:v>Signal 级可编辑配置、数据类型/缩放/端序合同、RTE 接口、边界值与 round-trip 测试。</x:v>
      </x:c>
      <x:c r="G1167" s="144" t="str">
        <x:v>raw=0、raw=max、物理 min/max、越界/保留值、端序字节向量、pack→unpack round-trip；1457/1457 通过。</x:v>
      </x:c>
      <x:c r="H1167" s="144" t="str">
        <x:v>coem/BYD_UKE/gen_bsw/Com/Com_PBcfg.c:56182; BoschOversea_StandardCANFD_commplatform_RCR_CAN_Matrix_V4.18.2_20251104.dbc:693</x:v>
      </x:c>
    </x:row>
    <x:row r="1168" ht="72" customHeight="1">
      <x:c r="A1168" s="144" t="str">
        <x:v>Com-Signal</x:v>
      </x:c>
      <x:c r="B1168" s="144" t="str">
        <x:v>COM-SIG-Rx-0256 / Counter_139_S</x:v>
      </x:c>
      <x:c r="C1168" s="144" t="str">
        <x:v>PDU=MPC_0x139; startBit=16; length=16; byteOrder=Little; type=UINT16; factor=1; offset=0; min=0; max=65535; unit=-; receivers=VCU,MRR,BSMCL,BSMCR,FCR</x:v>
      </x:c>
      <x:c r="D11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8" s="144" t="str">
        <x:v>M2</x:v>
      </x:c>
      <x:c r="F1168" s="144" t="str">
        <x:v>Signal 级可编辑配置、数据类型/缩放/端序合同、RTE 接口、边界值与 round-trip 测试。</x:v>
      </x:c>
      <x:c r="G1168" s="144" t="str">
        <x:v>raw=0、raw=max、物理 min/max、越界/保留值、端序字节向量、pack→unpack round-trip；1457/1457 通过。</x:v>
      </x:c>
      <x:c r="H1168" s="144" t="str">
        <x:v>coem/BYD_UKE/gen_bsw/Com/Com_PBcfg.c:56242; BoschOversea_StandardCANFD_commplatform_RCR_CAN_Matrix_V4.18.2_20251104.dbc:694</x:v>
      </x:c>
    </x:row>
    <x:row r="1169" ht="72" customHeight="1">
      <x:c r="A1169" s="144" t="str">
        <x:v>Com-Signal</x:v>
      </x:c>
      <x:c r="B1169" s="144" t="str">
        <x:v>COM-SIG-Rx-0257 / ESP_VLC_Shut_Down_Request_139_S</x:v>
      </x:c>
      <x:c r="C1169" s="144" t="str">
        <x:v>PDU=MPC_0x139; startBit=78; length=2; byteOrder=Little; type=UINT8; factor=1; offset=0; min=0; max=3; unit=-; receivers=VCU,MRR,BSMCL,BSMCR,FCR</x:v>
      </x:c>
      <x:c r="D11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69" s="144" t="str">
        <x:v>M2</x:v>
      </x:c>
      <x:c r="F1169" s="144" t="str">
        <x:v>Signal 级可编辑配置、数据类型/缩放/端序合同、RTE 接口、边界值与 round-trip 测试。</x:v>
      </x:c>
      <x:c r="G1169" s="144" t="str">
        <x:v>raw=0、raw=max、物理 min/max、越界/保留值、端序字节向量、pack→unpack round-trip；1457/1457 通过。</x:v>
      </x:c>
      <x:c r="H1169" s="144" t="str">
        <x:v>coem/BYD_UKE/gen_bsw/Com/Com_PBcfg.c:56302; BoschOversea_StandardCANFD_commplatform_RCR_CAN_Matrix_V4.18.2_20251104.dbc:706</x:v>
      </x:c>
    </x:row>
    <x:row r="1170" ht="72" customHeight="1">
      <x:c r="A1170" s="144" t="str">
        <x:v>Com-Signal</x:v>
      </x:c>
      <x:c r="B1170" s="144" t="str">
        <x:v>COM-SIG-Rx-0258 / Child_ID_1FF_S</x:v>
      </x:c>
      <x:c r="C1170" s="144" t="str">
        <x:v>PDU=MPC_0x1FF; startBit=0; length=8; byteOrder=Little; type=UINT8; factor=1; offset=0; min=0; max=255; unit=-; receivers=Media,INS,MRR,BSMCL,BSMCR,FCR</x:v>
      </x:c>
      <x:c r="D117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0" s="144" t="str">
        <x:v>M2</x:v>
      </x:c>
      <x:c r="F1170" s="144" t="str">
        <x:v>Signal 级可编辑配置、数据类型/缩放/端序合同、RTE 接口、边界值与 round-trip 测试。</x:v>
      </x:c>
      <x:c r="G1170" s="144" t="str">
        <x:v>raw=0、raw=max、物理 min/max、越界/保留值、端序字节向量、pack→unpack round-trip；1457/1457 通过。</x:v>
      </x:c>
      <x:c r="H1170" s="144" t="str">
        <x:v>coem/BYD_UKE/gen_bsw/Com/Com_PBcfg.c:56362; BoschOversea_StandardCANFD_commplatform_RCR_CAN_Matrix_V4.18.2_20251104.dbc:730</x:v>
      </x:c>
    </x:row>
    <x:row r="1171" ht="72" customHeight="1">
      <x:c r="A1171" s="144" t="str">
        <x:v>Com-Signal</x:v>
      </x:c>
      <x:c r="B1171" s="144" t="str">
        <x:v>COM-SIG-Rx-0259 / IMS_Status_S</x:v>
      </x:c>
      <x:c r="C1171" s="144" t="str">
        <x:v>PDU=MPC_0x1FF; startBit=18; length=3; byteOrder=Little; type=UINT8; factor=1; offset=0; min=0; max=7; unit=-; receivers=Media,INS,MRR,BSMCL,BSMCR,FCR</x:v>
      </x:c>
      <x:c r="D11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1" s="144" t="str">
        <x:v>M2</x:v>
      </x:c>
      <x:c r="F1171" s="144" t="str">
        <x:v>Signal 级可编辑配置、数据类型/缩放/端序合同、RTE 接口、边界值与 round-trip 测试。</x:v>
      </x:c>
      <x:c r="G1171" s="144" t="str">
        <x:v>raw=0、raw=max、物理 min/max、越界/保留值、端序字节向量、pack→unpack round-trip；1457/1457 通过。</x:v>
      </x:c>
      <x:c r="H1171" s="144" t="str">
        <x:v>coem/BYD_UKE/gen_bsw/Com/Com_PBcfg.c:56422; BoschOversea_StandardCANFD_commplatform_RCR_CAN_Matrix_V4.18.2_20251104.dbc:731</x:v>
      </x:c>
    </x:row>
    <x:row r="1172" ht="72" customHeight="1">
      <x:c r="A1172" s="144" t="str">
        <x:v>Com-Signal</x:v>
      </x:c>
      <x:c r="B1172" s="144" t="str">
        <x:v>COM-SIG-Rx-0260 / ADCMode_UI_Status</x:v>
      </x:c>
      <x:c r="C1172" s="144" t="str">
        <x:v>PDU=MPC_0x432; startBit=48; length=2; byteOrder=Little; type=UINT8; factor=1; offset=0; min=0; max=3; unit=-; receivers=Left_BCM_L1,Left_BCM_L2_L3,Left_BCM_L4,Media,MRR,BSMCL,BSMCR,FCR</x:v>
      </x:c>
      <x:c r="D11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2" s="144" t="str">
        <x:v>M2</x:v>
      </x:c>
      <x:c r="F1172" s="144" t="str">
        <x:v>Signal 级可编辑配置、数据类型/缩放/端序合同、RTE 接口、边界值与 round-trip 测试。</x:v>
      </x:c>
      <x:c r="G1172" s="144" t="str">
        <x:v>raw=0、raw=max、物理 min/max、越界/保留值、端序字节向量、pack→unpack round-trip；1457/1457 通过。</x:v>
      </x:c>
      <x:c r="H1172" s="144" t="str">
        <x:v>coem/BYD_UKE/gen_bsw/Com/Com_PBcfg.c:56482; BoschOversea_StandardCANFD_commplatform_RCR_CAN_Matrix_V4.18.2_20251104.dbc:510</x:v>
      </x:c>
    </x:row>
    <x:row r="1173" ht="72" customHeight="1">
      <x:c r="A1173" s="144" t="str">
        <x:v>Com-Signal</x:v>
      </x:c>
      <x:c r="B1173" s="144" t="str">
        <x:v>COM-SIG-Rx-0261 / Alive_Counter32D_S</x:v>
      </x:c>
      <x:c r="C1173" s="144" t="str">
        <x:v>PDU=MRR_0x32D; startBit=48; length=4; byteOrder=Little; type=UINT8; factor=1; offset=0; min=0; max=15; unit=-; receivers=FCR</x:v>
      </x:c>
      <x:c r="D11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3" s="144" t="str">
        <x:v>M2</x:v>
      </x:c>
      <x:c r="F1173" s="144" t="str">
        <x:v>Signal 级可编辑配置、数据类型/缩放/端序合同、RTE 接口、边界值与 round-trip 测试。</x:v>
      </x:c>
      <x:c r="G1173" s="144" t="str">
        <x:v>raw=0、raw=max、物理 min/max、越界/保留值、端序字节向量、pack→unpack round-trip；1457/1457 通过。</x:v>
      </x:c>
      <x:c r="H1173" s="144" t="str">
        <x:v>coem/BYD_UKE/gen_bsw/Com/Com_PBcfg.c:56542; BoschOversea_StandardCANFD_commplatform_FCR_CAN_Matrix_V4.18.2_20251104.dbc:298</x:v>
      </x:c>
    </x:row>
    <x:row r="1174" ht="72" customHeight="1">
      <x:c r="A1174" s="144" t="str">
        <x:v>Com-Signal</x:v>
      </x:c>
      <x:c r="B1174" s="144" t="str">
        <x:v>COM-SIG-Rx-0262 / Checksum32D_S</x:v>
      </x:c>
      <x:c r="C1174" s="144" t="str">
        <x:v>PDU=MRR_0x32D; startBit=56; length=8; byteOrder=Little; type=UINT8; factor=1; offset=0; min=0; max=255; unit=-; receivers=FCR</x:v>
      </x:c>
      <x:c r="D11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4" s="144" t="str">
        <x:v>M2</x:v>
      </x:c>
      <x:c r="F1174" s="144" t="str">
        <x:v>Signal 级可编辑配置、数据类型/缩放/端序合同、RTE 接口、边界值与 round-trip 测试。</x:v>
      </x:c>
      <x:c r="G1174" s="144" t="str">
        <x:v>raw=0、raw=max、物理 min/max、越界/保留值、端序字节向量、pack→unpack round-trip；1457/1457 通过。</x:v>
      </x:c>
      <x:c r="H1174" s="144" t="str">
        <x:v>coem/BYD_UKE/gen_bsw/Com/Com_PBcfg.c:56602; BoschOversea_StandardCANFD_commplatform_FCR_CAN_Matrix_V4.18.2_20251104.dbc:300</x:v>
      </x:c>
    </x:row>
    <x:row r="1175" ht="72" customHeight="1">
      <x:c r="A1175" s="144" t="str">
        <x:v>Com-Signal</x:v>
      </x:c>
      <x:c r="B1175" s="144" t="str">
        <x:v>COM-SIG-Rx-0263 / MRR_Modulation_Status</x:v>
      </x:c>
      <x:c r="C1175" s="144" t="str">
        <x:v>PDU=MRR_0x32D; startBit=54; length=2; byteOrder=Little; type=UINT8; factor=1; offset=0; min=0; max=3; unit=-; receivers=FCR</x:v>
      </x:c>
      <x:c r="D11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5" s="144" t="str">
        <x:v>M2</x:v>
      </x:c>
      <x:c r="F1175" s="144" t="str">
        <x:v>Signal 级可编辑配置、数据类型/缩放/端序合同、RTE 接口、边界值与 round-trip 测试。</x:v>
      </x:c>
      <x:c r="G1175" s="144" t="str">
        <x:v>raw=0、raw=max、物理 min/max、越界/保留值、端序字节向量、pack→unpack round-trip；1457/1457 通过。</x:v>
      </x:c>
      <x:c r="H1175" s="144" t="str">
        <x:v>coem/BYD_UKE/gen_bsw/Com/Com_PBcfg.c:56662; BoschOversea_StandardCANFD_commplatform_FCR_CAN_Matrix_V4.18.2_20251104.dbc:299</x:v>
      </x:c>
    </x:row>
    <x:row r="1176" ht="72" customHeight="1">
      <x:c r="A1176" s="144" t="str">
        <x:v>Com-Signal</x:v>
      </x:c>
      <x:c r="B1176" s="144" t="str">
        <x:v>COM-SIG-Rx-0264 / ACC_Axv_Cv_Aim_S_32E</x:v>
      </x:c>
      <x:c r="C1176" s="144" t="str">
        <x:v>PDU=MRR_0x32E; startBit=0; length=8; byteOrder=Little; type=UINT8; factor=0.05; offset=-7; min=-7; max=5.75; unit=m/s2; receivers=VCU,MPC,BSMCL,BSMCR,FCR</x:v>
      </x:c>
      <x:c r="D11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6" s="144" t="str">
        <x:v>M2</x:v>
      </x:c>
      <x:c r="F1176" s="144" t="str">
        <x:v>Signal 级可编辑配置、数据类型/缩放/端序合同、RTE 接口、边界值与 round-trip 测试。</x:v>
      </x:c>
      <x:c r="G1176" s="144" t="str">
        <x:v>raw=0、raw=max、物理 min/max、越界/保留值、端序字节向量、pack→unpack round-trip；1457/1457 通过。</x:v>
      </x:c>
      <x:c r="H1176" s="144" t="str">
        <x:v>coem/BYD_UKE/gen_bsw/Com/Com_PBcfg.c:56722; BoschOversea_StandardCANFD_commplatform_RCR_CAN_Matrix_V4.18.2_20251104.dbc:709</x:v>
      </x:c>
    </x:row>
    <x:row r="1177" ht="72" customHeight="1">
      <x:c r="A1177" s="144" t="str">
        <x:v>Com-Signal</x:v>
      </x:c>
      <x:c r="B1177" s="144" t="str">
        <x:v>COM-SIG-Rx-0265 / ACC_DecTo_Stop_Req_S_32E</x:v>
      </x:c>
      <x:c r="C1177" s="144" t="str">
        <x:v>PDU=MRR_0x32E; startBit=40; length=1; byteOrder=Little; type=UINT8; factor=1; offset=0; min=0; max=1; unit=-; receivers=VCU,MPC,BSMCL,BSMCR,FCR</x:v>
      </x:c>
      <x:c r="D11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7" s="144" t="str">
        <x:v>M2</x:v>
      </x:c>
      <x:c r="F1177" s="144" t="str">
        <x:v>Signal 级可编辑配置、数据类型/缩放/端序合同、RTE 接口、边界值与 round-trip 测试。</x:v>
      </x:c>
      <x:c r="G1177" s="144" t="str">
        <x:v>raw=0、raw=max、物理 min/max、越界/保留值、端序字节向量、pack→unpack round-trip；1457/1457 通过。</x:v>
      </x:c>
      <x:c r="H1177" s="144" t="str">
        <x:v>coem/BYD_UKE/gen_bsw/Com/Com_PBcfg.c:56782; BoschOversea_StandardCANFD_commplatform_RCR_CAN_Matrix_V4.18.2_20251104.dbc:715</x:v>
      </x:c>
    </x:row>
    <x:row r="1178" ht="72" customHeight="1">
      <x:c r="A1178" s="144" t="str">
        <x:v>Com-Signal</x:v>
      </x:c>
      <x:c r="B1178" s="144" t="str">
        <x:v>COM-SIG-Rx-0266 / ACC_Drive_Off_Req_S_32E</x:v>
      </x:c>
      <x:c r="C1178" s="144" t="str">
        <x:v>PDU=MRR_0x32E; startBit=39; length=1; byteOrder=Little; type=UINT8; factor=1; offset=0; min=0; max=1; unit=-; receivers=VCU,MPC,BSMCL,BSMCR,FCR</x:v>
      </x:c>
      <x:c r="D11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8" s="144" t="str">
        <x:v>M2</x:v>
      </x:c>
      <x:c r="F1178" s="144" t="str">
        <x:v>Signal 级可编辑配置、数据类型/缩放/端序合同、RTE 接口、边界值与 round-trip 测试。</x:v>
      </x:c>
      <x:c r="G1178" s="144" t="str">
        <x:v>raw=0、raw=max、物理 min/max、越界/保留值、端序字节向量、pack→unpack round-trip；1457/1457 通过。</x:v>
      </x:c>
      <x:c r="H1178" s="144" t="str">
        <x:v>coem/BYD_UKE/gen_bsw/Com/Com_PBcfg.c:56842; BoschOversea_StandardCANFD_commplatform_RCR_CAN_Matrix_V4.18.2_20251104.dbc:714</x:v>
      </x:c>
    </x:row>
    <x:row r="1179" ht="72" customHeight="1">
      <x:c r="A1179" s="144" t="str">
        <x:v>Com-Signal</x:v>
      </x:c>
      <x:c r="B1179" s="144" t="str">
        <x:v>COM-SIG-Rx-0267 / ACC_Minimum_Braking_S_32E</x:v>
      </x:c>
      <x:c r="C1179" s="144" t="str">
        <x:v>PDU=MRR_0x32E; startBit=41; length=1; byteOrder=Little; type=UINT8; factor=1; offset=0; min=0; max=1; unit=-; receivers=VCU,MPC,BSMCL,BSMCR,FCR</x:v>
      </x:c>
      <x:c r="D11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79" s="144" t="str">
        <x:v>M2</x:v>
      </x:c>
      <x:c r="F1179" s="144" t="str">
        <x:v>Signal 级可编辑配置、数据类型/缩放/端序合同、RTE 接口、边界值与 round-trip 测试。</x:v>
      </x:c>
      <x:c r="G1179" s="144" t="str">
        <x:v>raw=0、raw=max、物理 min/max、越界/保留值、端序字节向量、pack→unpack round-trip；1457/1457 通过。</x:v>
      </x:c>
      <x:c r="H1179" s="144" t="str">
        <x:v>coem/BYD_UKE/gen_bsw/Com/Com_PBcfg.c:56902; BoschOversea_StandardCANFD_commplatform_RCR_CAN_Matrix_V4.18.2_20251104.dbc:716</x:v>
      </x:c>
    </x:row>
    <x:row r="1180" ht="72" customHeight="1">
      <x:c r="A1180" s="144" t="str">
        <x:v>Com-Signal</x:v>
      </x:c>
      <x:c r="B1180" s="144" t="str">
        <x:v>COM-SIG-Rx-0268 / ACC_Mode_S_32E</x:v>
      </x:c>
      <x:c r="C1180" s="144" t="str">
        <x:v>PDU=MRR_0x32E; startBit=43; length=3; byteOrder=Little; type=UINT8; factor=1; offset=0; min=0; max=7; unit=-; receivers=VCU,MPC,BSMCL,BSMCR,FCR</x:v>
      </x:c>
      <x:c r="D11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0" s="144" t="str">
        <x:v>M2</x:v>
      </x:c>
      <x:c r="F1180" s="144" t="str">
        <x:v>Signal 级可编辑配置、数据类型/缩放/端序合同、RTE 接口、边界值与 round-trip 测试。</x:v>
      </x:c>
      <x:c r="G1180" s="144" t="str">
        <x:v>raw=0、raw=max、物理 min/max、越界/保留值、端序字节向量、pack→unpack round-trip；1457/1457 通过。</x:v>
      </x:c>
      <x:c r="H1180" s="144" t="str">
        <x:v>coem/BYD_UKE/gen_bsw/Com/Com_PBcfg.c:56962; BoschOversea_StandardCANFD_commplatform_RCR_CAN_Matrix_V4.18.2_20251104.dbc:718</x:v>
      </x:c>
    </x:row>
    <x:row r="1181" ht="72" customHeight="1">
      <x:c r="A1181" s="144" t="str">
        <x:v>Com-Signal</x:v>
      </x:c>
      <x:c r="B1181" s="144" t="str">
        <x:v>COM-SIG-Rx-0269 / ADt_Upper_Limit_Axv_Cv_S_32E</x:v>
      </x:c>
      <x:c r="C1181" s="144" t="str">
        <x:v>PDU=MRR_0x32E; startBit=24; length=7; byteOrder=Little; type=UINT8; factor=0.2; offset=0; min=0; max=16; unit=m/s3; receivers=VCU,MPC,BSMCL,BSMCR,FCR</x:v>
      </x:c>
      <x:c r="D11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1" s="144" t="str">
        <x:v>M2</x:v>
      </x:c>
      <x:c r="F1181" s="144" t="str">
        <x:v>Signal 级可编辑配置、数据类型/缩放/端序合同、RTE 接口、边界值与 round-trip 测试。</x:v>
      </x:c>
      <x:c r="G1181" s="144" t="str">
        <x:v>raw=0、raw=max、物理 min/max、越界/保留值、端序字节向量、pack→unpack round-trip；1457/1457 通过。</x:v>
      </x:c>
      <x:c r="H1181" s="144" t="str">
        <x:v>coem/BYD_UKE/gen_bsw/Com/Com_PBcfg.c:57022; BoschOversea_StandardCANFD_commplatform_RCR_CAN_Matrix_V4.18.2_20251104.dbc:712</x:v>
      </x:c>
    </x:row>
    <x:row r="1182" ht="72" customHeight="1">
      <x:c r="A1182" s="144" t="str">
        <x:v>Com-Signal</x:v>
      </x:c>
      <x:c r="B1182" s="144" t="str">
        <x:v>COM-SIG-Rx-0270 / Adt_Lower_Limit_Axv_Cv_S_32E</x:v>
      </x:c>
      <x:c r="C1182" s="144" t="str">
        <x:v>PDU=MRR_0x32E; startBit=32; length=7; byteOrder=Little; type=UINT8; factor=0.2; offset=-16; min=-16; max=0; unit=m/s3; receivers=VCU,MPC,BSMCL,BSMCR,FCR</x:v>
      </x:c>
      <x:c r="D11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2" s="144" t="str">
        <x:v>M2</x:v>
      </x:c>
      <x:c r="F1182" s="144" t="str">
        <x:v>Signal 级可编辑配置、数据类型/缩放/端序合同、RTE 接口、边界值与 round-trip 测试。</x:v>
      </x:c>
      <x:c r="G1182" s="144" t="str">
        <x:v>raw=0、raw=max、物理 min/max、越界/保留值、端序字节向量、pack→unpack round-trip；1457/1457 通过。</x:v>
      </x:c>
      <x:c r="H1182" s="144" t="str">
        <x:v>coem/BYD_UKE/gen_bsw/Com/Com_PBcfg.c:57082; BoschOversea_StandardCANFD_commplatform_RCR_CAN_Matrix_V4.18.2_20251104.dbc:713</x:v>
      </x:c>
    </x:row>
    <x:row r="1183" ht="72" customHeight="1">
      <x:c r="A1183" s="144" t="str">
        <x:v>Com-Signal</x:v>
      </x:c>
      <x:c r="B1183" s="144" t="str">
        <x:v>COM-SIG-Rx-0271 / Axv_Cv_Coft_Band_Lower_Val_S_32E</x:v>
      </x:c>
      <x:c r="C1183" s="144" t="str">
        <x:v>PDU=MRR_0x32E; startBit=16; length=8; byteOrder=Little; type=UINT8; factor=0.05; offset=-7; min=-7; max=5.75; unit=m/s2; receivers=VCU,MPC,BSMCL,BSMCR,FCR</x:v>
      </x:c>
      <x:c r="D11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3" s="144" t="str">
        <x:v>M2</x:v>
      </x:c>
      <x:c r="F1183" s="144" t="str">
        <x:v>Signal 级可编辑配置、数据类型/缩放/端序合同、RTE 接口、边界值与 round-trip 测试。</x:v>
      </x:c>
      <x:c r="G1183" s="144" t="str">
        <x:v>raw=0、raw=max、物理 min/max、越界/保留值、端序字节向量、pack→unpack round-trip；1457/1457 通过。</x:v>
      </x:c>
      <x:c r="H1183" s="144" t="str">
        <x:v>coem/BYD_UKE/gen_bsw/Com/Com_PBcfg.c:57142; BoschOversea_StandardCANFD_commplatform_RCR_CAN_Matrix_V4.18.2_20251104.dbc:711</x:v>
      </x:c>
    </x:row>
    <x:row r="1184" ht="72" customHeight="1">
      <x:c r="A1184" s="144" t="str">
        <x:v>Com-Signal</x:v>
      </x:c>
      <x:c r="B1184" s="144" t="str">
        <x:v>COM-SIG-Rx-0272 / Axv_Cv_Coft_Band_Upper_Val_S_32E</x:v>
      </x:c>
      <x:c r="C1184" s="144" t="str">
        <x:v>PDU=MRR_0x32E; startBit=8; length=8; byteOrder=Little; type=UINT8; factor=0.05; offset=-7; min=-7; max=5.75; unit=m/s2; receivers=VCU,MPC,BSMCL,BSMCR,FCR</x:v>
      </x:c>
      <x:c r="D118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4" s="144" t="str">
        <x:v>M2</x:v>
      </x:c>
      <x:c r="F1184" s="144" t="str">
        <x:v>Signal 级可编辑配置、数据类型/缩放/端序合同、RTE 接口、边界值与 round-trip 测试。</x:v>
      </x:c>
      <x:c r="G1184" s="144" t="str">
        <x:v>raw=0、raw=max、物理 min/max、越界/保留值、端序字节向量、pack→unpack round-trip；1457/1457 通过。</x:v>
      </x:c>
      <x:c r="H1184" s="144" t="str">
        <x:v>coem/BYD_UKE/gen_bsw/Com/Com_PBcfg.c:57202; BoschOversea_StandardCANFD_commplatform_RCR_CAN_Matrix_V4.18.2_20251104.dbc:710</x:v>
      </x:c>
    </x:row>
    <x:row r="1185" ht="72" customHeight="1">
      <x:c r="A1185" s="144" t="str">
        <x:v>Com-Signal</x:v>
      </x:c>
      <x:c r="B1185" s="144" t="str">
        <x:v>COM-SIG-Rx-0273 / Brake_Preferred_S_32E</x:v>
      </x:c>
      <x:c r="C1185" s="144" t="str">
        <x:v>PDU=MRR_0x32E; startBit=42; length=1; byteOrder=Little; type=UINT8; factor=1; offset=0; min=0; max=1; unit=-; receivers=VCU,MPC,BSMCL,BSMCR,FCR</x:v>
      </x:c>
      <x:c r="D11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5" s="144" t="str">
        <x:v>M2</x:v>
      </x:c>
      <x:c r="F1185" s="144" t="str">
        <x:v>Signal 级可编辑配置、数据类型/缩放/端序合同、RTE 接口、边界值与 round-trip 测试。</x:v>
      </x:c>
      <x:c r="G1185" s="144" t="str">
        <x:v>raw=0、raw=max、物理 min/max、越界/保留值、端序字节向量、pack→unpack round-trip；1457/1457 通过。</x:v>
      </x:c>
      <x:c r="H1185" s="144" t="str">
        <x:v>coem/BYD_UKE/gen_bsw/Com/Com_PBcfg.c:57262; BoschOversea_StandardCANFD_commplatform_RCR_CAN_Matrix_V4.18.2_20251104.dbc:717</x:v>
      </x:c>
    </x:row>
    <x:row r="1186" ht="72" customHeight="1">
      <x:c r="A1186" s="144" t="str">
        <x:v>Com-Signal</x:v>
      </x:c>
      <x:c r="B1186" s="144" t="str">
        <x:v>COM-SIG-Rx-0274 / Checksum_32E_S</x:v>
      </x:c>
      <x:c r="C1186" s="144" t="str">
        <x:v>PDU=MRR_0x32E; startBit=56; length=8; byteOrder=Little; type=UINT8; factor=1; offset=0; min=0; max=255; unit=-; receivers=VCU,MPC,BSMCL,BSMCR,FCR</x:v>
      </x:c>
      <x:c r="D11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6" s="144" t="str">
        <x:v>M2</x:v>
      </x:c>
      <x:c r="F1186" s="144" t="str">
        <x:v>Signal 级可编辑配置、数据类型/缩放/端序合同、RTE 接口、边界值与 round-trip 测试。</x:v>
      </x:c>
      <x:c r="G1186" s="144" t="str">
        <x:v>raw=0、raw=max、物理 min/max、越界/保留值、端序字节向量、pack→unpack round-trip；1457/1457 通过。</x:v>
      </x:c>
      <x:c r="H1186" s="144" t="str">
        <x:v>coem/BYD_UKE/gen_bsw/Com/Com_PBcfg.c:57322; BoschOversea_StandardCANFD_commplatform_RCR_CAN_Matrix_V4.18.2_20251104.dbc:722</x:v>
      </x:c>
    </x:row>
    <x:row r="1187" ht="72" customHeight="1">
      <x:c r="A1187" s="144" t="str">
        <x:v>Com-Signal</x:v>
      </x:c>
      <x:c r="B1187" s="144" t="str">
        <x:v>COM-SIG-Rx-0275 / Counter_32E_S</x:v>
      </x:c>
      <x:c r="C1187" s="144" t="str">
        <x:v>PDU=MRR_0x32E; startBit=48; length=4; byteOrder=Little; type=UINT8; factor=1; offset=0; min=0; max=15; unit=-; receivers=VCU,MPC,BSMCL,BSMCR,FCR</x:v>
      </x:c>
      <x:c r="D11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7" s="144" t="str">
        <x:v>M2</x:v>
      </x:c>
      <x:c r="F1187" s="144" t="str">
        <x:v>Signal 级可编辑配置、数据类型/缩放/端序合同、RTE 接口、边界值与 round-trip 测试。</x:v>
      </x:c>
      <x:c r="G1187" s="144" t="str">
        <x:v>raw=0、raw=max、物理 min/max、越界/保留值、端序字节向量、pack→unpack round-trip；1457/1457 通过。</x:v>
      </x:c>
      <x:c r="H1187" s="144" t="str">
        <x:v>coem/BYD_UKE/gen_bsw/Com/Com_PBcfg.c:57382; BoschOversea_StandardCANFD_commplatform_RCR_CAN_Matrix_V4.18.2_20251104.dbc:720</x:v>
      </x:c>
    </x:row>
    <x:row r="1188" ht="72" customHeight="1">
      <x:c r="A1188" s="144" t="str">
        <x:v>Com-Signal</x:v>
      </x:c>
      <x:c r="B1188" s="144" t="str">
        <x:v>COM-SIG-Rx-0276 / ESP_VLC_Shut_Down_Request_S_32E</x:v>
      </x:c>
      <x:c r="C1188" s="144" t="str">
        <x:v>PDU=MRR_0x32E; startBit=46; length=2; byteOrder=Little; type=UINT8; factor=1; offset=0; min=0; max=3; unit=-; receivers=VCU,MPC,BSMCL,BSMCR,FCR</x:v>
      </x:c>
      <x:c r="D11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8" s="144" t="str">
        <x:v>M2</x:v>
      </x:c>
      <x:c r="F1188" s="144" t="str">
        <x:v>Signal 级可编辑配置、数据类型/缩放/端序合同、RTE 接口、边界值与 round-trip 测试。</x:v>
      </x:c>
      <x:c r="G1188" s="144" t="str">
        <x:v>raw=0、raw=max、物理 min/max、越界/保留值、端序字节向量、pack→unpack round-trip；1457/1457 通过。</x:v>
      </x:c>
      <x:c r="H1188" s="144" t="str">
        <x:v>coem/BYD_UKE/gen_bsw/Com/Com_PBcfg.c:57442; BoschOversea_StandardCANFD_commplatform_RCR_CAN_Matrix_V4.18.2_20251104.dbc:719</x:v>
      </x:c>
    </x:row>
    <x:row r="1189" ht="72" customHeight="1">
      <x:c r="A1189" s="144" t="str">
        <x:v>Com-Signal</x:v>
      </x:c>
      <x:c r="B1189" s="144" t="str">
        <x:v>COM-SIG-Rx-0277 / LSM_Request_Status_S_32E</x:v>
      </x:c>
      <x:c r="C1189" s="144" t="str">
        <x:v>PDU=MRR_0x32E; startBit=52; length=3; byteOrder=Little; type=UINT8; factor=1; offset=0; min=0; max=7; unit=-; receivers=VCU,MPC,BSMCL,BSMCR,FCR</x:v>
      </x:c>
      <x:c r="D11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89" s="144" t="str">
        <x:v>M2</x:v>
      </x:c>
      <x:c r="F1189" s="144" t="str">
        <x:v>Signal 级可编辑配置、数据类型/缩放/端序合同、RTE 接口、边界值与 round-trip 测试。</x:v>
      </x:c>
      <x:c r="G1189" s="144" t="str">
        <x:v>raw=0、raw=max、物理 min/max、越界/保留值、端序字节向量、pack→unpack round-trip；1457/1457 通过。</x:v>
      </x:c>
      <x:c r="H1189" s="144" t="str">
        <x:v>coem/BYD_UKE/gen_bsw/Com/Com_PBcfg.c:57502; BoschOversea_StandardCANFD_commplatform_RCR_CAN_Matrix_V4.18.2_20251104.dbc:721</x:v>
      </x:c>
    </x:row>
    <x:row r="1190" ht="72" customHeight="1">
      <x:c r="A1190" s="144" t="str">
        <x:v>Com-Signal</x:v>
      </x:c>
      <x:c r="B1190" s="144" t="str">
        <x:v>COM-SIG-Rx-0278 / Date_Information_Day_2B6_S</x:v>
      </x:c>
      <x:c r="C1190" s="144" t="str">
        <x:v>PDU=Media_0x2B6; startBit=16; length=8; byteOrder=Little; type=UINT8; factor=1; offset=0; min=0; max=255; unit=-; receivers=Left_BCM_L1,Left_BCM_L2_L3,Left_BCM_L4,Right_BCM,ALS,LBMS,BMS,DCOBC,SRS,MPC,ADS,MRR,BSMCL,BSMCR</x:v>
      </x:c>
      <x:c r="D11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0" s="144" t="str">
        <x:v>M2</x:v>
      </x:c>
      <x:c r="F1190" s="144" t="str">
        <x:v>Signal 级可编辑配置、数据类型/缩放/端序合同、RTE 接口、边界值与 round-trip 测试。</x:v>
      </x:c>
      <x:c r="G1190" s="144" t="str">
        <x:v>raw=0、raw=max、物理 min/max、越界/保留值、端序字节向量、pack→unpack round-trip；1457/1457 通过。</x:v>
      </x:c>
      <x:c r="H1190" s="144" t="str">
        <x:v>coem/BYD_UKE/gen_bsw/Com/Com_PBcfg.c:57562; BoschOversea_StandardCANFD_commplatform_RCR_CAN_Matrix_V4.18.2_20251104.dbc:89</x:v>
      </x:c>
    </x:row>
    <x:row r="1191" ht="72" customHeight="1">
      <x:c r="A1191" s="144" t="str">
        <x:v>Com-Signal</x:v>
      </x:c>
      <x:c r="B1191" s="144" t="str">
        <x:v>COM-SIG-Rx-0279 / Date_Information_Hour_2B6_S</x:v>
      </x:c>
      <x:c r="C1191" s="144" t="str">
        <x:v>PDU=Media_0x2B6; startBit=24; length=8; byteOrder=Little; type=UINT8; factor=1; offset=0; min=0; max=255; unit=-; receivers=Left_BCM_L1,Left_BCM_L2_L3,Left_BCM_L4,Right_BCM,ALS,LBMS,BMS,DCOBC,SRS,MPC,ADS,MRR,BSMCL,BSMCR</x:v>
      </x:c>
      <x:c r="D11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1" s="144" t="str">
        <x:v>M2</x:v>
      </x:c>
      <x:c r="F1191" s="144" t="str">
        <x:v>Signal 级可编辑配置、数据类型/缩放/端序合同、RTE 接口、边界值与 round-trip 测试。</x:v>
      </x:c>
      <x:c r="G1191" s="144" t="str">
        <x:v>raw=0、raw=max、物理 min/max、越界/保留值、端序字节向量、pack→unpack round-trip；1457/1457 通过。</x:v>
      </x:c>
      <x:c r="H1191" s="144" t="str">
        <x:v>coem/BYD_UKE/gen_bsw/Com/Com_PBcfg.c:57622; BoschOversea_StandardCANFD_commplatform_RCR_CAN_Matrix_V4.18.2_20251104.dbc:90</x:v>
      </x:c>
    </x:row>
    <x:row r="1192" ht="72" customHeight="1">
      <x:c r="A1192" s="144" t="str">
        <x:v>Com-Signal</x:v>
      </x:c>
      <x:c r="B1192" s="144" t="str">
        <x:v>COM-SIG-Rx-0280 / Date_Information_Minute_2B6_S</x:v>
      </x:c>
      <x:c r="C1192" s="144" t="str">
        <x:v>PDU=Media_0x2B6; startBit=32; length=8; byteOrder=Little; type=UINT8; factor=1; offset=0; min=0; max=255; unit=-; receivers=Left_BCM_L1,Left_BCM_L2_L3,Left_BCM_L4,Right_BCM,ALS,LBMS,BMS,DCOBC,SRS,MPC,ADS,MRR,BSMCL,BSMCR</x:v>
      </x:c>
      <x:c r="D11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2" s="144" t="str">
        <x:v>M2</x:v>
      </x:c>
      <x:c r="F1192" s="144" t="str">
        <x:v>Signal 级可编辑配置、数据类型/缩放/端序合同、RTE 接口、边界值与 round-trip 测试。</x:v>
      </x:c>
      <x:c r="G1192" s="144" t="str">
        <x:v>raw=0、raw=max、物理 min/max、越界/保留值、端序字节向量、pack→unpack round-trip；1457/1457 通过。</x:v>
      </x:c>
      <x:c r="H1192" s="144" t="str">
        <x:v>coem/BYD_UKE/gen_bsw/Com/Com_PBcfg.c:57682; BoschOversea_StandardCANFD_commplatform_RCR_CAN_Matrix_V4.18.2_20251104.dbc:91</x:v>
      </x:c>
    </x:row>
    <x:row r="1193" ht="72" customHeight="1">
      <x:c r="A1193" s="144" t="str">
        <x:v>Com-Signal</x:v>
      </x:c>
      <x:c r="B1193" s="144" t="str">
        <x:v>COM-SIG-Rx-0281 / Date_Information_Month_2B6_S</x:v>
      </x:c>
      <x:c r="C1193" s="144" t="str">
        <x:v>PDU=Media_0x2B6; startBit=8; length=8; byteOrder=Little; type=UINT8; factor=1; offset=0; min=0; max=255; unit=-; receivers=Left_BCM_L1,Left_BCM_L2_L3,Left_BCM_L4,Right_BCM,ALS,LBMS,BMS,DCOBC,SRS,MPC,ADS,MRR,BSMCL,BSMCR</x:v>
      </x:c>
      <x:c r="D11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3" s="144" t="str">
        <x:v>M2</x:v>
      </x:c>
      <x:c r="F1193" s="144" t="str">
        <x:v>Signal 级可编辑配置、数据类型/缩放/端序合同、RTE 接口、边界值与 round-trip 测试。</x:v>
      </x:c>
      <x:c r="G1193" s="144" t="str">
        <x:v>raw=0、raw=max、物理 min/max、越界/保留值、端序字节向量、pack→unpack round-trip；1457/1457 通过。</x:v>
      </x:c>
      <x:c r="H1193" s="144" t="str">
        <x:v>coem/BYD_UKE/gen_bsw/Com/Com_PBcfg.c:57742; BoschOversea_StandardCANFD_commplatform_RCR_CAN_Matrix_V4.18.2_20251104.dbc:88</x:v>
      </x:c>
    </x:row>
    <x:row r="1194" ht="72" customHeight="1">
      <x:c r="A1194" s="144" t="str">
        <x:v>Com-Signal</x:v>
      </x:c>
      <x:c r="B1194" s="144" t="str">
        <x:v>COM-SIG-Rx-0282 / Date_Information_Second_2B6_S</x:v>
      </x:c>
      <x:c r="C1194" s="144" t="str">
        <x:v>PDU=Media_0x2B6; startBit=40; length=8; byteOrder=Little; type=UINT8; factor=1; offset=0; min=0; max=255; unit=-; receivers=Left_BCM_L1,Left_BCM_L2_L3,Left_BCM_L4,Right_BCM,ALS,LBMS,BMS,DCOBC,SRS,MPC,ADS,MRR,BSMCL,BSMCR</x:v>
      </x:c>
      <x:c r="D11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4" s="144" t="str">
        <x:v>M2</x:v>
      </x:c>
      <x:c r="F1194" s="144" t="str">
        <x:v>Signal 级可编辑配置、数据类型/缩放/端序合同、RTE 接口、边界值与 round-trip 测试。</x:v>
      </x:c>
      <x:c r="G1194" s="144" t="str">
        <x:v>raw=0、raw=max、物理 min/max、越界/保留值、端序字节向量、pack→unpack round-trip；1457/1457 通过。</x:v>
      </x:c>
      <x:c r="H1194" s="144" t="str">
        <x:v>coem/BYD_UKE/gen_bsw/Com/Com_PBcfg.c:57802; BoschOversea_StandardCANFD_commplatform_RCR_CAN_Matrix_V4.18.2_20251104.dbc:92</x:v>
      </x:c>
    </x:row>
    <x:row r="1195" ht="72" customHeight="1">
      <x:c r="A1195" s="144" t="str">
        <x:v>Com-Signal</x:v>
      </x:c>
      <x:c r="B1195" s="144" t="str">
        <x:v>COM-SIG-Rx-0283 / Date_Information_Year_2B6_S</x:v>
      </x:c>
      <x:c r="C1195" s="144" t="str">
        <x:v>PDU=Media_0x2B6; startBit=0; length=8; byteOrder=Little; type=UINT8; factor=1; offset=0; min=0; max=255; unit=-; receivers=Left_BCM_L1,Left_BCM_L2_L3,Left_BCM_L4,Right_BCM,ALS,BMS,DCOBC,SRS,MPC,ADS,MRR,BSMCL,BSMCR</x:v>
      </x:c>
      <x:c r="D119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5" s="144" t="str">
        <x:v>M2</x:v>
      </x:c>
      <x:c r="F1195" s="144" t="str">
        <x:v>Signal 级可编辑配置、数据类型/缩放/端序合同、RTE 接口、边界值与 round-trip 测试。</x:v>
      </x:c>
      <x:c r="G1195" s="144" t="str">
        <x:v>raw=0、raw=max、物理 min/max、越界/保留值、端序字节向量、pack→unpack round-trip；1457/1457 通过。</x:v>
      </x:c>
      <x:c r="H1195" s="144" t="str">
        <x:v>coem/BYD_UKE/gen_bsw/Com/Com_PBcfg.c:57862; BoschOversea_StandardCANFD_commplatform_RCR_CAN_Matrix_V4.18.2_20251104.dbc:87</x:v>
      </x:c>
    </x:row>
    <x:row r="1196" ht="72" customHeight="1">
      <x:c r="A1196" s="144" t="str">
        <x:v>Com-Signal</x:v>
      </x:c>
      <x:c r="B1196" s="144" t="str">
        <x:v>COM-SIG-Rx-0284 / Week_2B6_S</x:v>
      </x:c>
      <x:c r="C1196" s="144" t="str">
        <x:v>PDU=Media_0x2B6; startBit=48; length=3; byteOrder=Little; type=UINT8; factor=1; offset=0; min=0; max=7; unit=-; receivers=Left_BCM_L1,Left_BCM_L2_L3,Left_BCM_L4,MPC,ADS,MRR,BSMCL,BSMCR</x:v>
      </x:c>
      <x:c r="D11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6" s="144" t="str">
        <x:v>M2</x:v>
      </x:c>
      <x:c r="F1196" s="144" t="str">
        <x:v>Signal 级可编辑配置、数据类型/缩放/端序合同、RTE 接口、边界值与 round-trip 测试。</x:v>
      </x:c>
      <x:c r="G1196" s="144" t="str">
        <x:v>raw=0、raw=max、物理 min/max、越界/保留值、端序字节向量、pack→unpack round-trip；1457/1457 通过。</x:v>
      </x:c>
      <x:c r="H1196" s="144" t="str">
        <x:v>coem/BYD_UKE/gen_bsw/Com/Com_PBcfg.c:57922; BoschOversea_StandardCANFD_commplatform_RCR_CAN_Matrix_V4.18.2_20251104.dbc:93</x:v>
      </x:c>
    </x:row>
    <x:row r="1197" ht="72" customHeight="1">
      <x:c r="A1197" s="144" t="str">
        <x:v>Com-Signal</x:v>
      </x:c>
      <x:c r="B1197" s="144" t="str">
        <x:v>COM-SIG-Rx-0285 / BSD_LCW_Audio_Enable_S</x:v>
      </x:c>
      <x:c r="C1197" s="144" t="str">
        <x:v>PDU=Media_0x32B; startBit=33; length=3; byteOrder=Little; type=UINT8; factor=1; offset=0; min=0; max=7; unit=-; receivers=BSMCL,BSMCR</x:v>
      </x:c>
      <x:c r="D11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7" s="144" t="str">
        <x:v>M2</x:v>
      </x:c>
      <x:c r="F1197" s="144" t="str">
        <x:v>Signal 级可编辑配置、数据类型/缩放/端序合同、RTE 接口、边界值与 round-trip 测试。</x:v>
      </x:c>
      <x:c r="G1197" s="144" t="str">
        <x:v>raw=0、raw=max、物理 min/max、越界/保留值、端序字节向量、pack→unpack round-trip；1457/1457 通过。</x:v>
      </x:c>
      <x:c r="H1197" s="144" t="str">
        <x:v>coem/BYD_UKE/gen_bsw/Com/Com_PBcfg.c:57982; BoschOversea_StandardCANFD_commplatform_RCR_CAN_Matrix_V4.18.2_20251104.dbc:505</x:v>
      </x:c>
    </x:row>
    <x:row r="1198" ht="72" customHeight="1">
      <x:c r="A1198" s="144" t="str">
        <x:v>Com-Signal</x:v>
      </x:c>
      <x:c r="B1198" s="144" t="str">
        <x:v>COM-SIG-Rx-0286 / Child_ID_32B_S</x:v>
      </x:c>
      <x:c r="C1198" s="144" t="str">
        <x:v>PDU=Media_0x32B; startBit=0; length=8; byteOrder=Little; type=UINT8; factor=1; offset=0; min=0; max=255; unit=-; receivers=BSMCL,BSMCR</x:v>
      </x:c>
      <x:c r="D11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8" s="144" t="str">
        <x:v>M2</x:v>
      </x:c>
      <x:c r="F1198" s="144" t="str">
        <x:v>Signal 级可编辑配置、数据类型/缩放/端序合同、RTE 接口、边界值与 round-trip 测试。</x:v>
      </x:c>
      <x:c r="G1198" s="144" t="str">
        <x:v>raw=0、raw=max、物理 min/max、越界/保留值、端序字节向量、pack→unpack round-trip；1457/1457 通过。</x:v>
      </x:c>
      <x:c r="H1198" s="144" t="str">
        <x:v>coem/BYD_UKE/gen_bsw/Com/Com_PBcfg.c:58042; BoschOversea_StandardCANFD_commplatform_RCR_CAN_Matrix_V4.18.2_20251104.dbc:503</x:v>
      </x:c>
    </x:row>
    <x:row r="1199" ht="72" customHeight="1">
      <x:c r="A1199" s="144" t="str">
        <x:v>Com-Signal</x:v>
      </x:c>
      <x:c r="B1199" s="144" t="str">
        <x:v>COM-SIG-Rx-0287 / Custom_Key_Interval_Adj</x:v>
      </x:c>
      <x:c r="C1199" s="144" t="str">
        <x:v>PDU=Media_0x32B; startBit=62; length=2; byteOrder=Little; type=UINT8; factor=1; offset=0; min=0; max=3; unit=-; receivers=BSMCL,BSMCR,FCR</x:v>
      </x:c>
      <x:c r="D119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199" s="144" t="str">
        <x:v>M2</x:v>
      </x:c>
      <x:c r="F1199" s="144" t="str">
        <x:v>Signal 级可编辑配置、数据类型/缩放/端序合同、RTE 接口、边界值与 round-trip 测试。</x:v>
      </x:c>
      <x:c r="G1199" s="144" t="str">
        <x:v>raw=0、raw=max、物理 min/max、越界/保留值、端序字节向量、pack→unpack round-trip；1457/1457 通过。</x:v>
      </x:c>
      <x:c r="H1199" s="144" t="str">
        <x:v>coem/BYD_UKE/gen_bsw/Com/Com_PBcfg.c:58102; BoschOversea_StandardCANFD_commplatform_RCR_CAN_Matrix_V4.18.2_20251104.dbc:507</x:v>
      </x:c>
    </x:row>
    <x:row r="1200" ht="72" customHeight="1">
      <x:c r="A1200" s="144" t="str">
        <x:v>Com-Signal</x:v>
      </x:c>
      <x:c r="B1200" s="144" t="str">
        <x:v>COM-SIG-Rx-0288 / FCTA_FCTB_Enable_S</x:v>
      </x:c>
      <x:c r="C1200" s="144" t="str">
        <x:v>PDU=Media_0x32B; startBit=27; length=3; byteOrder=Little; type=UINT8; factor=1; offset=0; min=0; max=7; unit=-; receivers=BSMCR</x:v>
      </x:c>
      <x:c r="D120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0" s="144" t="str">
        <x:v>M2</x:v>
      </x:c>
      <x:c r="F1200" s="144" t="str">
        <x:v>Signal 级可编辑配置、数据类型/缩放/端序合同、RTE 接口、边界值与 round-trip 测试。</x:v>
      </x:c>
      <x:c r="G1200" s="144" t="str">
        <x:v>raw=0、raw=max、物理 min/max、越界/保留值、端序字节向量、pack→unpack round-trip；1457/1457 通过。</x:v>
      </x:c>
      <x:c r="H1200" s="144" t="str">
        <x:v>coem/BYD_UKE/gen_bsw/Com/Com_PBcfg.c:58162; BoschOversea_StandardCANFD_commplatform_RCR_CAN_Matrix_V4.18.2_20251104.dbc:502</x:v>
      </x:c>
    </x:row>
    <x:row r="1201" ht="72" customHeight="1">
      <x:c r="A1201" s="144" t="str">
        <x:v>Com-Signal</x:v>
      </x:c>
      <x:c r="B1201" s="144" t="str">
        <x:v>COM-SIG-Rx-0289 / IMS_Enable_S</x:v>
      </x:c>
      <x:c r="C1201" s="144" t="str">
        <x:v>PDU=Media_0x32B; startBit=59; length=3; byteOrder=Little; type=UINT8; factor=1; offset=0; min=0; max=7; unit=-; receivers=BSMCL,BSMCR,FCR</x:v>
      </x:c>
      <x:c r="D120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1" s="144" t="str">
        <x:v>M2</x:v>
      </x:c>
      <x:c r="F1201" s="144" t="str">
        <x:v>Signal 级可编辑配置、数据类型/缩放/端序合同、RTE 接口、边界值与 round-trip 测试。</x:v>
      </x:c>
      <x:c r="G1201" s="144" t="str">
        <x:v>raw=0、raw=max、物理 min/max、越界/保留值、端序字节向量、pack→unpack round-trip；1457/1457 通过。</x:v>
      </x:c>
      <x:c r="H1201" s="144" t="str">
        <x:v>coem/BYD_UKE/gen_bsw/Com/Com_PBcfg.c:58222; BoschOversea_StandardCANFD_commplatform_RCR_CAN_Matrix_V4.18.2_20251104.dbc:506</x:v>
      </x:c>
    </x:row>
    <x:row r="1202" ht="72" customHeight="1">
      <x:c r="A1202" s="144" t="str">
        <x:v>Com-Signal</x:v>
      </x:c>
      <x:c r="B1202" s="144" t="str">
        <x:v>COM-SIG-Rx-0290 / RCTA_RCTB_Enable_S</x:v>
      </x:c>
      <x:c r="C1202" s="144" t="str">
        <x:v>PDU=Media_0x32B; startBit=30; length=3; byteOrder=Little; type=UINT8; factor=1; offset=0; min=0; max=7; unit=-; receivers=BSMCL,BSMCR</x:v>
      </x:c>
      <x:c r="D120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2" s="144" t="str">
        <x:v>M2</x:v>
      </x:c>
      <x:c r="F1202" s="144" t="str">
        <x:v>Signal 级可编辑配置、数据类型/缩放/端序合同、RTE 接口、边界值与 round-trip 测试。</x:v>
      </x:c>
      <x:c r="G1202" s="144" t="str">
        <x:v>raw=0、raw=max、物理 min/max、越界/保留值、端序字节向量、pack→unpack round-trip；1457/1457 通过。</x:v>
      </x:c>
      <x:c r="H1202" s="144" t="str">
        <x:v>coem/BYD_UKE/gen_bsw/Com/Com_PBcfg.c:58282; BoschOversea_StandardCANFD_commplatform_RCR_CAN_Matrix_V4.18.2_20251104.dbc:504</x:v>
      </x:c>
    </x:row>
    <x:row r="1203" ht="72" customHeight="1">
      <x:c r="A1203" s="144" t="str">
        <x:v>Com-Signal</x:v>
      </x:c>
      <x:c r="B1203" s="144" t="str">
        <x:v>COM-SIG-Rx-0291 / BSD_Enable_S</x:v>
      </x:c>
      <x:c r="C1203" s="144" t="str">
        <x:v>PDU=Media_0x385; startBit=40; length=2; byteOrder=Little; type=UINT8; factor=1; offset=0; min=0; max=3; unit=-; receivers=ADS,BSMCL,BSMCR</x:v>
      </x:c>
      <x:c r="D120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3" s="144" t="str">
        <x:v>M2</x:v>
      </x:c>
      <x:c r="F1203" s="144" t="str">
        <x:v>Signal 级可编辑配置、数据类型/缩放/端序合同、RTE 接口、边界值与 round-trip 测试。</x:v>
      </x:c>
      <x:c r="G1203" s="144" t="str">
        <x:v>raw=0、raw=max、物理 min/max、越界/保留值、端序字节向量、pack→unpack round-trip；1457/1457 通过。</x:v>
      </x:c>
      <x:c r="H1203" s="144" t="str">
        <x:v>coem/BYD_UKE/gen_bsw/Com/Com_PBcfg.c:58342; BoschOversea_StandardCANFD_commplatform_RCR_CAN_Matrix_V4.18.2_20251104.dbc:84</x:v>
      </x:c>
    </x:row>
    <x:row r="1204" ht="72" customHeight="1">
      <x:c r="A1204" s="144" t="str">
        <x:v>Com-Signal</x:v>
      </x:c>
      <x:c r="B1204" s="144" t="str">
        <x:v>COM-SIG-Rx-0292 / DOW_Enable_S</x:v>
      </x:c>
      <x:c r="C1204" s="144" t="str">
        <x:v>PDU=Media_0x385; startBit=10; length=2; byteOrder=Little; type=UINT8; factor=1; offset=0; min=0; max=3; unit=-; receivers=ADS,BSMCL,BSMCR</x:v>
      </x:c>
      <x:c r="D120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4" s="144" t="str">
        <x:v>M2</x:v>
      </x:c>
      <x:c r="F1204" s="144" t="str">
        <x:v>Signal 级可编辑配置、数据类型/缩放/端序合同、RTE 接口、边界值与 round-trip 测试。</x:v>
      </x:c>
      <x:c r="G1204" s="144" t="str">
        <x:v>raw=0、raw=max、物理 min/max、越界/保留值、端序字节向量、pack→unpack round-trip；1457/1457 通过。</x:v>
      </x:c>
      <x:c r="H1204" s="144" t="str">
        <x:v>coem/BYD_UKE/gen_bsw/Com/Com_PBcfg.c:58402; BoschOversea_StandardCANFD_commplatform_RCR_CAN_Matrix_V4.18.2_20251104.dbc:82</x:v>
      </x:c>
    </x:row>
    <x:row r="1205" ht="72" customHeight="1">
      <x:c r="A1205" s="144" t="str">
        <x:v>Com-Signal</x:v>
      </x:c>
      <x:c r="B1205" s="144" t="str">
        <x:v>COM-SIG-Rx-0293 / RCTA_Enable_S</x:v>
      </x:c>
      <x:c r="C1205" s="144" t="str">
        <x:v>PDU=Media_0x385; startBit=6; length=2; byteOrder=Little; type=UINT8; factor=1; offset=0; min=0; max=3; unit=-; receivers=ADS,BSMCL,BSMCR</x:v>
      </x:c>
      <x:c r="D120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5" s="144" t="str">
        <x:v>M2</x:v>
      </x:c>
      <x:c r="F1205" s="144" t="str">
        <x:v>Signal 级可编辑配置、数据类型/缩放/端序合同、RTE 接口、边界值与 round-trip 测试。</x:v>
      </x:c>
      <x:c r="G1205" s="144" t="str">
        <x:v>raw=0、raw=max、物理 min/max、越界/保留值、端序字节向量、pack→unpack round-trip；1457/1457 通过。</x:v>
      </x:c>
      <x:c r="H1205" s="144" t="str">
        <x:v>coem/BYD_UKE/gen_bsw/Com/Com_PBcfg.c:58462; BoschOversea_StandardCANFD_commplatform_RCR_CAN_Matrix_V4.18.2_20251104.dbc:80</x:v>
      </x:c>
    </x:row>
    <x:row r="1206" ht="72" customHeight="1">
      <x:c r="A1206" s="144" t="str">
        <x:v>Com-Signal</x:v>
      </x:c>
      <x:c r="B1206" s="144" t="str">
        <x:v>COM-SIG-Rx-0294 / RCTB_Enable_S</x:v>
      </x:c>
      <x:c r="C1206" s="144" t="str">
        <x:v>PDU=Media_0x385; startBit=22; length=2; byteOrder=Little; type=UINT8; factor=1; offset=0; min=0; max=3; unit=-; receivers=ADS,BSMCL,BSMCR</x:v>
      </x:c>
      <x:c r="D120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6" s="144" t="str">
        <x:v>M2</x:v>
      </x:c>
      <x:c r="F1206" s="144" t="str">
        <x:v>Signal 级可编辑配置、数据类型/缩放/端序合同、RTE 接口、边界值与 round-trip 测试。</x:v>
      </x:c>
      <x:c r="G1206" s="144" t="str">
        <x:v>raw=0、raw=max、物理 min/max、越界/保留值、端序字节向量、pack→unpack round-trip；1457/1457 通过。</x:v>
      </x:c>
      <x:c r="H1206" s="144" t="str">
        <x:v>coem/BYD_UKE/gen_bsw/Com/Com_PBcfg.c:58522; BoschOversea_StandardCANFD_commplatform_RCR_CAN_Matrix_V4.18.2_20251104.dbc:83</x:v>
      </x:c>
    </x:row>
    <x:row r="1207" ht="72" customHeight="1">
      <x:c r="A1207" s="144" t="str">
        <x:v>Com-Signal</x:v>
      </x:c>
      <x:c r="B1207" s="144" t="str">
        <x:v>COM-SIG-Rx-0295 / RCW_Enable_S</x:v>
      </x:c>
      <x:c r="C1207" s="144" t="str">
        <x:v>PDU=Media_0x385; startBit=8; length=2; byteOrder=Little; type=UINT8; factor=1; offset=0; min=0; max=3; unit=-; receivers=ADS,BSMCL,BSMCR</x:v>
      </x:c>
      <x:c r="D120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7" s="144" t="str">
        <x:v>M2</x:v>
      </x:c>
      <x:c r="F1207" s="144" t="str">
        <x:v>Signal 级可编辑配置、数据类型/缩放/端序合同、RTE 接口、边界值与 round-trip 测试。</x:v>
      </x:c>
      <x:c r="G1207" s="144" t="str">
        <x:v>raw=0、raw=max、物理 min/max、越界/保留值、端序字节向量、pack→unpack round-trip；1457/1457 通过。</x:v>
      </x:c>
      <x:c r="H1207" s="144" t="str">
        <x:v>coem/BYD_UKE/gen_bsw/Com/Com_PBcfg.c:58582; BoschOversea_StandardCANFD_commplatform_RCR_CAN_Matrix_V4.18.2_20251104.dbc:81</x:v>
      </x:c>
    </x:row>
    <x:row r="1208" ht="72" customHeight="1">
      <x:c r="A1208" s="144" t="str">
        <x:v>Com-Signal</x:v>
      </x:c>
      <x:c r="B1208" s="144" t="str">
        <x:v>COM-SIG-Rx-0296 / Drv_Asis_St_RstrDflt_Flg_S</x:v>
      </x:c>
      <x:c r="C1208" s="144" t="str">
        <x:v>PDU=Media_0x3E3; startBit=56; length=1; byteOrder=Little; type=UINT8; factor=1; offset=0; min=0; max=1; unit=-; receivers=Left_BCM_L1,Left_BCM_L2_L3,Left_BCM_L4,AVAS,VCU,BMS,MPC,ADS,BSMCL,BSMCR,APA</x:v>
      </x:c>
      <x:c r="D120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8" s="144" t="str">
        <x:v>M2</x:v>
      </x:c>
      <x:c r="F1208" s="144" t="str">
        <x:v>Signal 级可编辑配置、数据类型/缩放/端序合同、RTE 接口、边界值与 round-trip 测试。</x:v>
      </x:c>
      <x:c r="G1208" s="144" t="str">
        <x:v>raw=0、raw=max、物理 min/max、越界/保留值、端序字节向量、pack→unpack round-trip；1457/1457 通过。</x:v>
      </x:c>
      <x:c r="H1208" s="144" t="str">
        <x:v>coem/BYD_UKE/gen_bsw/Com/Com_PBcfg.c:58642; BoschOversea_StandardCANFD_commplatform_RCR_CAN_Matrix_V4.18.2_20251104.dbc:97</x:v>
      </x:c>
    </x:row>
    <x:row r="1209" ht="72" customHeight="1">
      <x:c r="A1209" s="144" t="str">
        <x:v>Com-Signal</x:v>
      </x:c>
      <x:c r="B1209" s="144" t="str">
        <x:v>COM-SIG-Rx-0297 / Media_Factory_Default_S</x:v>
      </x:c>
      <x:c r="C1209" s="144" t="str">
        <x:v>PDU=Media_0x3E3; startBit=8; length=2; byteOrder=Little; type=UINT8; factor=1; offset=0; min=0; max=3; unit=-; receivers=Left_BCM_L1,Left_BCM_L2_L3,Left_BCM_L4,Right_BCM,Rear_BCM,AVAS,PSDL,PSDR,BD,PAL,LBMS,DCOBC,MPC,ADS,MRR,BSMCL,BSMCR,APA,FLL,FLR</x:v>
      </x:c>
      <x:c r="D120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09" s="144" t="str">
        <x:v>M2</x:v>
      </x:c>
      <x:c r="F1209" s="144" t="str">
        <x:v>Signal 级可编辑配置、数据类型/缩放/端序合同、RTE 接口、边界值与 round-trip 测试。</x:v>
      </x:c>
      <x:c r="G1209" s="144" t="str">
        <x:v>raw=0、raw=max、物理 min/max、越界/保留值、端序字节向量、pack→unpack round-trip；1457/1457 通过。</x:v>
      </x:c>
      <x:c r="H1209" s="144" t="str">
        <x:v>coem/BYD_UKE/gen_bsw/Com/Com_PBcfg.c:58702; BoschOversea_StandardCANFD_commplatform_RCR_CAN_Matrix_V4.18.2_20251104.dbc:96</x:v>
      </x:c>
    </x:row>
    <x:row r="1210" ht="72" customHeight="1">
      <x:c r="A1210" s="144" t="str">
        <x:v>Com-Signal</x:v>
      </x:c>
      <x:c r="B1210" s="144" t="str">
        <x:v>COM-SIG-Rx-0298 / Child_ID_40C_S</x:v>
      </x:c>
      <x:c r="C1210" s="144" t="str">
        <x:v>PDU=Media_0x40C; startBit=0; length=8; byteOrder=Little; type=UINT8; factor=1; offset=0; min=0; max=255; unit=-; receivers=MPC,ADS,MRR,BSMCL,BSMCR,FCR</x:v>
      </x:c>
      <x:c r="D121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0" s="144" t="str">
        <x:v>M2</x:v>
      </x:c>
      <x:c r="F1210" s="144" t="str">
        <x:v>Signal 级可编辑配置、数据类型/缩放/端序合同、RTE 接口、边界值与 round-trip 测试。</x:v>
      </x:c>
      <x:c r="G1210" s="144" t="str">
        <x:v>raw=0、raw=max、物理 min/max、越界/保留值、端序字节向量、pack→unpack round-trip；1457/1457 通过。</x:v>
      </x:c>
      <x:c r="H1210" s="144" t="str">
        <x:v>coem/BYD_UKE/gen_bsw/Com/Com_PBcfg.c:58762; BoschOversea_StandardCANFD_commplatform_RCR_CAN_Matrix_V4.18.2_20251104.dbc:358</x:v>
      </x:c>
    </x:row>
    <x:row r="1211" ht="72" customHeight="1">
      <x:c r="A1211" s="144" t="str">
        <x:v>Com-Signal</x:v>
      </x:c>
      <x:c r="B1211" s="144" t="str">
        <x:v>COM-SIG-Rx-0299 / End_Of_Startup_Animaion_State</x:v>
      </x:c>
      <x:c r="C1211" s="144" t="str">
        <x:v>PDU=Media_0x40C; startBit=38; length=2; byteOrder=Little; type=UINT8; factor=1; offset=0; min=0; max=3; unit=-; receivers=MPC,ADS,MRR,BSMCL,BSMCR,FCR</x:v>
      </x:c>
      <x:c r="D121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1" s="144" t="str">
        <x:v>M2</x:v>
      </x:c>
      <x:c r="F1211" s="144" t="str">
        <x:v>Signal 级可编辑配置、数据类型/缩放/端序合同、RTE 接口、边界值与 round-trip 测试。</x:v>
      </x:c>
      <x:c r="G1211" s="144" t="str">
        <x:v>raw=0、raw=max、物理 min/max、越界/保留值、端序字节向量、pack→unpack round-trip；1457/1457 通过。</x:v>
      </x:c>
      <x:c r="H1211" s="144" t="str">
        <x:v>coem/BYD_UKE/gen_bsw/Com/Com_PBcfg.c:58822; BoschOversea_StandardCANFD_commplatform_RCR_CAN_Matrix_V4.18.2_20251104.dbc:359</x:v>
      </x:c>
    </x:row>
    <x:row r="1212" ht="72" customHeight="1">
      <x:c r="A1212" s="144" t="str">
        <x:v>Com-Signal</x:v>
      </x:c>
      <x:c r="B1212" s="144" t="str">
        <x:v>COM-SIG-Rx-0300 / Accident_Ahead_status_S</x:v>
      </x:c>
      <x:c r="C1212" s="144" t="str">
        <x:v>PDU=Media_0x4B4; startBit=88; length=2; byteOrder=Little; type=UINT8; factor=1; offset=0; min=0; max=3; unit=-; receivers=MPC,FCR</x:v>
      </x:c>
      <x:c r="D121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2" s="144" t="str">
        <x:v>M2</x:v>
      </x:c>
      <x:c r="F1212" s="144" t="str">
        <x:v>Signal 级可编辑配置、数据类型/缩放/端序合同、RTE 接口、边界值与 round-trip 测试。</x:v>
      </x:c>
      <x:c r="G1212" s="144" t="str">
        <x:v>raw=0、raw=max、物理 min/max、越界/保留值、端序字节向量、pack→unpack round-trip；1457/1457 通过。</x:v>
      </x:c>
      <x:c r="H1212" s="144" t="str">
        <x:v>coem/BYD_UKE/gen_bsw/Com/Com_PBcfg.c:58882; BoschOversea_StandardCANFD_commplatform_FCR_CAN_Matrix_V4.18.2_20251104.dbc:340</x:v>
      </x:c>
    </x:row>
    <x:row r="1213" ht="72" customHeight="1">
      <x:c r="A1213" s="144" t="str">
        <x:v>Com-Signal</x:v>
      </x:c>
      <x:c r="B1213" s="144" t="str">
        <x:v>COM-SIG-Rx-0301 / Construction_Zones_status_S</x:v>
      </x:c>
      <x:c r="C1213" s="144" t="str">
        <x:v>PDU=Media_0x4B4; startBit=86; length=2; byteOrder=Little; type=UINT8; factor=1; offset=0; min=0; max=3; unit=-; receivers=MPC,FCR</x:v>
      </x:c>
      <x:c r="D12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3" s="144" t="str">
        <x:v>M2</x:v>
      </x:c>
      <x:c r="F1213" s="144" t="str">
        <x:v>Signal 级可编辑配置、数据类型/缩放/端序合同、RTE 接口、边界值与 round-trip 测试。</x:v>
      </x:c>
      <x:c r="G1213" s="144" t="str">
        <x:v>raw=0、raw=max、物理 min/max、越界/保留值、端序字节向量、pack→unpack round-trip；1457/1457 通过。</x:v>
      </x:c>
      <x:c r="H1213" s="144" t="str">
        <x:v>coem/BYD_UKE/gen_bsw/Com/Com_PBcfg.c:58942; BoschOversea_StandardCANFD_commplatform_FCR_CAN_Matrix_V4.18.2_20251104.dbc:339</x:v>
      </x:c>
    </x:row>
    <x:row r="1214" ht="72" customHeight="1">
      <x:c r="A1214" s="144" t="str">
        <x:v>Com-Signal</x:v>
      </x:c>
      <x:c r="B1214" s="144" t="str">
        <x:v>COM-SIG-Rx-0302 / CountryCode_S</x:v>
      </x:c>
      <x:c r="C1214" s="144" t="str">
        <x:v>PDU=Media_0x4B4; startBit=70; length=8; byteOrder=Little; type=UINT8; factor=1; offset=0; min=0; max=255; unit=-; receivers=MPC,FCR</x:v>
      </x:c>
      <x:c r="D12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4" s="144" t="str">
        <x:v>M2</x:v>
      </x:c>
      <x:c r="F1214" s="144" t="str">
        <x:v>Signal 级可编辑配置、数据类型/缩放/端序合同、RTE 接口、边界值与 round-trip 测试。</x:v>
      </x:c>
      <x:c r="G1214" s="144" t="str">
        <x:v>raw=0、raw=max、物理 min/max、越界/保留值、端序字节向量、pack→unpack round-trip；1457/1457 通过。</x:v>
      </x:c>
      <x:c r="H1214" s="144" t="str">
        <x:v>coem/BYD_UKE/gen_bsw/Com/Com_PBcfg.c:59002; BoschOversea_StandardCANFD_commplatform_FCR_CAN_Matrix_V4.18.2_20251104.dbc:335</x:v>
      </x:c>
    </x:row>
    <x:row r="1215" ht="72" customHeight="1">
      <x:c r="A1215" s="144" t="str">
        <x:v>Com-Signal</x:v>
      </x:c>
      <x:c r="B1215" s="144" t="str">
        <x:v>COM-SIG-Rx-0303 / Map_SpeedLimit_Unit_S</x:v>
      </x:c>
      <x:c r="C1215" s="144" t="str">
        <x:v>PDU=Media_0x4B4; startBit=78; length=2; byteOrder=Little; type=UINT8; factor=1; offset=0; min=0; max=3; unit=-; receivers=MPC,FCR</x:v>
      </x:c>
      <x:c r="D12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5" s="144" t="str">
        <x:v>M2</x:v>
      </x:c>
      <x:c r="F1215" s="144" t="str">
        <x:v>Signal 级可编辑配置、数据类型/缩放/端序合同、RTE 接口、边界值与 round-trip 测试。</x:v>
      </x:c>
      <x:c r="G1215" s="144" t="str">
        <x:v>raw=0、raw=max、物理 min/max、越界/保留值、端序字节向量、pack→unpack round-trip；1457/1457 通过。</x:v>
      </x:c>
      <x:c r="H1215" s="144" t="str">
        <x:v>coem/BYD_UKE/gen_bsw/Com/Com_PBcfg.c:59062; BoschOversea_StandardCANFD_commplatform_FCR_CAN_Matrix_V4.18.2_20251104.dbc:336</x:v>
      </x:c>
    </x:row>
    <x:row r="1216" ht="72" customHeight="1">
      <x:c r="A1216" s="144" t="str">
        <x:v>Com-Signal</x:v>
      </x:c>
      <x:c r="B1216" s="144" t="str">
        <x:v>COM-SIG-Rx-0304 / Map_Status_S</x:v>
      </x:c>
      <x:c r="C1216" s="144" t="str">
        <x:v>PDU=Media_0x4B4; startBit=80; length=3; byteOrder=Little; type=UINT8; factor=1; offset=0; min=0; max=7; unit=-; receivers=MPC,FCR</x:v>
      </x:c>
      <x:c r="D121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6" s="144" t="str">
        <x:v>M2</x:v>
      </x:c>
      <x:c r="F1216" s="144" t="str">
        <x:v>Signal 级可编辑配置、数据类型/缩放/端序合同、RTE 接口、边界值与 round-trip 测试。</x:v>
      </x:c>
      <x:c r="G1216" s="144" t="str">
        <x:v>raw=0、raw=max、物理 min/max、越界/保留值、端序字节向量、pack→unpack round-trip；1457/1457 通过。</x:v>
      </x:c>
      <x:c r="H1216" s="144" t="str">
        <x:v>coem/BYD_UKE/gen_bsw/Com/Com_PBcfg.c:59122; BoschOversea_StandardCANFD_commplatform_FCR_CAN_Matrix_V4.18.2_20251104.dbc:337</x:v>
      </x:c>
    </x:row>
    <x:row r="1217" ht="72" customHeight="1">
      <x:c r="A1217" s="144" t="str">
        <x:v>Com-Signal</x:v>
      </x:c>
      <x:c r="B1217" s="144" t="str">
        <x:v>COM-SIG-Rx-0305 / NextRamp_S</x:v>
      </x:c>
      <x:c r="C1217" s="144" t="str">
        <x:v>PDU=Media_0x4B4; startBit=29; length=2; byteOrder=Little; type=UINT8; factor=1; offset=0; min=0; max=3; unit=-; receivers=MPC,FCR</x:v>
      </x:c>
      <x:c r="D121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7" s="144" t="str">
        <x:v>M2</x:v>
      </x:c>
      <x:c r="F1217" s="144" t="str">
        <x:v>Signal 级可编辑配置、数据类型/缩放/端序合同、RTE 接口、边界值与 round-trip 测试。</x:v>
      </x:c>
      <x:c r="G1217" s="144" t="str">
        <x:v>raw=0、raw=max、物理 min/max、越界/保留值、端序字节向量、pack→unpack round-trip；1457/1457 通过。</x:v>
      </x:c>
      <x:c r="H1217" s="144" t="str">
        <x:v>coem/BYD_UKE/gen_bsw/Com/Com_PBcfg.c:59182; BoschOversea_StandardCANFD_commplatform_FCR_CAN_Matrix_V4.18.2_20251104.dbc:329</x:v>
      </x:c>
    </x:row>
    <x:row r="1218" ht="72" customHeight="1">
      <x:c r="A1218" s="144" t="str">
        <x:v>Com-Signal</x:v>
      </x:c>
      <x:c r="B1218" s="144" t="str">
        <x:v>COM-SIG-Rx-0306 / RampOffset_S</x:v>
      </x:c>
      <x:c r="C1218" s="144" t="str">
        <x:v>PDU=Media_0x4B4; startBit=31; length=13; byteOrder=Little; type=UINT16; factor=1; offset=0; min=0; max=8191; unit=-; receivers=MPC,FCR</x:v>
      </x:c>
      <x:c r="D12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8" s="144" t="str">
        <x:v>M2</x:v>
      </x:c>
      <x:c r="F1218" s="144" t="str">
        <x:v>Signal 级可编辑配置、数据类型/缩放/端序合同、RTE 接口、边界值与 round-trip 测试。</x:v>
      </x:c>
      <x:c r="G1218" s="144" t="str">
        <x:v>raw=0、raw=max、物理 min/max、越界/保留值、端序字节向量、pack→unpack round-trip；1457/1457 通过。</x:v>
      </x:c>
      <x:c r="H1218" s="144" t="str">
        <x:v>coem/BYD_UKE/gen_bsw/Com/Com_PBcfg.c:59242; BoschOversea_StandardCANFD_commplatform_FCR_CAN_Matrix_V4.18.2_20251104.dbc:330</x:v>
      </x:c>
    </x:row>
    <x:row r="1219" ht="72" customHeight="1">
      <x:c r="A1219" s="144" t="str">
        <x:v>Com-Signal</x:v>
      </x:c>
      <x:c r="B1219" s="144" t="str">
        <x:v>COM-SIG-Rx-0307 / Roadtype_4CA_S</x:v>
      </x:c>
      <x:c r="C1219" s="144" t="str">
        <x:v>PDU=Media_0x4B4; startBit=67; length=3; byteOrder=Little; type=UINT8; factor=1; offset=0; min=0; max=7; unit=-; receivers=MPC,FCR</x:v>
      </x:c>
      <x:c r="D12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19" s="144" t="str">
        <x:v>M2</x:v>
      </x:c>
      <x:c r="F1219" s="144" t="str">
        <x:v>Signal 级可编辑配置、数据类型/缩放/端序合同、RTE 接口、边界值与 round-trip 测试。</x:v>
      </x:c>
      <x:c r="G1219" s="144" t="str">
        <x:v>raw=0、raw=max、物理 min/max、越界/保留值、端序字节向量、pack→unpack round-trip；1457/1457 通过。</x:v>
      </x:c>
      <x:c r="H1219" s="144" t="str">
        <x:v>coem/BYD_UKE/gen_bsw/Com/Com_PBcfg.c:59302; BoschOversea_StandardCANFD_commplatform_FCR_CAN_Matrix_V4.18.2_20251104.dbc:334</x:v>
      </x:c>
    </x:row>
    <x:row r="1220" ht="72" customHeight="1">
      <x:c r="A1220" s="144" t="str">
        <x:v>Com-Signal</x:v>
      </x:c>
      <x:c r="B1220" s="144" t="str">
        <x:v>COM-SIG-Rx-0308 / Speedlimit_4CA_S</x:v>
      </x:c>
      <x:c r="C1220" s="144" t="str">
        <x:v>PDU=Media_0x4B4; startBit=20; length=5; byteOrder=Little; type=UINT8; factor=1; offset=0; min=0; max=31; unit=-; receivers=MPC,FCR</x:v>
      </x:c>
      <x:c r="D12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0" s="144" t="str">
        <x:v>M2</x:v>
      </x:c>
      <x:c r="F1220" s="144" t="str">
        <x:v>Signal 级可编辑配置、数据类型/缩放/端序合同、RTE 接口、边界值与 round-trip 测试。</x:v>
      </x:c>
      <x:c r="G1220" s="144" t="str">
        <x:v>raw=0、raw=max、物理 min/max、越界/保留值、端序字节向量、pack→unpack round-trip；1457/1457 通过。</x:v>
      </x:c>
      <x:c r="H1220" s="144" t="str">
        <x:v>coem/BYD_UKE/gen_bsw/Com/Com_PBcfg.c:59362; BoschOversea_StandardCANFD_commplatform_FCR_CAN_Matrix_V4.18.2_20251104.dbc:326</x:v>
      </x:c>
    </x:row>
    <x:row r="1221" ht="72" customHeight="1">
      <x:c r="A1221" s="144" t="str">
        <x:v>Com-Signal</x:v>
      </x:c>
      <x:c r="B1221" s="144" t="str">
        <x:v>COM-SIG-Rx-0309 / Speedlimit_Rain_S</x:v>
      </x:c>
      <x:c r="C1221" s="144" t="str">
        <x:v>PDU=Media_0x4B4; startBit=57; length=5; byteOrder=Little; type=UINT8; factor=1; offset=0; min=0; max=31; unit=-; receivers=MPC,FCR</x:v>
      </x:c>
      <x:c r="D12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1" s="144" t="str">
        <x:v>M2</x:v>
      </x:c>
      <x:c r="F1221" s="144" t="str">
        <x:v>Signal 级可编辑配置、数据类型/缩放/端序合同、RTE 接口、边界值与 round-trip 测试。</x:v>
      </x:c>
      <x:c r="G1221" s="144" t="str">
        <x:v>raw=0、raw=max、物理 min/max、越界/保留值、端序字节向量、pack→unpack round-trip；1457/1457 通过。</x:v>
      </x:c>
      <x:c r="H1221" s="144" t="str">
        <x:v>coem/BYD_UKE/gen_bsw/Com/Com_PBcfg.c:59422; BoschOversea_StandardCANFD_commplatform_FCR_CAN_Matrix_V4.18.2_20251104.dbc:332</x:v>
      </x:c>
    </x:row>
    <x:row r="1222" ht="72" customHeight="1">
      <x:c r="A1222" s="144" t="str">
        <x:v>Com-Signal</x:v>
      </x:c>
      <x:c r="B1222" s="144" t="str">
        <x:v>COM-SIG-Rx-0310 / Speedlimit_Snow_S</x:v>
      </x:c>
      <x:c r="C1222" s="144" t="str">
        <x:v>PDU=Media_0x4B4; startBit=62; length=5; byteOrder=Little; type=UINT8; factor=1; offset=0; min=0; max=31; unit=-; receivers=MPC,FCR</x:v>
      </x:c>
      <x:c r="D12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2" s="144" t="str">
        <x:v>M2</x:v>
      </x:c>
      <x:c r="F1222" s="144" t="str">
        <x:v>Signal 级可编辑配置、数据类型/缩放/端序合同、RTE 接口、边界值与 round-trip 测试。</x:v>
      </x:c>
      <x:c r="G1222" s="144" t="str">
        <x:v>raw=0、raw=max、物理 min/max、越界/保留值、端序字节向量、pack→unpack round-trip；1457/1457 通过。</x:v>
      </x:c>
      <x:c r="H1222" s="144" t="str">
        <x:v>coem/BYD_UKE/gen_bsw/Com/Com_PBcfg.c:59482; BoschOversea_StandardCANFD_commplatform_FCR_CAN_Matrix_V4.18.2_20251104.dbc:333</x:v>
      </x:c>
    </x:row>
    <x:row r="1223" ht="72" customHeight="1">
      <x:c r="A1223" s="144" t="str">
        <x:v>Com-Signal</x:v>
      </x:c>
      <x:c r="B1223" s="144" t="str">
        <x:v>COM-SIG-Rx-0311 / Speedlimit_Type_S</x:v>
      </x:c>
      <x:c r="C1223" s="144" t="str">
        <x:v>PDU=Media_0x4B4; startBit=44; length=3; byteOrder=Little; type=UINT8; factor=1; offset=0; min=0; max=7; unit=-; receivers=MPC,FCR</x:v>
      </x:c>
      <x:c r="D12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3" s="144" t="str">
        <x:v>M2</x:v>
      </x:c>
      <x:c r="F1223" s="144" t="str">
        <x:v>Signal 级可编辑配置、数据类型/缩放/端序合同、RTE 接口、边界值与 round-trip 测试。</x:v>
      </x:c>
      <x:c r="G1223" s="144" t="str">
        <x:v>raw=0、raw=max、物理 min/max、越界/保留值、端序字节向量、pack→unpack round-trip；1457/1457 通过。</x:v>
      </x:c>
      <x:c r="H1223" s="144" t="str">
        <x:v>coem/BYD_UKE/gen_bsw/Com/Com_PBcfg.c:59542; BoschOversea_StandardCANFD_commplatform_FCR_CAN_Matrix_V4.18.2_20251104.dbc:331</x:v>
      </x:c>
    </x:row>
    <x:row r="1224" ht="72" customHeight="1">
      <x:c r="A1224" s="144" t="str">
        <x:v>Com-Signal</x:v>
      </x:c>
      <x:c r="B1224" s="144" t="str">
        <x:v>COM-SIG-Rx-0312 / TimeConditionSignExist_S</x:v>
      </x:c>
      <x:c r="C1224" s="144" t="str">
        <x:v>PDU=Media_0x4B4; startBit=27; length=2; byteOrder=Little; type=UINT8; factor=1; offset=0; min=0; max=3; unit=-; receivers=MPC,FCR</x:v>
      </x:c>
      <x:c r="D12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4" s="144" t="str">
        <x:v>M2</x:v>
      </x:c>
      <x:c r="F1224" s="144" t="str">
        <x:v>Signal 级可编辑配置、数据类型/缩放/端序合同、RTE 接口、边界值与 round-trip 测试。</x:v>
      </x:c>
      <x:c r="G1224" s="144" t="str">
        <x:v>raw=0、raw=max、物理 min/max、越界/保留值、端序字节向量、pack→unpack round-trip；1457/1457 通过。</x:v>
      </x:c>
      <x:c r="H1224" s="144" t="str">
        <x:v>coem/BYD_UKE/gen_bsw/Com/Com_PBcfg.c:59602; BoschOversea_StandardCANFD_commplatform_FCR_CAN_Matrix_V4.18.2_20251104.dbc:328</x:v>
      </x:c>
    </x:row>
    <x:row r="1225" ht="72" customHeight="1">
      <x:c r="A1225" s="144" t="str">
        <x:v>Com-Signal</x:v>
      </x:c>
      <x:c r="B1225" s="144" t="str">
        <x:v>COM-SIG-Rx-0313 / TimeConditionSignUsed_S</x:v>
      </x:c>
      <x:c r="C1225" s="144" t="str">
        <x:v>PDU=Media_0x4B4; startBit=25; length=2; byteOrder=Little; type=UINT8; factor=1; offset=0; min=0; max=3; unit=-; receivers=MPC,FCR</x:v>
      </x:c>
      <x:c r="D12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5" s="144" t="str">
        <x:v>M2</x:v>
      </x:c>
      <x:c r="F1225" s="144" t="str">
        <x:v>Signal 级可编辑配置、数据类型/缩放/端序合同、RTE 接口、边界值与 round-trip 测试。</x:v>
      </x:c>
      <x:c r="G1225" s="144" t="str">
        <x:v>raw=0、raw=max、物理 min/max、越界/保留值、端序字节向量、pack→unpack round-trip；1457/1457 通过。</x:v>
      </x:c>
      <x:c r="H1225" s="144" t="str">
        <x:v>coem/BYD_UKE/gen_bsw/Com/Com_PBcfg.c:59662; BoschOversea_StandardCANFD_commplatform_FCR_CAN_Matrix_V4.18.2_20251104.dbc:327</x:v>
      </x:c>
    </x:row>
    <x:row r="1226" ht="72" customHeight="1">
      <x:c r="A1226" s="144" t="str">
        <x:v>Com-Signal</x:v>
      </x:c>
      <x:c r="B1226" s="144" t="str">
        <x:v>COM-SIG-Rx-0314 / Traffic_Jams_status_S</x:v>
      </x:c>
      <x:c r="C1226" s="144" t="str">
        <x:v>PDU=Media_0x4B4; startBit=84; length=2; byteOrder=Little; type=UINT8; factor=1; offset=0; min=0; max=3; unit=-; receivers=MPC,FCR</x:v>
      </x:c>
      <x:c r="D12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6" s="144" t="str">
        <x:v>M2</x:v>
      </x:c>
      <x:c r="F1226" s="144" t="str">
        <x:v>Signal 级可编辑配置、数据类型/缩放/端序合同、RTE 接口、边界值与 round-trip 测试。</x:v>
      </x:c>
      <x:c r="G1226" s="144" t="str">
        <x:v>raw=0、raw=max、物理 min/max、越界/保留值、端序字节向量、pack→unpack round-trip；1457/1457 通过。</x:v>
      </x:c>
      <x:c r="H1226" s="144" t="str">
        <x:v>coem/BYD_UKE/gen_bsw/Com/Com_PBcfg.c:59722; BoschOversea_StandardCANFD_commplatform_FCR_CAN_Matrix_V4.18.2_20251104.dbc:338</x:v>
      </x:c>
    </x:row>
    <x:row r="1227" ht="72" customHeight="1">
      <x:c r="A1227" s="144" t="str">
        <x:v>Com-Signal</x:v>
      </x:c>
      <x:c r="B1227" s="144" t="str">
        <x:v>COM-SIG-Rx-0315 / Traffic_sign_type_S</x:v>
      </x:c>
      <x:c r="C1227" s="144" t="str">
        <x:v>PDU=Media_0x4B4; startBit=92; length=4; byteOrder=Little; type=UINT8; factor=1; offset=0; min=0; max=15; unit=-; receivers=MPC,FCR</x:v>
      </x:c>
      <x:c r="D12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7" s="144" t="str">
        <x:v>M2</x:v>
      </x:c>
      <x:c r="F1227" s="144" t="str">
        <x:v>Signal 级可编辑配置、数据类型/缩放/端序合同、RTE 接口、边界值与 round-trip 测试。</x:v>
      </x:c>
      <x:c r="G1227" s="144" t="str">
        <x:v>raw=0、raw=max、物理 min/max、越界/保留值、端序字节向量、pack→unpack round-trip；1457/1457 通过。</x:v>
      </x:c>
      <x:c r="H1227" s="144" t="str">
        <x:v>coem/BYD_UKE/gen_bsw/Com/Com_PBcfg.c:59782; BoschOversea_StandardCANFD_commplatform_FCR_CAN_Matrix_V4.18.2_20251104.dbc:342</x:v>
      </x:c>
    </x:row>
    <x:row r="1228" ht="72" customHeight="1">
      <x:c r="A1228" s="144" t="str">
        <x:v>Com-Signal</x:v>
      </x:c>
      <x:c r="B1228" s="144" t="str">
        <x:v>COM-SIG-Rx-0316 / Wrong_Way_Driver_status_S</x:v>
      </x:c>
      <x:c r="C1228" s="144" t="str">
        <x:v>PDU=Media_0x4B4; startBit=90; length=2; byteOrder=Little; type=UINT8; factor=1; offset=0; min=0; max=3; unit=-; receivers=MPC,FCR</x:v>
      </x:c>
      <x:c r="D12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8" s="144" t="str">
        <x:v>M2</x:v>
      </x:c>
      <x:c r="F1228" s="144" t="str">
        <x:v>Signal 级可编辑配置、数据类型/缩放/端序合同、RTE 接口、边界值与 round-trip 测试。</x:v>
      </x:c>
      <x:c r="G1228" s="144" t="str">
        <x:v>raw=0、raw=max、物理 min/max、越界/保留值、端序字节向量、pack→unpack round-trip；1457/1457 通过。</x:v>
      </x:c>
      <x:c r="H1228" s="144" t="str">
        <x:v>coem/BYD_UKE/gen_bsw/Com/Com_PBcfg.c:59842; BoschOversea_StandardCANFD_commplatform_FCR_CAN_Matrix_V4.18.2_20251104.dbc:341</x:v>
      </x:c>
    </x:row>
    <x:row r="1229" ht="72" customHeight="1">
      <x:c r="A1229" s="144" t="str">
        <x:v>Com-Signal</x:v>
      </x:c>
      <x:c r="B1229" s="144" t="str">
        <x:v>COM-SIG-Rx-0317 / Child_ID_4EF_S</x:v>
      </x:c>
      <x:c r="C1229" s="144" t="str">
        <x:v>PDU=Media_0x4EF; startBit=0; length=8; byteOrder=Little; type=UINT8; factor=1; offset=0; min=0; max=255; unit=-; receivers=ADS,FCR</x:v>
      </x:c>
      <x:c r="D12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29" s="144" t="str">
        <x:v>M2</x:v>
      </x:c>
      <x:c r="F1229" s="144" t="str">
        <x:v>Signal 级可编辑配置、数据类型/缩放/端序合同、RTE 接口、边界值与 round-trip 测试。</x:v>
      </x:c>
      <x:c r="G1229" s="144" t="str">
        <x:v>raw=0、raw=max、物理 min/max、越界/保留值、端序字节向量、pack→unpack round-trip；1457/1457 通过。</x:v>
      </x:c>
      <x:c r="H1229" s="144" t="str">
        <x:v>coem/BYD_UKE/gen_bsw/Com/Com_PBcfg.c:59902; BoschOversea_StandardCANFD_commplatform_FCR_CAN_Matrix_V4.18.2_20251104.dbc:79</x:v>
      </x:c>
    </x:row>
    <x:row r="1230" ht="72" customHeight="1">
      <x:c r="A1230" s="144" t="str">
        <x:v>Com-Signal</x:v>
      </x:c>
      <x:c r="B1230" s="144" t="str">
        <x:v>COM-SIG-Rx-0318 / FCTA_Enable_S</x:v>
      </x:c>
      <x:c r="C1230" s="144" t="str">
        <x:v>PDU=Media_0x4EF; startBit=8; length=2; byteOrder=Little; type=UINT8; factor=1; offset=0; min=0; max=3; unit=-; receivers=MPC,ADS,FCR</x:v>
      </x:c>
      <x:c r="D12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0" s="144" t="str">
        <x:v>M2</x:v>
      </x:c>
      <x:c r="F1230" s="144" t="str">
        <x:v>Signal 级可编辑配置、数据类型/缩放/端序合同、RTE 接口、边界值与 round-trip 测试。</x:v>
      </x:c>
      <x:c r="G1230" s="144" t="str">
        <x:v>raw=0、raw=max、物理 min/max、越界/保留值、端序字节向量、pack→unpack round-trip；1457/1457 通过。</x:v>
      </x:c>
      <x:c r="H1230" s="144" t="str">
        <x:v>coem/BYD_UKE/gen_bsw/Com/Com_PBcfg.c:59962; BoschOversea_StandardCANFD_commplatform_FCR_CAN_Matrix_V4.18.2_20251104.dbc:80</x:v>
      </x:c>
    </x:row>
    <x:row r="1231" ht="72" customHeight="1">
      <x:c r="A1231" s="144" t="str">
        <x:v>Com-Signal</x:v>
      </x:c>
      <x:c r="B1231" s="144" t="str">
        <x:v>COM-SIG-Rx-0319 / FCTB_Enable_S</x:v>
      </x:c>
      <x:c r="C1231" s="144" t="str">
        <x:v>PDU=Media_0x4EF; startBit=10; length=2; byteOrder=Little; type=UINT8; factor=1; offset=0; min=0; max=3; unit=-; receivers=MPC,ADS,FCR</x:v>
      </x:c>
      <x:c r="D12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1" s="144" t="str">
        <x:v>M2</x:v>
      </x:c>
      <x:c r="F1231" s="144" t="str">
        <x:v>Signal 级可编辑配置、数据类型/缩放/端序合同、RTE 接口、边界值与 round-trip 测试。</x:v>
      </x:c>
      <x:c r="G1231" s="144" t="str">
        <x:v>raw=0、raw=max、物理 min/max、越界/保留值、端序字节向量、pack→unpack round-trip；1457/1457 通过。</x:v>
      </x:c>
      <x:c r="H1231" s="144" t="str">
        <x:v>coem/BYD_UKE/gen_bsw/Com/Com_PBcfg.c:60022; BoschOversea_StandardCANFD_commplatform_FCR_CAN_Matrix_V4.18.2_20251104.dbc:81</x:v>
      </x:c>
    </x:row>
    <x:row r="1232" ht="72" customHeight="1">
      <x:c r="A1232" s="144" t="str">
        <x:v>Com-Signal</x:v>
      </x:c>
      <x:c r="B1232" s="144" t="str">
        <x:v>COM-SIG-Rx-0320 / HNP_Enable_S</x:v>
      </x:c>
      <x:c r="C1232" s="144" t="str">
        <x:v>PDU=Media_0x4EF; startBit=14; length=2; byteOrder=Little; type=UINT8; factor=1; offset=0; min=0; max=3; unit=-; receivers=MPC,ADS,FCR</x:v>
      </x:c>
      <x:c r="D12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2" s="144" t="str">
        <x:v>M2</x:v>
      </x:c>
      <x:c r="F1232" s="144" t="str">
        <x:v>Signal 级可编辑配置、数据类型/缩放/端序合同、RTE 接口、边界值与 round-trip 测试。</x:v>
      </x:c>
      <x:c r="G1232" s="144" t="str">
        <x:v>raw=0、raw=max、物理 min/max、越界/保留值、端序字节向量、pack→unpack round-trip；1457/1457 通过。</x:v>
      </x:c>
      <x:c r="H1232" s="144" t="str">
        <x:v>coem/BYD_UKE/gen_bsw/Com/Com_PBcfg.c:60082; BoschOversea_StandardCANFD_commplatform_FCR_CAN_Matrix_V4.18.2_20251104.dbc:83</x:v>
      </x:c>
    </x:row>
    <x:row r="1233" ht="72" customHeight="1">
      <x:c r="A1233" s="144" t="str">
        <x:v>Com-Signal</x:v>
      </x:c>
      <x:c r="B1233" s="144" t="str">
        <x:v>COM-SIG-Rx-0321 / ILCA_Enable_S</x:v>
      </x:c>
      <x:c r="C1233" s="144" t="str">
        <x:v>PDU=Media_0x4EF; startBit=12; length=2; byteOrder=Little; type=UINT8; factor=1; offset=0; min=0; max=3; unit=-; receivers=MPC,ADS,FCR</x:v>
      </x:c>
      <x:c r="D12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3" s="144" t="str">
        <x:v>M2</x:v>
      </x:c>
      <x:c r="F1233" s="144" t="str">
        <x:v>Signal 级可编辑配置、数据类型/缩放/端序合同、RTE 接口、边界值与 round-trip 测试。</x:v>
      </x:c>
      <x:c r="G1233" s="144" t="str">
        <x:v>raw=0、raw=max、物理 min/max、越界/保留值、端序字节向量、pack→unpack round-trip；1457/1457 通过。</x:v>
      </x:c>
      <x:c r="H1233" s="144" t="str">
        <x:v>coem/BYD_UKE/gen_bsw/Com/Com_PBcfg.c:60142; BoschOversea_StandardCANFD_commplatform_FCR_CAN_Matrix_V4.18.2_20251104.dbc:82</x:v>
      </x:c>
    </x:row>
    <x:row r="1234" ht="72" customHeight="1">
      <x:c r="A1234" s="144" t="str">
        <x:v>Com-Signal</x:v>
      </x:c>
      <x:c r="B1234" s="144" t="str">
        <x:v>COM-SIG-Rx-0322 / RFL_50msPDU_AliveCtr</x:v>
      </x:c>
      <x:c r="C1234" s="144" t="str">
        <x:v>PDU=RFL_50msPDU; startBit=16; length=8; byteOrder=Little; type=UINT8; factor=1; offset=0; min=0; max=255; unit=-; receivers=RadarRearRight</x:v>
      </x:c>
      <x:c r="D12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4" s="144" t="str">
        <x:v>M2</x:v>
      </x:c>
      <x:c r="F1234" s="144" t="str">
        <x:v>Signal 级可编辑配置、数据类型/缩放/端序合同、RTE 接口、边界值与 round-trip 测试。</x:v>
      </x:c>
      <x:c r="G1234" s="144" t="str">
        <x:v>raw=0、raw=max、物理 min/max、越界/保留值、端序字节向量、pack→unpack round-trip；1457/1457 通过。</x:v>
      </x:c>
      <x:c r="H1234" s="144" t="str">
        <x:v>coem/BYD_UKE/gen_bsw/Com/Com_PBcfg.c:60202; BYD_5R1V_RadarRearcorner_V2.5_AllNodes.dbc:92</x:v>
      </x:c>
    </x:row>
    <x:row r="1235" ht="72" customHeight="1">
      <x:c r="A1235" s="144" t="str">
        <x:v>Com-Signal</x:v>
      </x:c>
      <x:c r="B1235" s="144" t="str">
        <x:v>COM-SIG-Rx-0323 / RFL_50msPDU_CRC</x:v>
      </x:c>
      <x:c r="C1235" s="144" t="str">
        <x:v>PDU=RFL_50msPDU; startBit=0; length=16; byteOrder=Little; type=UINT16; factor=1; offset=0; min=0; max=65535; unit=-; receivers=RadarRearRight</x:v>
      </x:c>
      <x:c r="D12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5" s="144" t="str">
        <x:v>M2</x:v>
      </x:c>
      <x:c r="F1235" s="144" t="str">
        <x:v>Signal 级可编辑配置、数据类型/缩放/端序合同、RTE 接口、边界值与 round-trip 测试。</x:v>
      </x:c>
      <x:c r="G1235" s="144" t="str">
        <x:v>raw=0、raw=max、物理 min/max、越界/保留值、端序字节向量、pack→unpack round-trip；1457/1457 通过。</x:v>
      </x:c>
      <x:c r="H1235" s="144" t="str">
        <x:v>coem/BYD_UKE/gen_bsw/Com/Com_PBcfg.c:60262; BYD_5R1V_RadarRearcorner_V2.5_AllNodes.dbc:91</x:v>
      </x:c>
    </x:row>
    <x:row r="1236" ht="72" customHeight="1">
      <x:c r="A1236" s="144" t="str">
        <x:v>Com-Signal</x:v>
      </x:c>
      <x:c r="B1236" s="144" t="str">
        <x:v>COM-SIG-Rx-0324 / RFL_FCRSysSts</x:v>
      </x:c>
      <x:c r="C1236" s="144" t="str">
        <x:v>PDU=RFL_50msPDU; startBit=35; length=5; byteOrder=Little; type=UINT8; factor=1; offset=0; min=0; max=31; unit=-; receivers=RadarRearRight</x:v>
      </x:c>
      <x:c r="D12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6" s="144" t="str">
        <x:v>M2</x:v>
      </x:c>
      <x:c r="F1236" s="144" t="str">
        <x:v>Signal 级可编辑配置、数据类型/缩放/端序合同、RTE 接口、边界值与 round-trip 测试。</x:v>
      </x:c>
      <x:c r="G1236" s="144" t="str">
        <x:v>raw=0、raw=max、物理 min/max、越界/保留值、端序字节向量、pack→unpack round-trip；1457/1457 通过。</x:v>
      </x:c>
      <x:c r="H1236" s="144" t="str">
        <x:v>coem/BYD_UKE/gen_bsw/Com/Com_PBcfg.c:60322; BYD_5R1V_RadarRearcorner_V2.5_AllNodes.dbc:90</x:v>
      </x:c>
    </x:row>
    <x:row r="1237" ht="72" customHeight="1">
      <x:c r="A1237" s="144" t="str">
        <x:v>Com-Signal</x:v>
      </x:c>
      <x:c r="B1237" s="144" t="str">
        <x:v>COM-SIG-Rx-0325 / RFL_FCTASysSts</x:v>
      </x:c>
      <x:c r="C1237" s="144" t="str">
        <x:v>PDU=RFL_50msPDU; startBit=45; length=3; byteOrder=Little; type=UINT8; factor=1; offset=0; min=0; max=3; unit=-; receivers=RadarRearRight</x:v>
      </x:c>
      <x:c r="D12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7" s="144" t="str">
        <x:v>M2</x:v>
      </x:c>
      <x:c r="F1237" s="144" t="str">
        <x:v>Signal 级可编辑配置、数据类型/缩放/端序合同、RTE 接口、边界值与 round-trip 测试。</x:v>
      </x:c>
      <x:c r="G1237" s="144" t="str">
        <x:v>raw=0、raw=max、物理 min/max、越界/保留值、端序字节向量、pack→unpack round-trip；1457/1457 通过。</x:v>
      </x:c>
      <x:c r="H1237" s="144" t="str">
        <x:v>coem/BYD_UKE/gen_bsw/Com/Com_PBcfg.c:60382; BYD_5R1V_RadarRearcorner_V2.5_AllNodes.dbc:89</x:v>
      </x:c>
    </x:row>
    <x:row r="1238" ht="72" customHeight="1">
      <x:c r="A1238" s="144" t="str">
        <x:v>Com-Signal</x:v>
      </x:c>
      <x:c r="B1238" s="144" t="str">
        <x:v>COM-SIG-Rx-0326 / RFL_FCTBReqDclSts</x:v>
      </x:c>
      <x:c r="C1238" s="144" t="str">
        <x:v>PDU=RFL_50msPDU; startBit=40; length=2; byteOrder=Little; type=UINT8; factor=1; offset=0; min=0; max=3; unit=-; receivers=RadarRearRight</x:v>
      </x:c>
      <x:c r="D12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8" s="144" t="str">
        <x:v>M2</x:v>
      </x:c>
      <x:c r="F1238" s="144" t="str">
        <x:v>Signal 级可编辑配置、数据类型/缩放/端序合同、RTE 接口、边界值与 round-trip 测试。</x:v>
      </x:c>
      <x:c r="G1238" s="144" t="str">
        <x:v>raw=0、raw=max、物理 min/max、越界/保留值、端序字节向量、pack→unpack round-trip；1457/1457 通过。</x:v>
      </x:c>
      <x:c r="H1238" s="144" t="str">
        <x:v>coem/BYD_UKE/gen_bsw/Com/Com_PBcfg.c:60442; BYD_5R1V_RadarRearcorner_V2.5_AllNodes.dbc:87</x:v>
      </x:c>
    </x:row>
    <x:row r="1239" ht="72" customHeight="1">
      <x:c r="A1239" s="144" t="str">
        <x:v>Com-Signal</x:v>
      </x:c>
      <x:c r="B1239" s="144" t="str">
        <x:v>COM-SIG-Rx-0327 / RFL_FCTBReqDcl</x:v>
      </x:c>
      <x:c r="C1239" s="144" t="str">
        <x:v>PDU=RFL_50msPDU; startBit=24; length=8; byteOrder=Little; type=UINT8; factor=0.1; offset=-12.7; min=-12.7; max=12.8; unit=m/s^2; receivers=RadarRearRight</x:v>
      </x:c>
      <x:c r="D12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39" s="144" t="str">
        <x:v>M2</x:v>
      </x:c>
      <x:c r="F1239" s="144" t="str">
        <x:v>Signal 级可编辑配置、数据类型/缩放/端序合同、RTE 接口、边界值与 round-trip 测试。</x:v>
      </x:c>
      <x:c r="G1239" s="144" t="str">
        <x:v>raw=0、raw=max、物理 min/max、越界/保留值、端序字节向量、pack→unpack round-trip；1457/1457 通过。</x:v>
      </x:c>
      <x:c r="H1239" s="144" t="str">
        <x:v>coem/BYD_UKE/gen_bsw/Com/Com_PBcfg.c:60502; BYD_5R1V_RadarRearcorner_V2.5_AllNodes.dbc:88</x:v>
      </x:c>
    </x:row>
    <x:row r="1240" ht="72" customHeight="1">
      <x:c r="A1240" s="144" t="str">
        <x:v>Com-Signal</x:v>
      </x:c>
      <x:c r="B1240" s="144" t="str">
        <x:v>COM-SIG-Rx-0328 / RFL_FCTBReq</x:v>
      </x:c>
      <x:c r="C1240" s="144" t="str">
        <x:v>PDU=RFL_50msPDU; startBit=48; length=2; byteOrder=Little; type=UINT8; factor=1（Com原始值）; offset=0（Com原始值）; min=按位宽/类型; max=按位宽/类型; unit=-; receivers=-</x:v>
      </x:c>
      <x:c r="D124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0" s="144" t="str">
        <x:v>M2</x:v>
      </x:c>
      <x:c r="F1240" s="144" t="str">
        <x:v>Signal 级可编辑配置、数据类型/缩放/端序合同、RTE 接口、边界值与 round-trip 测试。</x:v>
      </x:c>
      <x:c r="G1240" s="144" t="str">
        <x:v>raw=0、raw=max、物理 min/max、越界/保留值、端序字节向量、pack→unpack round-trip；1457/1457 通过。</x:v>
      </x:c>
      <x:c r="H1240" s="144" t="str">
        <x:v>coem/BYD_UKE/gen_bsw/Com/Com_PBcfg.c:60562</x:v>
      </x:c>
    </x:row>
    <x:row r="1241" ht="72" customHeight="1">
      <x:c r="A1241" s="144" t="str">
        <x:v>Com-Signal</x:v>
      </x:c>
      <x:c r="B1241" s="144" t="str">
        <x:v>COM-SIG-Rx-0329 / RFL_FCTBSysSts</x:v>
      </x:c>
      <x:c r="C1241" s="144" t="str">
        <x:v>PDU=RFL_50msPDU; startBit=32; length=3; byteOrder=Little; type=UINT8; factor=1; offset=0; min=0; max=7; unit=-; receivers=RadarRearRight</x:v>
      </x:c>
      <x:c r="D12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41" s="144" t="str">
        <x:v>M2</x:v>
      </x:c>
      <x:c r="F1241" s="144" t="str">
        <x:v>Signal 级可编辑配置、数据类型/缩放/端序合同、RTE 接口、边界值与 round-trip 测试。</x:v>
      </x:c>
      <x:c r="G1241" s="144" t="str">
        <x:v>raw=0、raw=max、物理 min/max、越界/保留值、端序字节向量、pack→unpack round-trip；1457/1457 通过。</x:v>
      </x:c>
      <x:c r="H1241" s="144" t="str">
        <x:v>coem/BYD_UKE/gen_bsw/Com/Com_PBcfg.c:60622; BYD_5R1V_RadarRearcorner_V2.5_AllNodes.dbc:86</x:v>
      </x:c>
    </x:row>
    <x:row r="1242" ht="72" customHeight="1">
      <x:c r="A1242" s="144" t="str">
        <x:v>Com-Signal</x:v>
      </x:c>
      <x:c r="B1242" s="144" t="str">
        <x:v>COM-SIG-Rx-0330 / RFL_LFCTAWrnng</x:v>
      </x:c>
      <x:c r="C1242" s="144" t="str">
        <x:v>PDU=RFL_50msPDU; startBit=42; length=2; byteOrder=Little; type=UINT8; factor=1; offset=0; min=0; max=3; unit=-; receivers=RadarRearRight</x:v>
      </x:c>
      <x:c r="D12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242" s="144" t="str">
        <x:v>M2</x:v>
      </x:c>
      <x:c r="F1242" s="144" t="str">
        <x:v>Signal 级可编辑配置、数据类型/缩放/端序合同、RTE 接口、边界值与 round-trip 测试。</x:v>
      </x:c>
      <x:c r="G1242" s="144" t="str">
        <x:v>raw=0、raw=max、物理 min/max、越界/保留值、端序字节向量、pack→unpack round-trip；1457/1457 通过。</x:v>
      </x:c>
      <x:c r="H1242" s="144" t="str">
        <x:v>coem/BYD_UKE/gen_bsw/Com/Com_PBcfg.c:60682; BYD_5R1V_RadarRearcorner_V2.5_AllNodes.dbc:85</x:v>
      </x:c>
    </x:row>
    <x:row r="1243" ht="72" customHeight="1">
      <x:c r="A1243" s="144" t="str">
        <x:v>Com-Signal</x:v>
      </x:c>
      <x:c r="B1243" s="144" t="str">
        <x:v>COM-SIG-Rx-0331 / CR_RR_Obj001_DistX</x:v>
      </x:c>
      <x:c r="C1243" s="144" t="str">
        <x:v>PDU=RHRDA_ADAS_PriCANFD2_01; startBit=48; length=12; byteOrder=Big; type=UINT16; factor=1（Com原始值）; offset=0（Com原始值）; min=按位宽/类型; max=按位宽/类型; unit=-; receivers=-</x:v>
      </x:c>
      <x:c r="D124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3" s="144" t="str">
        <x:v>M2</x:v>
      </x:c>
      <x:c r="F1243" s="144" t="str">
        <x:v>Signal 级可编辑配置、数据类型/缩放/端序合同、RTE 接口、边界值与 round-trip 测试。</x:v>
      </x:c>
      <x:c r="G1243" s="144" t="str">
        <x:v>raw=0、raw=max、物理 min/max、越界/保留值、端序字节向量、pack→unpack round-trip；1457/1457 通过。</x:v>
      </x:c>
      <x:c r="H1243" s="144" t="str">
        <x:v>coem/BYD_UKE/gen_bsw/Com/Com_PBcfg.c:60742</x:v>
      </x:c>
    </x:row>
    <x:row r="1244" ht="72" customHeight="1">
      <x:c r="A1244" s="144" t="str">
        <x:v>Com-Signal</x:v>
      </x:c>
      <x:c r="B1244" s="144" t="str">
        <x:v>COM-SIG-Rx-0332 / CR_RR_Obj001_DistY</x:v>
      </x:c>
      <x:c r="C1244" s="144" t="str">
        <x:v>PDU=RHRDA_ADAS_PriCANFD2_01; startBit=66; length=14; byteOrder=Big; type=UINT16; factor=1（Com原始值）; offset=0（Com原始值）; min=按位宽/类型; max=按位宽/类型; unit=-; receivers=-</x:v>
      </x:c>
      <x:c r="D124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4" s="144" t="str">
        <x:v>M2</x:v>
      </x:c>
      <x:c r="F1244" s="144" t="str">
        <x:v>Signal 级可编辑配置、数据类型/缩放/端序合同、RTE 接口、边界值与 round-trip 测试。</x:v>
      </x:c>
      <x:c r="G1244" s="144" t="str">
        <x:v>raw=0、raw=max、物理 min/max、越界/保留值、端序字节向量、pack→unpack round-trip；1457/1457 通过。</x:v>
      </x:c>
      <x:c r="H1244" s="144" t="str">
        <x:v>coem/BYD_UKE/gen_bsw/Com/Com_PBcfg.c:60802</x:v>
      </x:c>
    </x:row>
    <x:row r="1245" ht="72" customHeight="1">
      <x:c r="A1245" s="144" t="str">
        <x:v>Com-Signal</x:v>
      </x:c>
      <x:c r="B1245" s="144" t="str">
        <x:v>COM-SIG-Rx-0333 / CR_RR_Obj001_ID</x:v>
      </x:c>
      <x:c r="C1245" s="144" t="str">
        <x:v>PDU=RHRDA_ADAS_PriCANFD2_01; startBit=24; length=8; byteOrder=Big; type=UINT8; factor=1（Com原始值）; offset=0（Com原始值）; min=按位宽/类型; max=按位宽/类型; unit=-; receivers=-</x:v>
      </x:c>
      <x:c r="D124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5" s="144" t="str">
        <x:v>M2</x:v>
      </x:c>
      <x:c r="F1245" s="144" t="str">
        <x:v>Signal 级可编辑配置、数据类型/缩放/端序合同、RTE 接口、边界值与 round-trip 测试。</x:v>
      </x:c>
      <x:c r="G1245" s="144" t="str">
        <x:v>raw=0、raw=max、物理 min/max、越界/保留值、端序字节向量、pack→unpack round-trip；1457/1457 通过。</x:v>
      </x:c>
      <x:c r="H1245" s="144" t="str">
        <x:v>coem/BYD_UKE/gen_bsw/Com/Com_PBcfg.c:60862</x:v>
      </x:c>
    </x:row>
    <x:row r="1246" ht="72" customHeight="1">
      <x:c r="A1246" s="144" t="str">
        <x:v>Com-Signal</x:v>
      </x:c>
      <x:c r="B1246" s="144" t="str">
        <x:v>COM-SIG-Rx-0334 / CR_RR_Obj001_Length</x:v>
      </x:c>
      <x:c r="C1246" s="144" t="str">
        <x:v>PDU=RHRDA_ADAS_PriCANFD2_01; startBit=175; length=9; byteOrder=Big; type=UINT16; factor=1（Com原始值）; offset=0（Com原始值）; min=按位宽/类型; max=按位宽/类型; unit=-; receivers=-</x:v>
      </x:c>
      <x:c r="D124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6" s="144" t="str">
        <x:v>M2</x:v>
      </x:c>
      <x:c r="F1246" s="144" t="str">
        <x:v>Signal 级可编辑配置、数据类型/缩放/端序合同、RTE 接口、边界值与 round-trip 测试。</x:v>
      </x:c>
      <x:c r="G1246" s="144" t="str">
        <x:v>raw=0、raw=max、物理 min/max、越界/保留值、端序字节向量、pack→unpack round-trip；1457/1457 通过。</x:v>
      </x:c>
      <x:c r="H1246" s="144" t="str">
        <x:v>coem/BYD_UKE/gen_bsw/Com/Com_PBcfg.c:60922</x:v>
      </x:c>
    </x:row>
    <x:row r="1247" ht="72" customHeight="1">
      <x:c r="A1247" s="144" t="str">
        <x:v>Com-Signal</x:v>
      </x:c>
      <x:c r="B1247" s="144" t="str">
        <x:v>COM-SIG-Rx-0335 / CR_RR_Obj001_ObjType</x:v>
      </x:c>
      <x:c r="C1247" s="144" t="str">
        <x:v>PDU=RHRDA_ADAS_PriCANFD2_01; startBit=13; length=3; byteOrder=Big; type=UINT8; factor=1（Com原始值）; offset=0（Com原始值）; min=按位宽/类型; max=按位宽/类型; unit=-; receivers=-</x:v>
      </x:c>
      <x:c r="D124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7" s="144" t="str">
        <x:v>M2</x:v>
      </x:c>
      <x:c r="F1247" s="144" t="str">
        <x:v>Signal 级可编辑配置、数据类型/缩放/端序合同、RTE 接口、边界值与 round-trip 测试。</x:v>
      </x:c>
      <x:c r="G1247" s="144" t="str">
        <x:v>raw=0、raw=max、物理 min/max、越界/保留值、端序字节向量、pack→unpack round-trip；1457/1457 通过。</x:v>
      </x:c>
      <x:c r="H1247" s="144" t="str">
        <x:v>coem/BYD_UKE/gen_bsw/Com/Com_PBcfg.c:60982</x:v>
      </x:c>
    </x:row>
    <x:row r="1248" ht="72" customHeight="1">
      <x:c r="A1248" s="144" t="str">
        <x:v>Com-Signal</x:v>
      </x:c>
      <x:c r="B1248" s="144" t="str">
        <x:v>COM-SIG-Rx-0336 / CR_RR_Obj001_ProtBlockCtr</x:v>
      </x:c>
      <x:c r="C1248" s="144" t="str">
        <x:v>PDU=RHRDA_ADAS_PriCANFD2_01; startBit=240; length=8; byteOrder=Big; type=UINT8; factor=1（Com原始值）; offset=0（Com原始值）; min=按位宽/类型; max=按位宽/类型; unit=-; receivers=-</x:v>
      </x:c>
      <x:c r="D124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8" s="144" t="str">
        <x:v>M2</x:v>
      </x:c>
      <x:c r="F1248" s="144" t="str">
        <x:v>Signal 级可编辑配置、数据类型/缩放/端序合同、RTE 接口、边界值与 round-trip 测试。</x:v>
      </x:c>
      <x:c r="G1248" s="144" t="str">
        <x:v>raw=0、raw=max、物理 min/max、越界/保留值、端序字节向量、pack→unpack round-trip；1457/1457 通过。</x:v>
      </x:c>
      <x:c r="H1248" s="144" t="str">
        <x:v>coem/BYD_UKE/gen_bsw/Com/Com_PBcfg.c:61042</x:v>
      </x:c>
    </x:row>
    <x:row r="1249" ht="72" customHeight="1">
      <x:c r="A1249" s="144" t="str">
        <x:v>Com-Signal</x:v>
      </x:c>
      <x:c r="B1249" s="144" t="str">
        <x:v>COM-SIG-Rx-0337 / CR_RR_Obj001_RelVelX</x:v>
      </x:c>
      <x:c r="C1249" s="144" t="str">
        <x:v>PDU=RHRDA_ADAS_PriCANFD2_01; startBit=92; length=12; byteOrder=Big; type=UINT16; factor=1（Com原始值）; offset=0（Com原始值）; min=按位宽/类型; max=按位宽/类型; unit=-; receivers=-</x:v>
      </x:c>
      <x:c r="D124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9" s="144" t="str">
        <x:v>M2</x:v>
      </x:c>
      <x:c r="F1249" s="144" t="str">
        <x:v>Signal 级可编辑配置、数据类型/缩放/端序合同、RTE 接口、边界值与 round-trip 测试。</x:v>
      </x:c>
      <x:c r="G1249" s="144" t="str">
        <x:v>raw=0、raw=max、物理 min/max、越界/保留值、端序字节向量、pack→unpack round-trip；1457/1457 通过。</x:v>
      </x:c>
      <x:c r="H1249" s="144" t="str">
        <x:v>coem/BYD_UKE/gen_bsw/Com/Com_PBcfg.c:61102</x:v>
      </x:c>
    </x:row>
    <x:row r="1250" ht="72" customHeight="1">
      <x:c r="A1250" s="144" t="str">
        <x:v>Com-Signal</x:v>
      </x:c>
      <x:c r="B1250" s="144" t="str">
        <x:v>COM-SIG-Rx-0338 / CR_RR_Obj001_RelVelY</x:v>
      </x:c>
      <x:c r="C1250" s="144" t="str">
        <x:v>PDU=RHRDA_ADAS_PriCANFD2_01; startBit=96; length=12; byteOrder=Big; type=UINT16; factor=1（Com原始值）; offset=0（Com原始值）; min=按位宽/类型; max=按位宽/类型; unit=-; receivers=-</x:v>
      </x:c>
      <x:c r="D125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0" s="144" t="str">
        <x:v>M2</x:v>
      </x:c>
      <x:c r="F1250" s="144" t="str">
        <x:v>Signal 级可编辑配置、数据类型/缩放/端序合同、RTE 接口、边界值与 round-trip 测试。</x:v>
      </x:c>
      <x:c r="G1250" s="144" t="str">
        <x:v>raw=0、raw=max、物理 min/max、越界/保留值、端序字节向量、pack→unpack round-trip；1457/1457 通过。</x:v>
      </x:c>
      <x:c r="H1250" s="144" t="str">
        <x:v>coem/BYD_UKE/gen_bsw/Com/Com_PBcfg.c:61162</x:v>
      </x:c>
    </x:row>
    <x:row r="1251" ht="72" customHeight="1">
      <x:c r="A1251" s="144" t="str">
        <x:v>Com-Signal</x:v>
      </x:c>
      <x:c r="B1251" s="144" t="str">
        <x:v>COM-SIG-Rx-0339 / CR_RR_Obj001_Width</x:v>
      </x:c>
      <x:c r="C1251" s="144" t="str">
        <x:v>PDU=RHRDA_ADAS_PriCANFD2_01; startBit=134; length=10; byteOrder=Big; type=UINT16; factor=1（Com原始值）; offset=0（Com原始值）; min=按位宽/类型; max=按位宽/类型; unit=-; receivers=-</x:v>
      </x:c>
      <x:c r="D125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1" s="144" t="str">
        <x:v>M2</x:v>
      </x:c>
      <x:c r="F1251" s="144" t="str">
        <x:v>Signal 级可编辑配置、数据类型/缩放/端序合同、RTE 接口、边界值与 round-trip 测试。</x:v>
      </x:c>
      <x:c r="G1251" s="144" t="str">
        <x:v>raw=0、raw=max、物理 min/max、越界/保留值、端序字节向量、pack→unpack round-trip；1457/1457 通过。</x:v>
      </x:c>
      <x:c r="H1251" s="144" t="str">
        <x:v>coem/BYD_UKE/gen_bsw/Com/Com_PBcfg.c:61222</x:v>
      </x:c>
    </x:row>
    <x:row r="1252" ht="72" customHeight="1">
      <x:c r="A1252" s="144" t="str">
        <x:v>Com-Signal</x:v>
      </x:c>
      <x:c r="B1252" s="144" t="str">
        <x:v>COM-SIG-Rx-0340 / CR_RR_Obj001_YawAng</x:v>
      </x:c>
      <x:c r="C1252" s="144" t="str">
        <x:v>PDU=RHRDA_ADAS_PriCANFD2_01; startBit=200; length=32; byteOrder=Big; type=UINT32; factor=1（Com原始值）; offset=0（Com原始值）; min=按位宽/类型; max=按位宽/类型; unit=-; receivers=-</x:v>
      </x:c>
      <x:c r="D125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2" s="144" t="str">
        <x:v>M2</x:v>
      </x:c>
      <x:c r="F1252" s="144" t="str">
        <x:v>Signal 级可编辑配置、数据类型/缩放/端序合同、RTE 接口、边界值与 round-trip 测试。</x:v>
      </x:c>
      <x:c r="G1252" s="144" t="str">
        <x:v>raw=0、raw=max、物理 min/max、越界/保留值、端序字节向量、pack→unpack round-trip；1457/1457 通过。</x:v>
      </x:c>
      <x:c r="H1252" s="144" t="str">
        <x:v>coem/BYD_UKE/gen_bsw/Com/Com_PBcfg.c:61282</x:v>
      </x:c>
    </x:row>
    <x:row r="1253" ht="72" customHeight="1">
      <x:c r="A1253" s="144" t="str">
        <x:v>Com-Signal</x:v>
      </x:c>
      <x:c r="B1253" s="144" t="str">
        <x:v>COM-SIG-Rx-0341 / CR_RR_Obj001_dynFlg</x:v>
      </x:c>
      <x:c r="C1253" s="144" t="str">
        <x:v>PDU=RHRDA_ADAS_PriCANFD2_01; startBit=16; length=8; byteOrder=Big; type=UINT8; factor=1（Com原始值）; offset=0（Com原始值）; min=按位宽/类型; max=按位宽/类型; unit=-; receivers=-</x:v>
      </x:c>
      <x:c r="D125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3" s="144" t="str">
        <x:v>M2</x:v>
      </x:c>
      <x:c r="F1253" s="144" t="str">
        <x:v>Signal 级可编辑配置、数据类型/缩放/端序合同、RTE 接口、边界值与 round-trip 测试。</x:v>
      </x:c>
      <x:c r="G1253" s="144" t="str">
        <x:v>raw=0、raw=max、物理 min/max、越界/保留值、端序字节向量、pack→unpack round-trip；1457/1457 通过。</x:v>
      </x:c>
      <x:c r="H1253" s="144" t="str">
        <x:v>coem/BYD_UKE/gen_bsw/Com/Com_PBcfg.c:61342</x:v>
      </x:c>
    </x:row>
    <x:row r="1254" ht="72" customHeight="1">
      <x:c r="A1254" s="144" t="str">
        <x:v>Com-Signal</x:v>
      </x:c>
      <x:c r="B1254" s="144" t="str">
        <x:v>COM-SIG-Rx-0342 / CR_RR_Obj001_historyMovDist</x:v>
      </x:c>
      <x:c r="C1254" s="144" t="str">
        <x:v>PDU=RHRDA_ADAS_PriCANFD2_01; startBit=152; length=16; byteOrder=Big; type=UINT16; factor=1（Com原始值）; offset=0（Com原始值）; min=按位宽/类型; max=按位宽/类型; unit=-; receivers=-</x:v>
      </x:c>
      <x:c r="D125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4" s="144" t="str">
        <x:v>M2</x:v>
      </x:c>
      <x:c r="F1254" s="144" t="str">
        <x:v>Signal 级可编辑配置、数据类型/缩放/端序合同、RTE 接口、边界值与 round-trip 测试。</x:v>
      </x:c>
      <x:c r="G1254" s="144" t="str">
        <x:v>raw=0、raw=max、物理 min/max、越界/保留值、端序字节向量、pack→unpack round-trip；1457/1457 通过。</x:v>
      </x:c>
      <x:c r="H1254" s="144" t="str">
        <x:v>coem/BYD_UKE/gen_bsw/Com/Com_PBcfg.c:61402</x:v>
      </x:c>
    </x:row>
    <x:row r="1255" ht="72" customHeight="1">
      <x:c r="A1255" s="144" t="str">
        <x:v>Com-Signal</x:v>
      </x:c>
      <x:c r="B1255" s="144" t="str">
        <x:v>COM-SIG-Rx-0343 / CR_RR_Obj001_lifeCycle</x:v>
      </x:c>
      <x:c r="C1255" s="144" t="str">
        <x:v>PDU=RHRDA_ADAS_PriCANFD2_01; startBit=216; length=16; byteOrder=Big; type=UINT16; factor=1（Com原始值）; offset=0（Com原始值）; min=按位宽/类型; max=按位宽/类型; unit=-; receivers=-</x:v>
      </x:c>
      <x:c r="D125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5" s="144" t="str">
        <x:v>M2</x:v>
      </x:c>
      <x:c r="F1255" s="144" t="str">
        <x:v>Signal 级可编辑配置、数据类型/缩放/端序合同、RTE 接口、边界值与 round-trip 测试。</x:v>
      </x:c>
      <x:c r="G1255" s="144" t="str">
        <x:v>raw=0、raw=max、物理 min/max、越界/保留值、端序字节向量、pack→unpack round-trip；1457/1457 通过。</x:v>
      </x:c>
      <x:c r="H1255" s="144" t="str">
        <x:v>coem/BYD_UKE/gen_bsw/Com/Com_PBcfg.c:61462</x:v>
      </x:c>
    </x:row>
    <x:row r="1256" ht="72" customHeight="1">
      <x:c r="A1256" s="144" t="str">
        <x:v>Com-Signal</x:v>
      </x:c>
      <x:c r="B1256" s="144" t="str">
        <x:v>COM-SIG-Rx-0344 / CR_RR_Obj_CRC8Checksum_001</x:v>
      </x:c>
      <x:c r="C1256" s="144" t="str">
        <x:v>PDU=RHRDA_ADAS_PriCANFD2_01; startBit=0; length=8; byteOrder=Big; type=UINT8; factor=1（Com原始值）; offset=0（Com原始值）; min=按位宽/类型; max=按位宽/类型; unit=-; receivers=-</x:v>
      </x:c>
      <x:c r="D125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6" s="144" t="str">
        <x:v>M2</x:v>
      </x:c>
      <x:c r="F1256" s="144" t="str">
        <x:v>Signal 级可编辑配置、数据类型/缩放/端序合同、RTE 接口、边界值与 round-trip 测试。</x:v>
      </x:c>
      <x:c r="G1256" s="144" t="str">
        <x:v>raw=0、raw=max、物理 min/max、越界/保留值、端序字节向量、pack→unpack round-trip；1457/1457 通过。</x:v>
      </x:c>
      <x:c r="H1256" s="144" t="str">
        <x:v>coem/BYD_UKE/gen_bsw/Com/Com_PBcfg.c:61522</x:v>
      </x:c>
    </x:row>
    <x:row r="1257" ht="72" customHeight="1">
      <x:c r="A1257" s="144" t="str">
        <x:v>Com-Signal</x:v>
      </x:c>
      <x:c r="B1257" s="144" t="str">
        <x:v>COM-SIG-Rx-0345 / CR_RR_Obj_MsgCounter_001</x:v>
      </x:c>
      <x:c r="C1257" s="144" t="str">
        <x:v>PDU=RHRDA_ADAS_PriCANFD2_01; startBit=8; length=4; byteOrder=Big; type=UINT8; factor=1（Com原始值）; offset=0（Com原始值）; min=按位宽/类型; max=按位宽/类型; unit=-; receivers=-</x:v>
      </x:c>
      <x:c r="D125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7" s="144" t="str">
        <x:v>M2</x:v>
      </x:c>
      <x:c r="F1257" s="144" t="str">
        <x:v>Signal 级可编辑配置、数据类型/缩放/端序合同、RTE 接口、边界值与 round-trip 测试。</x:v>
      </x:c>
      <x:c r="G1257" s="144" t="str">
        <x:v>raw=0、raw=max、物理 min/max、越界/保留值、端序字节向量、pack→unpack round-trip；1457/1457 通过。</x:v>
      </x:c>
      <x:c r="H1257" s="144" t="str">
        <x:v>coem/BYD_UKE/gen_bsw/Com/Com_PBcfg.c:61582</x:v>
      </x:c>
    </x:row>
    <x:row r="1258" ht="72" customHeight="1">
      <x:c r="A1258" s="144" t="str">
        <x:v>Com-Signal</x:v>
      </x:c>
      <x:c r="B1258" s="144" t="str">
        <x:v>COM-SIG-Rx-0346 / CR_RR_Obj002_DistX</x:v>
      </x:c>
      <x:c r="C1258" s="144" t="str">
        <x:v>PDU=RHRDA_ADAS_PriCANFD2_02; startBit=48; length=12; byteOrder=Big; type=UINT16; factor=1（Com原始值）; offset=0（Com原始值）; min=按位宽/类型; max=按位宽/类型; unit=-; receivers=-</x:v>
      </x:c>
      <x:c r="D125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8" s="144" t="str">
        <x:v>M2</x:v>
      </x:c>
      <x:c r="F1258" s="144" t="str">
        <x:v>Signal 级可编辑配置、数据类型/缩放/端序合同、RTE 接口、边界值与 round-trip 测试。</x:v>
      </x:c>
      <x:c r="G1258" s="144" t="str">
        <x:v>raw=0、raw=max、物理 min/max、越界/保留值、端序字节向量、pack→unpack round-trip；1457/1457 通过。</x:v>
      </x:c>
      <x:c r="H1258" s="144" t="str">
        <x:v>coem/BYD_UKE/gen_bsw/Com/Com_PBcfg.c:61642</x:v>
      </x:c>
    </x:row>
    <x:row r="1259" ht="72" customHeight="1">
      <x:c r="A1259" s="144" t="str">
        <x:v>Com-Signal</x:v>
      </x:c>
      <x:c r="B1259" s="144" t="str">
        <x:v>COM-SIG-Rx-0347 / CR_RR_Obj002_DistY</x:v>
      </x:c>
      <x:c r="C1259" s="144" t="str">
        <x:v>PDU=RHRDA_ADAS_PriCANFD2_02; startBit=66; length=14; byteOrder=Big; type=UINT16; factor=1（Com原始值）; offset=0（Com原始值）; min=按位宽/类型; max=按位宽/类型; unit=-; receivers=-</x:v>
      </x:c>
      <x:c r="D125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9" s="144" t="str">
        <x:v>M2</x:v>
      </x:c>
      <x:c r="F1259" s="144" t="str">
        <x:v>Signal 级可编辑配置、数据类型/缩放/端序合同、RTE 接口、边界值与 round-trip 测试。</x:v>
      </x:c>
      <x:c r="G1259" s="144" t="str">
        <x:v>raw=0、raw=max、物理 min/max、越界/保留值、端序字节向量、pack→unpack round-trip；1457/1457 通过。</x:v>
      </x:c>
      <x:c r="H1259" s="144" t="str">
        <x:v>coem/BYD_UKE/gen_bsw/Com/Com_PBcfg.c:61702</x:v>
      </x:c>
    </x:row>
    <x:row r="1260" ht="72" customHeight="1">
      <x:c r="A1260" s="144" t="str">
        <x:v>Com-Signal</x:v>
      </x:c>
      <x:c r="B1260" s="144" t="str">
        <x:v>COM-SIG-Rx-0348 / CR_RR_Obj002_ID</x:v>
      </x:c>
      <x:c r="C1260" s="144" t="str">
        <x:v>PDU=RHRDA_ADAS_PriCANFD2_02; startBit=24; length=8; byteOrder=Big; type=UINT8; factor=1（Com原始值）; offset=0（Com原始值）; min=按位宽/类型; max=按位宽/类型; unit=-; receivers=-</x:v>
      </x:c>
      <x:c r="D126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0" s="144" t="str">
        <x:v>M2</x:v>
      </x:c>
      <x:c r="F1260" s="144" t="str">
        <x:v>Signal 级可编辑配置、数据类型/缩放/端序合同、RTE 接口、边界值与 round-trip 测试。</x:v>
      </x:c>
      <x:c r="G1260" s="144" t="str">
        <x:v>raw=0、raw=max、物理 min/max、越界/保留值、端序字节向量、pack→unpack round-trip；1457/1457 通过。</x:v>
      </x:c>
      <x:c r="H1260" s="144" t="str">
        <x:v>coem/BYD_UKE/gen_bsw/Com/Com_PBcfg.c:61762</x:v>
      </x:c>
    </x:row>
    <x:row r="1261" ht="72" customHeight="1">
      <x:c r="A1261" s="144" t="str">
        <x:v>Com-Signal</x:v>
      </x:c>
      <x:c r="B1261" s="144" t="str">
        <x:v>COM-SIG-Rx-0349 / CR_RR_Obj002_Length</x:v>
      </x:c>
      <x:c r="C1261" s="144" t="str">
        <x:v>PDU=RHRDA_ADAS_PriCANFD2_02; startBit=175; length=9; byteOrder=Big; type=UINT16; factor=1（Com原始值）; offset=0（Com原始值）; min=按位宽/类型; max=按位宽/类型; unit=-; receivers=-</x:v>
      </x:c>
      <x:c r="D126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1" s="144" t="str">
        <x:v>M2</x:v>
      </x:c>
      <x:c r="F1261" s="144" t="str">
        <x:v>Signal 级可编辑配置、数据类型/缩放/端序合同、RTE 接口、边界值与 round-trip 测试。</x:v>
      </x:c>
      <x:c r="G1261" s="144" t="str">
        <x:v>raw=0、raw=max、物理 min/max、越界/保留值、端序字节向量、pack→unpack round-trip；1457/1457 通过。</x:v>
      </x:c>
      <x:c r="H1261" s="144" t="str">
        <x:v>coem/BYD_UKE/gen_bsw/Com/Com_PBcfg.c:61822</x:v>
      </x:c>
    </x:row>
    <x:row r="1262" ht="72" customHeight="1">
      <x:c r="A1262" s="144" t="str">
        <x:v>Com-Signal</x:v>
      </x:c>
      <x:c r="B1262" s="144" t="str">
        <x:v>COM-SIG-Rx-0350 / CR_RR_Obj002_ObjType</x:v>
      </x:c>
      <x:c r="C1262" s="144" t="str">
        <x:v>PDU=RHRDA_ADAS_PriCANFD2_02; startBit=13; length=3; byteOrder=Big; type=UINT8; factor=1（Com原始值）; offset=0（Com原始值）; min=按位宽/类型; max=按位宽/类型; unit=-; receivers=-</x:v>
      </x:c>
      <x:c r="D126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2" s="144" t="str">
        <x:v>M2</x:v>
      </x:c>
      <x:c r="F1262" s="144" t="str">
        <x:v>Signal 级可编辑配置、数据类型/缩放/端序合同、RTE 接口、边界值与 round-trip 测试。</x:v>
      </x:c>
      <x:c r="G1262" s="144" t="str">
        <x:v>raw=0、raw=max、物理 min/max、越界/保留值、端序字节向量、pack→unpack round-trip；1457/1457 通过。</x:v>
      </x:c>
      <x:c r="H1262" s="144" t="str">
        <x:v>coem/BYD_UKE/gen_bsw/Com/Com_PBcfg.c:61882</x:v>
      </x:c>
    </x:row>
    <x:row r="1263" ht="72" customHeight="1">
      <x:c r="A1263" s="144" t="str">
        <x:v>Com-Signal</x:v>
      </x:c>
      <x:c r="B1263" s="144" t="str">
        <x:v>COM-SIG-Rx-0351 / CR_RR_Obj002_ProtBlockCtr</x:v>
      </x:c>
      <x:c r="C1263" s="144" t="str">
        <x:v>PDU=RHRDA_ADAS_PriCANFD2_02; startBit=240; length=8; byteOrder=Big; type=UINT8; factor=1（Com原始值）; offset=0（Com原始值）; min=按位宽/类型; max=按位宽/类型; unit=-; receivers=-</x:v>
      </x:c>
      <x:c r="D126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3" s="144" t="str">
        <x:v>M2</x:v>
      </x:c>
      <x:c r="F1263" s="144" t="str">
        <x:v>Signal 级可编辑配置、数据类型/缩放/端序合同、RTE 接口、边界值与 round-trip 测试。</x:v>
      </x:c>
      <x:c r="G1263" s="144" t="str">
        <x:v>raw=0、raw=max、物理 min/max、越界/保留值、端序字节向量、pack→unpack round-trip；1457/1457 通过。</x:v>
      </x:c>
      <x:c r="H1263" s="144" t="str">
        <x:v>coem/BYD_UKE/gen_bsw/Com/Com_PBcfg.c:61942</x:v>
      </x:c>
    </x:row>
    <x:row r="1264" ht="72" customHeight="1">
      <x:c r="A1264" s="144" t="str">
        <x:v>Com-Signal</x:v>
      </x:c>
      <x:c r="B1264" s="144" t="str">
        <x:v>COM-SIG-Rx-0352 / CR_RR_Obj002_RelVelX</x:v>
      </x:c>
      <x:c r="C1264" s="144" t="str">
        <x:v>PDU=RHRDA_ADAS_PriCANFD2_02; startBit=92; length=12; byteOrder=Big; type=UINT16; factor=1（Com原始值）; offset=0（Com原始值）; min=按位宽/类型; max=按位宽/类型; unit=-; receivers=-</x:v>
      </x:c>
      <x:c r="D126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4" s="144" t="str">
        <x:v>M2</x:v>
      </x:c>
      <x:c r="F1264" s="144" t="str">
        <x:v>Signal 级可编辑配置、数据类型/缩放/端序合同、RTE 接口、边界值与 round-trip 测试。</x:v>
      </x:c>
      <x:c r="G1264" s="144" t="str">
        <x:v>raw=0、raw=max、物理 min/max、越界/保留值、端序字节向量、pack→unpack round-trip；1457/1457 通过。</x:v>
      </x:c>
      <x:c r="H1264" s="144" t="str">
        <x:v>coem/BYD_UKE/gen_bsw/Com/Com_PBcfg.c:62002</x:v>
      </x:c>
    </x:row>
    <x:row r="1265" ht="72" customHeight="1">
      <x:c r="A1265" s="144" t="str">
        <x:v>Com-Signal</x:v>
      </x:c>
      <x:c r="B1265" s="144" t="str">
        <x:v>COM-SIG-Rx-0353 / CR_RR_Obj002_RelVelY</x:v>
      </x:c>
      <x:c r="C1265" s="144" t="str">
        <x:v>PDU=RHRDA_ADAS_PriCANFD2_02; startBit=96; length=12; byteOrder=Big; type=UINT16; factor=1（Com原始值）; offset=0（Com原始值）; min=按位宽/类型; max=按位宽/类型; unit=-; receivers=-</x:v>
      </x:c>
      <x:c r="D126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5" s="144" t="str">
        <x:v>M2</x:v>
      </x:c>
      <x:c r="F1265" s="144" t="str">
        <x:v>Signal 级可编辑配置、数据类型/缩放/端序合同、RTE 接口、边界值与 round-trip 测试。</x:v>
      </x:c>
      <x:c r="G1265" s="144" t="str">
        <x:v>raw=0、raw=max、物理 min/max、越界/保留值、端序字节向量、pack→unpack round-trip；1457/1457 通过。</x:v>
      </x:c>
      <x:c r="H1265" s="144" t="str">
        <x:v>coem/BYD_UKE/gen_bsw/Com/Com_PBcfg.c:62062</x:v>
      </x:c>
    </x:row>
    <x:row r="1266" ht="72" customHeight="1">
      <x:c r="A1266" s="144" t="str">
        <x:v>Com-Signal</x:v>
      </x:c>
      <x:c r="B1266" s="144" t="str">
        <x:v>COM-SIG-Rx-0354 / CR_RR_Obj002_Width</x:v>
      </x:c>
      <x:c r="C1266" s="144" t="str">
        <x:v>PDU=RHRDA_ADAS_PriCANFD2_02; startBit=134; length=10; byteOrder=Big; type=UINT16; factor=1（Com原始值）; offset=0（Com原始值）; min=按位宽/类型; max=按位宽/类型; unit=-; receivers=-</x:v>
      </x:c>
      <x:c r="D126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6" s="144" t="str">
        <x:v>M2</x:v>
      </x:c>
      <x:c r="F1266" s="144" t="str">
        <x:v>Signal 级可编辑配置、数据类型/缩放/端序合同、RTE 接口、边界值与 round-trip 测试。</x:v>
      </x:c>
      <x:c r="G1266" s="144" t="str">
        <x:v>raw=0、raw=max、物理 min/max、越界/保留值、端序字节向量、pack→unpack round-trip；1457/1457 通过。</x:v>
      </x:c>
      <x:c r="H1266" s="144" t="str">
        <x:v>coem/BYD_UKE/gen_bsw/Com/Com_PBcfg.c:62122</x:v>
      </x:c>
    </x:row>
    <x:row r="1267" ht="72" customHeight="1">
      <x:c r="A1267" s="144" t="str">
        <x:v>Com-Signal</x:v>
      </x:c>
      <x:c r="B1267" s="144" t="str">
        <x:v>COM-SIG-Rx-0355 / CR_RR_Obj002_YawAng</x:v>
      </x:c>
      <x:c r="C1267" s="144" t="str">
        <x:v>PDU=RHRDA_ADAS_PriCANFD2_02; startBit=200; length=32; byteOrder=Big; type=UINT32; factor=1（Com原始值）; offset=0（Com原始值）; min=按位宽/类型; max=按位宽/类型; unit=-; receivers=-</x:v>
      </x:c>
      <x:c r="D126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7" s="144" t="str">
        <x:v>M2</x:v>
      </x:c>
      <x:c r="F1267" s="144" t="str">
        <x:v>Signal 级可编辑配置、数据类型/缩放/端序合同、RTE 接口、边界值与 round-trip 测试。</x:v>
      </x:c>
      <x:c r="G1267" s="144" t="str">
        <x:v>raw=0、raw=max、物理 min/max、越界/保留值、端序字节向量、pack→unpack round-trip；1457/1457 通过。</x:v>
      </x:c>
      <x:c r="H1267" s="144" t="str">
        <x:v>coem/BYD_UKE/gen_bsw/Com/Com_PBcfg.c:62182</x:v>
      </x:c>
    </x:row>
    <x:row r="1268" ht="72" customHeight="1">
      <x:c r="A1268" s="144" t="str">
        <x:v>Com-Signal</x:v>
      </x:c>
      <x:c r="B1268" s="144" t="str">
        <x:v>COM-SIG-Rx-0356 / CR_RR_Obj002_dynFlg</x:v>
      </x:c>
      <x:c r="C1268" s="144" t="str">
        <x:v>PDU=RHRDA_ADAS_PriCANFD2_02; startBit=16; length=8; byteOrder=Big; type=UINT8; factor=1（Com原始值）; offset=0（Com原始值）; min=按位宽/类型; max=按位宽/类型; unit=-; receivers=-</x:v>
      </x:c>
      <x:c r="D126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8" s="144" t="str">
        <x:v>M2</x:v>
      </x:c>
      <x:c r="F1268" s="144" t="str">
        <x:v>Signal 级可编辑配置、数据类型/缩放/端序合同、RTE 接口、边界值与 round-trip 测试。</x:v>
      </x:c>
      <x:c r="G1268" s="144" t="str">
        <x:v>raw=0、raw=max、物理 min/max、越界/保留值、端序字节向量、pack→unpack round-trip；1457/1457 通过。</x:v>
      </x:c>
      <x:c r="H1268" s="144" t="str">
        <x:v>coem/BYD_UKE/gen_bsw/Com/Com_PBcfg.c:62242</x:v>
      </x:c>
    </x:row>
    <x:row r="1269" ht="72" customHeight="1">
      <x:c r="A1269" s="144" t="str">
        <x:v>Com-Signal</x:v>
      </x:c>
      <x:c r="B1269" s="144" t="str">
        <x:v>COM-SIG-Rx-0357 / CR_RR_Obj002_historyMovDist</x:v>
      </x:c>
      <x:c r="C1269" s="144" t="str">
        <x:v>PDU=RHRDA_ADAS_PriCANFD2_02; startBit=152; length=16; byteOrder=Big; type=UINT16; factor=1（Com原始值）; offset=0（Com原始值）; min=按位宽/类型; max=按位宽/类型; unit=-; receivers=-</x:v>
      </x:c>
      <x:c r="D126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9" s="144" t="str">
        <x:v>M2</x:v>
      </x:c>
      <x:c r="F1269" s="144" t="str">
        <x:v>Signal 级可编辑配置、数据类型/缩放/端序合同、RTE 接口、边界值与 round-trip 测试。</x:v>
      </x:c>
      <x:c r="G1269" s="144" t="str">
        <x:v>raw=0、raw=max、物理 min/max、越界/保留值、端序字节向量、pack→unpack round-trip；1457/1457 通过。</x:v>
      </x:c>
      <x:c r="H1269" s="144" t="str">
        <x:v>coem/BYD_UKE/gen_bsw/Com/Com_PBcfg.c:62302</x:v>
      </x:c>
    </x:row>
    <x:row r="1270" ht="72" customHeight="1">
      <x:c r="A1270" s="144" t="str">
        <x:v>Com-Signal</x:v>
      </x:c>
      <x:c r="B1270" s="144" t="str">
        <x:v>COM-SIG-Rx-0358 / CR_RR_Obj002_lifeCycle</x:v>
      </x:c>
      <x:c r="C1270" s="144" t="str">
        <x:v>PDU=RHRDA_ADAS_PriCANFD2_02; startBit=216; length=16; byteOrder=Big; type=UINT16; factor=1（Com原始值）; offset=0（Com原始值）; min=按位宽/类型; max=按位宽/类型; unit=-; receivers=-</x:v>
      </x:c>
      <x:c r="D127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0" s="144" t="str">
        <x:v>M2</x:v>
      </x:c>
      <x:c r="F1270" s="144" t="str">
        <x:v>Signal 级可编辑配置、数据类型/缩放/端序合同、RTE 接口、边界值与 round-trip 测试。</x:v>
      </x:c>
      <x:c r="G1270" s="144" t="str">
        <x:v>raw=0、raw=max、物理 min/max、越界/保留值、端序字节向量、pack→unpack round-trip；1457/1457 通过。</x:v>
      </x:c>
      <x:c r="H1270" s="144" t="str">
        <x:v>coem/BYD_UKE/gen_bsw/Com/Com_PBcfg.c:62362</x:v>
      </x:c>
    </x:row>
    <x:row r="1271" ht="72" customHeight="1">
      <x:c r="A1271" s="144" t="str">
        <x:v>Com-Signal</x:v>
      </x:c>
      <x:c r="B1271" s="144" t="str">
        <x:v>COM-SIG-Rx-0359 / CR_RR_Obj_CRC8Checksum_002</x:v>
      </x:c>
      <x:c r="C1271" s="144" t="str">
        <x:v>PDU=RHRDA_ADAS_PriCANFD2_02; startBit=0; length=8; byteOrder=Big; type=UINT8; factor=1（Com原始值）; offset=0（Com原始值）; min=按位宽/类型; max=按位宽/类型; unit=-; receivers=-</x:v>
      </x:c>
      <x:c r="D127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1" s="144" t="str">
        <x:v>M2</x:v>
      </x:c>
      <x:c r="F1271" s="144" t="str">
        <x:v>Signal 级可编辑配置、数据类型/缩放/端序合同、RTE 接口、边界值与 round-trip 测试。</x:v>
      </x:c>
      <x:c r="G1271" s="144" t="str">
        <x:v>raw=0、raw=max、物理 min/max、越界/保留值、端序字节向量、pack→unpack round-trip；1457/1457 通过。</x:v>
      </x:c>
      <x:c r="H1271" s="144" t="str">
        <x:v>coem/BYD_UKE/gen_bsw/Com/Com_PBcfg.c:62422</x:v>
      </x:c>
    </x:row>
    <x:row r="1272" ht="72" customHeight="1">
      <x:c r="A1272" s="144" t="str">
        <x:v>Com-Signal</x:v>
      </x:c>
      <x:c r="B1272" s="144" t="str">
        <x:v>COM-SIG-Rx-0360 / CR_RR_Obj_MsgCounter_002</x:v>
      </x:c>
      <x:c r="C1272" s="144" t="str">
        <x:v>PDU=RHRDA_ADAS_PriCANFD2_02; startBit=8; length=4; byteOrder=Big; type=UINT8; factor=1（Com原始值）; offset=0（Com原始值）; min=按位宽/类型; max=按位宽/类型; unit=-; receivers=-</x:v>
      </x:c>
      <x:c r="D127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2" s="144" t="str">
        <x:v>M2</x:v>
      </x:c>
      <x:c r="F1272" s="144" t="str">
        <x:v>Signal 级可编辑配置、数据类型/缩放/端序合同、RTE 接口、边界值与 round-trip 测试。</x:v>
      </x:c>
      <x:c r="G1272" s="144" t="str">
        <x:v>raw=0、raw=max、物理 min/max、越界/保留值、端序字节向量、pack→unpack round-trip；1457/1457 通过。</x:v>
      </x:c>
      <x:c r="H1272" s="144" t="str">
        <x:v>coem/BYD_UKE/gen_bsw/Com/Com_PBcfg.c:62482</x:v>
      </x:c>
    </x:row>
    <x:row r="1273" ht="72" customHeight="1">
      <x:c r="A1273" s="144" t="str">
        <x:v>Com-Signal</x:v>
      </x:c>
      <x:c r="B1273" s="144" t="str">
        <x:v>COM-SIG-Rx-0361 / CR_RR_Obj003_DistX</x:v>
      </x:c>
      <x:c r="C1273" s="144" t="str">
        <x:v>PDU=RHRDA_ADAS_PriCANFD2_03; startBit=48; length=12; byteOrder=Big; type=UINT16; factor=1（Com原始值）; offset=0（Com原始值）; min=按位宽/类型; max=按位宽/类型; unit=-; receivers=-</x:v>
      </x:c>
      <x:c r="D127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3" s="144" t="str">
        <x:v>M2</x:v>
      </x:c>
      <x:c r="F1273" s="144" t="str">
        <x:v>Signal 级可编辑配置、数据类型/缩放/端序合同、RTE 接口、边界值与 round-trip 测试。</x:v>
      </x:c>
      <x:c r="G1273" s="144" t="str">
        <x:v>raw=0、raw=max、物理 min/max、越界/保留值、端序字节向量、pack→unpack round-trip；1457/1457 通过。</x:v>
      </x:c>
      <x:c r="H1273" s="144" t="str">
        <x:v>coem/BYD_UKE/gen_bsw/Com/Com_PBcfg.c:62542</x:v>
      </x:c>
    </x:row>
    <x:row r="1274" ht="72" customHeight="1">
      <x:c r="A1274" s="144" t="str">
        <x:v>Com-Signal</x:v>
      </x:c>
      <x:c r="B1274" s="144" t="str">
        <x:v>COM-SIG-Rx-0362 / CR_RR_Obj003_DistY</x:v>
      </x:c>
      <x:c r="C1274" s="144" t="str">
        <x:v>PDU=RHRDA_ADAS_PriCANFD2_03; startBit=66; length=14; byteOrder=Big; type=UINT16; factor=1（Com原始值）; offset=0（Com原始值）; min=按位宽/类型; max=按位宽/类型; unit=-; receivers=-</x:v>
      </x:c>
      <x:c r="D127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4" s="144" t="str">
        <x:v>M2</x:v>
      </x:c>
      <x:c r="F1274" s="144" t="str">
        <x:v>Signal 级可编辑配置、数据类型/缩放/端序合同、RTE 接口、边界值与 round-trip 测试。</x:v>
      </x:c>
      <x:c r="G1274" s="144" t="str">
        <x:v>raw=0、raw=max、物理 min/max、越界/保留值、端序字节向量、pack→unpack round-trip；1457/1457 通过。</x:v>
      </x:c>
      <x:c r="H1274" s="144" t="str">
        <x:v>coem/BYD_UKE/gen_bsw/Com/Com_PBcfg.c:62602</x:v>
      </x:c>
    </x:row>
    <x:row r="1275" ht="72" customHeight="1">
      <x:c r="A1275" s="144" t="str">
        <x:v>Com-Signal</x:v>
      </x:c>
      <x:c r="B1275" s="144" t="str">
        <x:v>COM-SIG-Rx-0363 / CR_RR_Obj003_ID</x:v>
      </x:c>
      <x:c r="C1275" s="144" t="str">
        <x:v>PDU=RHRDA_ADAS_PriCANFD2_03; startBit=24; length=8; byteOrder=Big; type=UINT8; factor=1（Com原始值）; offset=0（Com原始值）; min=按位宽/类型; max=按位宽/类型; unit=-; receivers=-</x:v>
      </x:c>
      <x:c r="D127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5" s="144" t="str">
        <x:v>M2</x:v>
      </x:c>
      <x:c r="F1275" s="144" t="str">
        <x:v>Signal 级可编辑配置、数据类型/缩放/端序合同、RTE 接口、边界值与 round-trip 测试。</x:v>
      </x:c>
      <x:c r="G1275" s="144" t="str">
        <x:v>raw=0、raw=max、物理 min/max、越界/保留值、端序字节向量、pack→unpack round-trip；1457/1457 通过。</x:v>
      </x:c>
      <x:c r="H1275" s="144" t="str">
        <x:v>coem/BYD_UKE/gen_bsw/Com/Com_PBcfg.c:62662</x:v>
      </x:c>
    </x:row>
    <x:row r="1276" ht="72" customHeight="1">
      <x:c r="A1276" s="144" t="str">
        <x:v>Com-Signal</x:v>
      </x:c>
      <x:c r="B1276" s="144" t="str">
        <x:v>COM-SIG-Rx-0364 / CR_RR_Obj003_Length</x:v>
      </x:c>
      <x:c r="C1276" s="144" t="str">
        <x:v>PDU=RHRDA_ADAS_PriCANFD2_03; startBit=175; length=9; byteOrder=Big; type=UINT16; factor=1（Com原始值）; offset=0（Com原始值）; min=按位宽/类型; max=按位宽/类型; unit=-; receivers=-</x:v>
      </x:c>
      <x:c r="D127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6" s="144" t="str">
        <x:v>M2</x:v>
      </x:c>
      <x:c r="F1276" s="144" t="str">
        <x:v>Signal 级可编辑配置、数据类型/缩放/端序合同、RTE 接口、边界值与 round-trip 测试。</x:v>
      </x:c>
      <x:c r="G1276" s="144" t="str">
        <x:v>raw=0、raw=max、物理 min/max、越界/保留值、端序字节向量、pack→unpack round-trip；1457/1457 通过。</x:v>
      </x:c>
      <x:c r="H1276" s="144" t="str">
        <x:v>coem/BYD_UKE/gen_bsw/Com/Com_PBcfg.c:62722</x:v>
      </x:c>
    </x:row>
    <x:row r="1277" ht="72" customHeight="1">
      <x:c r="A1277" s="144" t="str">
        <x:v>Com-Signal</x:v>
      </x:c>
      <x:c r="B1277" s="144" t="str">
        <x:v>COM-SIG-Rx-0365 / CR_RR_Obj003_ObjType</x:v>
      </x:c>
      <x:c r="C1277" s="144" t="str">
        <x:v>PDU=RHRDA_ADAS_PriCANFD2_03; startBit=13; length=3; byteOrder=Big; type=UINT8; factor=1（Com原始值）; offset=0（Com原始值）; min=按位宽/类型; max=按位宽/类型; unit=-; receivers=-</x:v>
      </x:c>
      <x:c r="D127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7" s="144" t="str">
        <x:v>M2</x:v>
      </x:c>
      <x:c r="F1277" s="144" t="str">
        <x:v>Signal 级可编辑配置、数据类型/缩放/端序合同、RTE 接口、边界值与 round-trip 测试。</x:v>
      </x:c>
      <x:c r="G1277" s="144" t="str">
        <x:v>raw=0、raw=max、物理 min/max、越界/保留值、端序字节向量、pack→unpack round-trip；1457/1457 通过。</x:v>
      </x:c>
      <x:c r="H1277" s="144" t="str">
        <x:v>coem/BYD_UKE/gen_bsw/Com/Com_PBcfg.c:62782</x:v>
      </x:c>
    </x:row>
    <x:row r="1278" ht="72" customHeight="1">
      <x:c r="A1278" s="144" t="str">
        <x:v>Com-Signal</x:v>
      </x:c>
      <x:c r="B1278" s="144" t="str">
        <x:v>COM-SIG-Rx-0366 / CR_RR_Obj003_ProtBlockCtr</x:v>
      </x:c>
      <x:c r="C1278" s="144" t="str">
        <x:v>PDU=RHRDA_ADAS_PriCANFD2_03; startBit=240; length=8; byteOrder=Big; type=UINT8; factor=1（Com原始值）; offset=0（Com原始值）; min=按位宽/类型; max=按位宽/类型; unit=-; receivers=-</x:v>
      </x:c>
      <x:c r="D127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8" s="144" t="str">
        <x:v>M2</x:v>
      </x:c>
      <x:c r="F1278" s="144" t="str">
        <x:v>Signal 级可编辑配置、数据类型/缩放/端序合同、RTE 接口、边界值与 round-trip 测试。</x:v>
      </x:c>
      <x:c r="G1278" s="144" t="str">
        <x:v>raw=0、raw=max、物理 min/max、越界/保留值、端序字节向量、pack→unpack round-trip；1457/1457 通过。</x:v>
      </x:c>
      <x:c r="H1278" s="144" t="str">
        <x:v>coem/BYD_UKE/gen_bsw/Com/Com_PBcfg.c:62842</x:v>
      </x:c>
    </x:row>
    <x:row r="1279" ht="72" customHeight="1">
      <x:c r="A1279" s="144" t="str">
        <x:v>Com-Signal</x:v>
      </x:c>
      <x:c r="B1279" s="144" t="str">
        <x:v>COM-SIG-Rx-0367 / CR_RR_Obj003_RelVelX</x:v>
      </x:c>
      <x:c r="C1279" s="144" t="str">
        <x:v>PDU=RHRDA_ADAS_PriCANFD2_03; startBit=92; length=12; byteOrder=Big; type=UINT16; factor=1（Com原始值）; offset=0（Com原始值）; min=按位宽/类型; max=按位宽/类型; unit=-; receivers=-</x:v>
      </x:c>
      <x:c r="D127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9" s="144" t="str">
        <x:v>M2</x:v>
      </x:c>
      <x:c r="F1279" s="144" t="str">
        <x:v>Signal 级可编辑配置、数据类型/缩放/端序合同、RTE 接口、边界值与 round-trip 测试。</x:v>
      </x:c>
      <x:c r="G1279" s="144" t="str">
        <x:v>raw=0、raw=max、物理 min/max、越界/保留值、端序字节向量、pack→unpack round-trip；1457/1457 通过。</x:v>
      </x:c>
      <x:c r="H1279" s="144" t="str">
        <x:v>coem/BYD_UKE/gen_bsw/Com/Com_PBcfg.c:62902</x:v>
      </x:c>
    </x:row>
    <x:row r="1280" ht="72" customHeight="1">
      <x:c r="A1280" s="144" t="str">
        <x:v>Com-Signal</x:v>
      </x:c>
      <x:c r="B1280" s="144" t="str">
        <x:v>COM-SIG-Rx-0368 / CR_RR_Obj003_RelVelY</x:v>
      </x:c>
      <x:c r="C1280" s="144" t="str">
        <x:v>PDU=RHRDA_ADAS_PriCANFD2_03; startBit=96; length=12; byteOrder=Big; type=UINT16; factor=1（Com原始值）; offset=0（Com原始值）; min=按位宽/类型; max=按位宽/类型; unit=-; receivers=-</x:v>
      </x:c>
      <x:c r="D128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0" s="144" t="str">
        <x:v>M2</x:v>
      </x:c>
      <x:c r="F1280" s="144" t="str">
        <x:v>Signal 级可编辑配置、数据类型/缩放/端序合同、RTE 接口、边界值与 round-trip 测试。</x:v>
      </x:c>
      <x:c r="G1280" s="144" t="str">
        <x:v>raw=0、raw=max、物理 min/max、越界/保留值、端序字节向量、pack→unpack round-trip；1457/1457 通过。</x:v>
      </x:c>
      <x:c r="H1280" s="144" t="str">
        <x:v>coem/BYD_UKE/gen_bsw/Com/Com_PBcfg.c:62962</x:v>
      </x:c>
    </x:row>
    <x:row r="1281" ht="72" customHeight="1">
      <x:c r="A1281" s="144" t="str">
        <x:v>Com-Signal</x:v>
      </x:c>
      <x:c r="B1281" s="144" t="str">
        <x:v>COM-SIG-Rx-0369 / CR_RR_Obj003_Width</x:v>
      </x:c>
      <x:c r="C1281" s="144" t="str">
        <x:v>PDU=RHRDA_ADAS_PriCANFD2_03; startBit=134; length=10; byteOrder=Big; type=UINT16; factor=1（Com原始值）; offset=0（Com原始值）; min=按位宽/类型; max=按位宽/类型; unit=-; receivers=-</x:v>
      </x:c>
      <x:c r="D128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1" s="144" t="str">
        <x:v>M2</x:v>
      </x:c>
      <x:c r="F1281" s="144" t="str">
        <x:v>Signal 级可编辑配置、数据类型/缩放/端序合同、RTE 接口、边界值与 round-trip 测试。</x:v>
      </x:c>
      <x:c r="G1281" s="144" t="str">
        <x:v>raw=0、raw=max、物理 min/max、越界/保留值、端序字节向量、pack→unpack round-trip；1457/1457 通过。</x:v>
      </x:c>
      <x:c r="H1281" s="144" t="str">
        <x:v>coem/BYD_UKE/gen_bsw/Com/Com_PBcfg.c:63022</x:v>
      </x:c>
    </x:row>
    <x:row r="1282" ht="72" customHeight="1">
      <x:c r="A1282" s="144" t="str">
        <x:v>Com-Signal</x:v>
      </x:c>
      <x:c r="B1282" s="144" t="str">
        <x:v>COM-SIG-Rx-0370 / CR_RR_Obj003_YawAng</x:v>
      </x:c>
      <x:c r="C1282" s="144" t="str">
        <x:v>PDU=RHRDA_ADAS_PriCANFD2_03; startBit=200; length=32; byteOrder=Big; type=UINT32; factor=1（Com原始值）; offset=0（Com原始值）; min=按位宽/类型; max=按位宽/类型; unit=-; receivers=-</x:v>
      </x:c>
      <x:c r="D128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2" s="144" t="str">
        <x:v>M2</x:v>
      </x:c>
      <x:c r="F1282" s="144" t="str">
        <x:v>Signal 级可编辑配置、数据类型/缩放/端序合同、RTE 接口、边界值与 round-trip 测试。</x:v>
      </x:c>
      <x:c r="G1282" s="144" t="str">
        <x:v>raw=0、raw=max、物理 min/max、越界/保留值、端序字节向量、pack→unpack round-trip；1457/1457 通过。</x:v>
      </x:c>
      <x:c r="H1282" s="144" t="str">
        <x:v>coem/BYD_UKE/gen_bsw/Com/Com_PBcfg.c:63082</x:v>
      </x:c>
    </x:row>
    <x:row r="1283" ht="72" customHeight="1">
      <x:c r="A1283" s="144" t="str">
        <x:v>Com-Signal</x:v>
      </x:c>
      <x:c r="B1283" s="144" t="str">
        <x:v>COM-SIG-Rx-0371 / CR_RR_Obj003_dynFlg</x:v>
      </x:c>
      <x:c r="C1283" s="144" t="str">
        <x:v>PDU=RHRDA_ADAS_PriCANFD2_03; startBit=16; length=8; byteOrder=Big; type=UINT8; factor=1（Com原始值）; offset=0（Com原始值）; min=按位宽/类型; max=按位宽/类型; unit=-; receivers=-</x:v>
      </x:c>
      <x:c r="D128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3" s="144" t="str">
        <x:v>M2</x:v>
      </x:c>
      <x:c r="F1283" s="144" t="str">
        <x:v>Signal 级可编辑配置、数据类型/缩放/端序合同、RTE 接口、边界值与 round-trip 测试。</x:v>
      </x:c>
      <x:c r="G1283" s="144" t="str">
        <x:v>raw=0、raw=max、物理 min/max、越界/保留值、端序字节向量、pack→unpack round-trip；1457/1457 通过。</x:v>
      </x:c>
      <x:c r="H1283" s="144" t="str">
        <x:v>coem/BYD_UKE/gen_bsw/Com/Com_PBcfg.c:63142</x:v>
      </x:c>
    </x:row>
    <x:row r="1284" ht="72" customHeight="1">
      <x:c r="A1284" s="144" t="str">
        <x:v>Com-Signal</x:v>
      </x:c>
      <x:c r="B1284" s="144" t="str">
        <x:v>COM-SIG-Rx-0372 / CR_RR_Obj003_historyMovDist</x:v>
      </x:c>
      <x:c r="C1284" s="144" t="str">
        <x:v>PDU=RHRDA_ADAS_PriCANFD2_03; startBit=152; length=16; byteOrder=Big; type=UINT16; factor=1（Com原始值）; offset=0（Com原始值）; min=按位宽/类型; max=按位宽/类型; unit=-; receivers=-</x:v>
      </x:c>
      <x:c r="D128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4" s="144" t="str">
        <x:v>M2</x:v>
      </x:c>
      <x:c r="F1284" s="144" t="str">
        <x:v>Signal 级可编辑配置、数据类型/缩放/端序合同、RTE 接口、边界值与 round-trip 测试。</x:v>
      </x:c>
      <x:c r="G1284" s="144" t="str">
        <x:v>raw=0、raw=max、物理 min/max、越界/保留值、端序字节向量、pack→unpack round-trip；1457/1457 通过。</x:v>
      </x:c>
      <x:c r="H1284" s="144" t="str">
        <x:v>coem/BYD_UKE/gen_bsw/Com/Com_PBcfg.c:63202</x:v>
      </x:c>
    </x:row>
    <x:row r="1285" ht="72" customHeight="1">
      <x:c r="A1285" s="144" t="str">
        <x:v>Com-Signal</x:v>
      </x:c>
      <x:c r="B1285" s="144" t="str">
        <x:v>COM-SIG-Rx-0373 / CR_RR_Obj003_lifeCycle</x:v>
      </x:c>
      <x:c r="C1285" s="144" t="str">
        <x:v>PDU=RHRDA_ADAS_PriCANFD2_03; startBit=216; length=16; byteOrder=Big; type=UINT16; factor=1（Com原始值）; offset=0（Com原始值）; min=按位宽/类型; max=按位宽/类型; unit=-; receivers=-</x:v>
      </x:c>
      <x:c r="D128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5" s="144" t="str">
        <x:v>M2</x:v>
      </x:c>
      <x:c r="F1285" s="144" t="str">
        <x:v>Signal 级可编辑配置、数据类型/缩放/端序合同、RTE 接口、边界值与 round-trip 测试。</x:v>
      </x:c>
      <x:c r="G1285" s="144" t="str">
        <x:v>raw=0、raw=max、物理 min/max、越界/保留值、端序字节向量、pack→unpack round-trip；1457/1457 通过。</x:v>
      </x:c>
      <x:c r="H1285" s="144" t="str">
        <x:v>coem/BYD_UKE/gen_bsw/Com/Com_PBcfg.c:63262</x:v>
      </x:c>
    </x:row>
    <x:row r="1286" ht="72" customHeight="1">
      <x:c r="A1286" s="144" t="str">
        <x:v>Com-Signal</x:v>
      </x:c>
      <x:c r="B1286" s="144" t="str">
        <x:v>COM-SIG-Rx-0374 / CR_RR_Obj_CRC8Checksum_003</x:v>
      </x:c>
      <x:c r="C1286" s="144" t="str">
        <x:v>PDU=RHRDA_ADAS_PriCANFD2_03; startBit=0; length=8; byteOrder=Big; type=UINT8; factor=1（Com原始值）; offset=0（Com原始值）; min=按位宽/类型; max=按位宽/类型; unit=-; receivers=-</x:v>
      </x:c>
      <x:c r="D128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6" s="144" t="str">
        <x:v>M2</x:v>
      </x:c>
      <x:c r="F1286" s="144" t="str">
        <x:v>Signal 级可编辑配置、数据类型/缩放/端序合同、RTE 接口、边界值与 round-trip 测试。</x:v>
      </x:c>
      <x:c r="G1286" s="144" t="str">
        <x:v>raw=0、raw=max、物理 min/max、越界/保留值、端序字节向量、pack→unpack round-trip；1457/1457 通过。</x:v>
      </x:c>
      <x:c r="H1286" s="144" t="str">
        <x:v>coem/BYD_UKE/gen_bsw/Com/Com_PBcfg.c:63322</x:v>
      </x:c>
    </x:row>
    <x:row r="1287" ht="72" customHeight="1">
      <x:c r="A1287" s="144" t="str">
        <x:v>Com-Signal</x:v>
      </x:c>
      <x:c r="B1287" s="144" t="str">
        <x:v>COM-SIG-Rx-0375 / CR_RR_Obj_MsgCounter_003</x:v>
      </x:c>
      <x:c r="C1287" s="144" t="str">
        <x:v>PDU=RHRDA_ADAS_PriCANFD2_03; startBit=8; length=4; byteOrder=Big; type=UINT8; factor=1（Com原始值）; offset=0（Com原始值）; min=按位宽/类型; max=按位宽/类型; unit=-; receivers=-</x:v>
      </x:c>
      <x:c r="D128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7" s="144" t="str">
        <x:v>M2</x:v>
      </x:c>
      <x:c r="F1287" s="144" t="str">
        <x:v>Signal 级可编辑配置、数据类型/缩放/端序合同、RTE 接口、边界值与 round-trip 测试。</x:v>
      </x:c>
      <x:c r="G1287" s="144" t="str">
        <x:v>raw=0、raw=max、物理 min/max、越界/保留值、端序字节向量、pack→unpack round-trip；1457/1457 通过。</x:v>
      </x:c>
      <x:c r="H1287" s="144" t="str">
        <x:v>coem/BYD_UKE/gen_bsw/Com/Com_PBcfg.c:63382</x:v>
      </x:c>
    </x:row>
    <x:row r="1288" ht="72" customHeight="1">
      <x:c r="A1288" s="144" t="str">
        <x:v>Com-Signal</x:v>
      </x:c>
      <x:c r="B1288" s="144" t="str">
        <x:v>COM-SIG-Rx-0376 / CR_RR_Obj004_DistX</x:v>
      </x:c>
      <x:c r="C1288" s="144" t="str">
        <x:v>PDU=RHRDA_ADAS_PriCANFD2_04; startBit=48; length=12; byteOrder=Big; type=UINT16; factor=1（Com原始值）; offset=0（Com原始值）; min=按位宽/类型; max=按位宽/类型; unit=-; receivers=-</x:v>
      </x:c>
      <x:c r="D128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8" s="144" t="str">
        <x:v>M2</x:v>
      </x:c>
      <x:c r="F1288" s="144" t="str">
        <x:v>Signal 级可编辑配置、数据类型/缩放/端序合同、RTE 接口、边界值与 round-trip 测试。</x:v>
      </x:c>
      <x:c r="G1288" s="144" t="str">
        <x:v>raw=0、raw=max、物理 min/max、越界/保留值、端序字节向量、pack→unpack round-trip；1457/1457 通过。</x:v>
      </x:c>
      <x:c r="H1288" s="144" t="str">
        <x:v>coem/BYD_UKE/gen_bsw/Com/Com_PBcfg.c:63442</x:v>
      </x:c>
    </x:row>
    <x:row r="1289" ht="72" customHeight="1">
      <x:c r="A1289" s="144" t="str">
        <x:v>Com-Signal</x:v>
      </x:c>
      <x:c r="B1289" s="144" t="str">
        <x:v>COM-SIG-Rx-0377 / CR_RR_Obj004_DistY</x:v>
      </x:c>
      <x:c r="C1289" s="144" t="str">
        <x:v>PDU=RHRDA_ADAS_PriCANFD2_04; startBit=66; length=14; byteOrder=Big; type=UINT16; factor=1（Com原始值）; offset=0（Com原始值）; min=按位宽/类型; max=按位宽/类型; unit=-; receivers=-</x:v>
      </x:c>
      <x:c r="D128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9" s="144" t="str">
        <x:v>M2</x:v>
      </x:c>
      <x:c r="F1289" s="144" t="str">
        <x:v>Signal 级可编辑配置、数据类型/缩放/端序合同、RTE 接口、边界值与 round-trip 测试。</x:v>
      </x:c>
      <x:c r="G1289" s="144" t="str">
        <x:v>raw=0、raw=max、物理 min/max、越界/保留值、端序字节向量、pack→unpack round-trip；1457/1457 通过。</x:v>
      </x:c>
      <x:c r="H1289" s="144" t="str">
        <x:v>coem/BYD_UKE/gen_bsw/Com/Com_PBcfg.c:63502</x:v>
      </x:c>
    </x:row>
    <x:row r="1290" ht="72" customHeight="1">
      <x:c r="A1290" s="144" t="str">
        <x:v>Com-Signal</x:v>
      </x:c>
      <x:c r="B1290" s="144" t="str">
        <x:v>COM-SIG-Rx-0378 / CR_RR_Obj004_ID</x:v>
      </x:c>
      <x:c r="C1290" s="144" t="str">
        <x:v>PDU=RHRDA_ADAS_PriCANFD2_04; startBit=24; length=8; byteOrder=Big; type=UINT8; factor=1（Com原始值）; offset=0（Com原始值）; min=按位宽/类型; max=按位宽/类型; unit=-; receivers=-</x:v>
      </x:c>
      <x:c r="D129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0" s="144" t="str">
        <x:v>M2</x:v>
      </x:c>
      <x:c r="F1290" s="144" t="str">
        <x:v>Signal 级可编辑配置、数据类型/缩放/端序合同、RTE 接口、边界值与 round-trip 测试。</x:v>
      </x:c>
      <x:c r="G1290" s="144" t="str">
        <x:v>raw=0、raw=max、物理 min/max、越界/保留值、端序字节向量、pack→unpack round-trip；1457/1457 通过。</x:v>
      </x:c>
      <x:c r="H1290" s="144" t="str">
        <x:v>coem/BYD_UKE/gen_bsw/Com/Com_PBcfg.c:63562</x:v>
      </x:c>
    </x:row>
    <x:row r="1291" ht="72" customHeight="1">
      <x:c r="A1291" s="144" t="str">
        <x:v>Com-Signal</x:v>
      </x:c>
      <x:c r="B1291" s="144" t="str">
        <x:v>COM-SIG-Rx-0379 / CR_RR_Obj004_Length</x:v>
      </x:c>
      <x:c r="C1291" s="144" t="str">
        <x:v>PDU=RHRDA_ADAS_PriCANFD2_04; startBit=175; length=9; byteOrder=Big; type=UINT16; factor=1（Com原始值）; offset=0（Com原始值）; min=按位宽/类型; max=按位宽/类型; unit=-; receivers=-</x:v>
      </x:c>
      <x:c r="D129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1" s="144" t="str">
        <x:v>M2</x:v>
      </x:c>
      <x:c r="F1291" s="144" t="str">
        <x:v>Signal 级可编辑配置、数据类型/缩放/端序合同、RTE 接口、边界值与 round-trip 测试。</x:v>
      </x:c>
      <x:c r="G1291" s="144" t="str">
        <x:v>raw=0、raw=max、物理 min/max、越界/保留值、端序字节向量、pack→unpack round-trip；1457/1457 通过。</x:v>
      </x:c>
      <x:c r="H1291" s="144" t="str">
        <x:v>coem/BYD_UKE/gen_bsw/Com/Com_PBcfg.c:63622</x:v>
      </x:c>
    </x:row>
    <x:row r="1292" ht="72" customHeight="1">
      <x:c r="A1292" s="144" t="str">
        <x:v>Com-Signal</x:v>
      </x:c>
      <x:c r="B1292" s="144" t="str">
        <x:v>COM-SIG-Rx-0380 / CR_RR_Obj004_ObjType</x:v>
      </x:c>
      <x:c r="C1292" s="144" t="str">
        <x:v>PDU=RHRDA_ADAS_PriCANFD2_04; startBit=13; length=3; byteOrder=Big; type=UINT8; factor=1（Com原始值）; offset=0（Com原始值）; min=按位宽/类型; max=按位宽/类型; unit=-; receivers=-</x:v>
      </x:c>
      <x:c r="D129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2" s="144" t="str">
        <x:v>M2</x:v>
      </x:c>
      <x:c r="F1292" s="144" t="str">
        <x:v>Signal 级可编辑配置、数据类型/缩放/端序合同、RTE 接口、边界值与 round-trip 测试。</x:v>
      </x:c>
      <x:c r="G1292" s="144" t="str">
        <x:v>raw=0、raw=max、物理 min/max、越界/保留值、端序字节向量、pack→unpack round-trip；1457/1457 通过。</x:v>
      </x:c>
      <x:c r="H1292" s="144" t="str">
        <x:v>coem/BYD_UKE/gen_bsw/Com/Com_PBcfg.c:63682</x:v>
      </x:c>
    </x:row>
    <x:row r="1293" ht="72" customHeight="1">
      <x:c r="A1293" s="144" t="str">
        <x:v>Com-Signal</x:v>
      </x:c>
      <x:c r="B1293" s="144" t="str">
        <x:v>COM-SIG-Rx-0381 / CR_RR_Obj004_ProtBlockCtr</x:v>
      </x:c>
      <x:c r="C1293" s="144" t="str">
        <x:v>PDU=RHRDA_ADAS_PriCANFD2_04; startBit=240; length=8; byteOrder=Big; type=UINT8; factor=1（Com原始值）; offset=0（Com原始值）; min=按位宽/类型; max=按位宽/类型; unit=-; receivers=-</x:v>
      </x:c>
      <x:c r="D129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3" s="144" t="str">
        <x:v>M2</x:v>
      </x:c>
      <x:c r="F1293" s="144" t="str">
        <x:v>Signal 级可编辑配置、数据类型/缩放/端序合同、RTE 接口、边界值与 round-trip 测试。</x:v>
      </x:c>
      <x:c r="G1293" s="144" t="str">
        <x:v>raw=0、raw=max、物理 min/max、越界/保留值、端序字节向量、pack→unpack round-trip；1457/1457 通过。</x:v>
      </x:c>
      <x:c r="H1293" s="144" t="str">
        <x:v>coem/BYD_UKE/gen_bsw/Com/Com_PBcfg.c:63742</x:v>
      </x:c>
    </x:row>
    <x:row r="1294" ht="72" customHeight="1">
      <x:c r="A1294" s="144" t="str">
        <x:v>Com-Signal</x:v>
      </x:c>
      <x:c r="B1294" s="144" t="str">
        <x:v>COM-SIG-Rx-0382 / CR_RR_Obj004_RelVelX</x:v>
      </x:c>
      <x:c r="C1294" s="144" t="str">
        <x:v>PDU=RHRDA_ADAS_PriCANFD2_04; startBit=92; length=12; byteOrder=Big; type=UINT16; factor=1（Com原始值）; offset=0（Com原始值）; min=按位宽/类型; max=按位宽/类型; unit=-; receivers=-</x:v>
      </x:c>
      <x:c r="D129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4" s="144" t="str">
        <x:v>M2</x:v>
      </x:c>
      <x:c r="F1294" s="144" t="str">
        <x:v>Signal 级可编辑配置、数据类型/缩放/端序合同、RTE 接口、边界值与 round-trip 测试。</x:v>
      </x:c>
      <x:c r="G1294" s="144" t="str">
        <x:v>raw=0、raw=max、物理 min/max、越界/保留值、端序字节向量、pack→unpack round-trip；1457/1457 通过。</x:v>
      </x:c>
      <x:c r="H1294" s="144" t="str">
        <x:v>coem/BYD_UKE/gen_bsw/Com/Com_PBcfg.c:63802</x:v>
      </x:c>
    </x:row>
    <x:row r="1295" ht="72" customHeight="1">
      <x:c r="A1295" s="144" t="str">
        <x:v>Com-Signal</x:v>
      </x:c>
      <x:c r="B1295" s="144" t="str">
        <x:v>COM-SIG-Rx-0383 / CR_RR_Obj004_RelVelY</x:v>
      </x:c>
      <x:c r="C1295" s="144" t="str">
        <x:v>PDU=RHRDA_ADAS_PriCANFD2_04; startBit=96; length=12; byteOrder=Big; type=UINT16; factor=1（Com原始值）; offset=0（Com原始值）; min=按位宽/类型; max=按位宽/类型; unit=-; receivers=-</x:v>
      </x:c>
      <x:c r="D129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5" s="144" t="str">
        <x:v>M2</x:v>
      </x:c>
      <x:c r="F1295" s="144" t="str">
        <x:v>Signal 级可编辑配置、数据类型/缩放/端序合同、RTE 接口、边界值与 round-trip 测试。</x:v>
      </x:c>
      <x:c r="G1295" s="144" t="str">
        <x:v>raw=0、raw=max、物理 min/max、越界/保留值、端序字节向量、pack→unpack round-trip；1457/1457 通过。</x:v>
      </x:c>
      <x:c r="H1295" s="144" t="str">
        <x:v>coem/BYD_UKE/gen_bsw/Com/Com_PBcfg.c:63862</x:v>
      </x:c>
    </x:row>
    <x:row r="1296" ht="72" customHeight="1">
      <x:c r="A1296" s="144" t="str">
        <x:v>Com-Signal</x:v>
      </x:c>
      <x:c r="B1296" s="144" t="str">
        <x:v>COM-SIG-Rx-0384 / CR_RR_Obj004_Width</x:v>
      </x:c>
      <x:c r="C1296" s="144" t="str">
        <x:v>PDU=RHRDA_ADAS_PriCANFD2_04; startBit=134; length=10; byteOrder=Big; type=UINT16; factor=1（Com原始值）; offset=0（Com原始值）; min=按位宽/类型; max=按位宽/类型; unit=-; receivers=-</x:v>
      </x:c>
      <x:c r="D129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6" s="144" t="str">
        <x:v>M2</x:v>
      </x:c>
      <x:c r="F1296" s="144" t="str">
        <x:v>Signal 级可编辑配置、数据类型/缩放/端序合同、RTE 接口、边界值与 round-trip 测试。</x:v>
      </x:c>
      <x:c r="G1296" s="144" t="str">
        <x:v>raw=0、raw=max、物理 min/max、越界/保留值、端序字节向量、pack→unpack round-trip；1457/1457 通过。</x:v>
      </x:c>
      <x:c r="H1296" s="144" t="str">
        <x:v>coem/BYD_UKE/gen_bsw/Com/Com_PBcfg.c:63922</x:v>
      </x:c>
    </x:row>
    <x:row r="1297" ht="72" customHeight="1">
      <x:c r="A1297" s="144" t="str">
        <x:v>Com-Signal</x:v>
      </x:c>
      <x:c r="B1297" s="144" t="str">
        <x:v>COM-SIG-Rx-0385 / CR_RR_Obj004_YawAng</x:v>
      </x:c>
      <x:c r="C1297" s="144" t="str">
        <x:v>PDU=RHRDA_ADAS_PriCANFD2_04; startBit=200; length=32; byteOrder=Big; type=UINT32; factor=1（Com原始值）; offset=0（Com原始值）; min=按位宽/类型; max=按位宽/类型; unit=-; receivers=-</x:v>
      </x:c>
      <x:c r="D129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7" s="144" t="str">
        <x:v>M2</x:v>
      </x:c>
      <x:c r="F1297" s="144" t="str">
        <x:v>Signal 级可编辑配置、数据类型/缩放/端序合同、RTE 接口、边界值与 round-trip 测试。</x:v>
      </x:c>
      <x:c r="G1297" s="144" t="str">
        <x:v>raw=0、raw=max、物理 min/max、越界/保留值、端序字节向量、pack→unpack round-trip；1457/1457 通过。</x:v>
      </x:c>
      <x:c r="H1297" s="144" t="str">
        <x:v>coem/BYD_UKE/gen_bsw/Com/Com_PBcfg.c:63982</x:v>
      </x:c>
    </x:row>
    <x:row r="1298" ht="72" customHeight="1">
      <x:c r="A1298" s="144" t="str">
        <x:v>Com-Signal</x:v>
      </x:c>
      <x:c r="B1298" s="144" t="str">
        <x:v>COM-SIG-Rx-0386 / CR_RR_Obj004_dynFlg</x:v>
      </x:c>
      <x:c r="C1298" s="144" t="str">
        <x:v>PDU=RHRDA_ADAS_PriCANFD2_04; startBit=16; length=8; byteOrder=Big; type=UINT8; factor=1（Com原始值）; offset=0（Com原始值）; min=按位宽/类型; max=按位宽/类型; unit=-; receivers=-</x:v>
      </x:c>
      <x:c r="D129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8" s="144" t="str">
        <x:v>M2</x:v>
      </x:c>
      <x:c r="F1298" s="144" t="str">
        <x:v>Signal 级可编辑配置、数据类型/缩放/端序合同、RTE 接口、边界值与 round-trip 测试。</x:v>
      </x:c>
      <x:c r="G1298" s="144" t="str">
        <x:v>raw=0、raw=max、物理 min/max、越界/保留值、端序字节向量、pack→unpack round-trip；1457/1457 通过。</x:v>
      </x:c>
      <x:c r="H1298" s="144" t="str">
        <x:v>coem/BYD_UKE/gen_bsw/Com/Com_PBcfg.c:64042</x:v>
      </x:c>
    </x:row>
    <x:row r="1299" ht="72" customHeight="1">
      <x:c r="A1299" s="144" t="str">
        <x:v>Com-Signal</x:v>
      </x:c>
      <x:c r="B1299" s="144" t="str">
        <x:v>COM-SIG-Rx-0387 / CR_RR_Obj004_historyMovDist</x:v>
      </x:c>
      <x:c r="C1299" s="144" t="str">
        <x:v>PDU=RHRDA_ADAS_PriCANFD2_04; startBit=152; length=16; byteOrder=Big; type=UINT16; factor=1（Com原始值）; offset=0（Com原始值）; min=按位宽/类型; max=按位宽/类型; unit=-; receivers=-</x:v>
      </x:c>
      <x:c r="D129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9" s="144" t="str">
        <x:v>M2</x:v>
      </x:c>
      <x:c r="F1299" s="144" t="str">
        <x:v>Signal 级可编辑配置、数据类型/缩放/端序合同、RTE 接口、边界值与 round-trip 测试。</x:v>
      </x:c>
      <x:c r="G1299" s="144" t="str">
        <x:v>raw=0、raw=max、物理 min/max、越界/保留值、端序字节向量、pack→unpack round-trip；1457/1457 通过。</x:v>
      </x:c>
      <x:c r="H1299" s="144" t="str">
        <x:v>coem/BYD_UKE/gen_bsw/Com/Com_PBcfg.c:64102</x:v>
      </x:c>
    </x:row>
    <x:row r="1300" ht="72" customHeight="1">
      <x:c r="A1300" s="144" t="str">
        <x:v>Com-Signal</x:v>
      </x:c>
      <x:c r="B1300" s="144" t="str">
        <x:v>COM-SIG-Rx-0388 / CR_RR_Obj004_lifeCycle</x:v>
      </x:c>
      <x:c r="C1300" s="144" t="str">
        <x:v>PDU=RHRDA_ADAS_PriCANFD2_04; startBit=216; length=16; byteOrder=Big; type=UINT16; factor=1（Com原始值）; offset=0（Com原始值）; min=按位宽/类型; max=按位宽/类型; unit=-; receivers=-</x:v>
      </x:c>
      <x:c r="D130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0" s="144" t="str">
        <x:v>M2</x:v>
      </x:c>
      <x:c r="F1300" s="144" t="str">
        <x:v>Signal 级可编辑配置、数据类型/缩放/端序合同、RTE 接口、边界值与 round-trip 测试。</x:v>
      </x:c>
      <x:c r="G1300" s="144" t="str">
        <x:v>raw=0、raw=max、物理 min/max、越界/保留值、端序字节向量、pack→unpack round-trip；1457/1457 通过。</x:v>
      </x:c>
      <x:c r="H1300" s="144" t="str">
        <x:v>coem/BYD_UKE/gen_bsw/Com/Com_PBcfg.c:64162</x:v>
      </x:c>
    </x:row>
    <x:row r="1301" ht="72" customHeight="1">
      <x:c r="A1301" s="144" t="str">
        <x:v>Com-Signal</x:v>
      </x:c>
      <x:c r="B1301" s="144" t="str">
        <x:v>COM-SIG-Rx-0389 / CR_RR_Obj_CRC8Checksum_004</x:v>
      </x:c>
      <x:c r="C1301" s="144" t="str">
        <x:v>PDU=RHRDA_ADAS_PriCANFD2_04; startBit=0; length=8; byteOrder=Big; type=UINT8; factor=1（Com原始值）; offset=0（Com原始值）; min=按位宽/类型; max=按位宽/类型; unit=-; receivers=-</x:v>
      </x:c>
      <x:c r="D130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1" s="144" t="str">
        <x:v>M2</x:v>
      </x:c>
      <x:c r="F1301" s="144" t="str">
        <x:v>Signal 级可编辑配置、数据类型/缩放/端序合同、RTE 接口、边界值与 round-trip 测试。</x:v>
      </x:c>
      <x:c r="G1301" s="144" t="str">
        <x:v>raw=0、raw=max、物理 min/max、越界/保留值、端序字节向量、pack→unpack round-trip；1457/1457 通过。</x:v>
      </x:c>
      <x:c r="H1301" s="144" t="str">
        <x:v>coem/BYD_UKE/gen_bsw/Com/Com_PBcfg.c:64222</x:v>
      </x:c>
    </x:row>
    <x:row r="1302" ht="72" customHeight="1">
      <x:c r="A1302" s="144" t="str">
        <x:v>Com-Signal</x:v>
      </x:c>
      <x:c r="B1302" s="144" t="str">
        <x:v>COM-SIG-Rx-0390 / CR_RR_Obj_MsgCounter_004</x:v>
      </x:c>
      <x:c r="C1302" s="144" t="str">
        <x:v>PDU=RHRDA_ADAS_PriCANFD2_04; startBit=8; length=4; byteOrder=Big; type=UINT8; factor=1（Com原始值）; offset=0（Com原始值）; min=按位宽/类型; max=按位宽/类型; unit=-; receivers=-</x:v>
      </x:c>
      <x:c r="D130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2" s="144" t="str">
        <x:v>M2</x:v>
      </x:c>
      <x:c r="F1302" s="144" t="str">
        <x:v>Signal 级可编辑配置、数据类型/缩放/端序合同、RTE 接口、边界值与 round-trip 测试。</x:v>
      </x:c>
      <x:c r="G1302" s="144" t="str">
        <x:v>raw=0、raw=max、物理 min/max、越界/保留值、端序字节向量、pack→unpack round-trip；1457/1457 通过。</x:v>
      </x:c>
      <x:c r="H1302" s="144" t="str">
        <x:v>coem/BYD_UKE/gen_bsw/Com/Com_PBcfg.c:64282</x:v>
      </x:c>
    </x:row>
    <x:row r="1303" ht="72" customHeight="1">
      <x:c r="A1303" s="144" t="str">
        <x:v>Com-Signal</x:v>
      </x:c>
      <x:c r="B1303" s="144" t="str">
        <x:v>COM-SIG-Rx-0391 / CR_RR_Obj005_DistX</x:v>
      </x:c>
      <x:c r="C1303" s="144" t="str">
        <x:v>PDU=RHRDA_ADAS_PriCANFD2_05; startBit=48; length=12; byteOrder=Big; type=UINT16; factor=1（Com原始值）; offset=0（Com原始值）; min=按位宽/类型; max=按位宽/类型; unit=-; receivers=-</x:v>
      </x:c>
      <x:c r="D130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3" s="144" t="str">
        <x:v>M2</x:v>
      </x:c>
      <x:c r="F1303" s="144" t="str">
        <x:v>Signal 级可编辑配置、数据类型/缩放/端序合同、RTE 接口、边界值与 round-trip 测试。</x:v>
      </x:c>
      <x:c r="G1303" s="144" t="str">
        <x:v>raw=0、raw=max、物理 min/max、越界/保留值、端序字节向量、pack→unpack round-trip；1457/1457 通过。</x:v>
      </x:c>
      <x:c r="H1303" s="144" t="str">
        <x:v>coem/BYD_UKE/gen_bsw/Com/Com_PBcfg.c:64342</x:v>
      </x:c>
    </x:row>
    <x:row r="1304" ht="72" customHeight="1">
      <x:c r="A1304" s="144" t="str">
        <x:v>Com-Signal</x:v>
      </x:c>
      <x:c r="B1304" s="144" t="str">
        <x:v>COM-SIG-Rx-0392 / CR_RR_Obj005_DistY</x:v>
      </x:c>
      <x:c r="C1304" s="144" t="str">
        <x:v>PDU=RHRDA_ADAS_PriCANFD2_05; startBit=66; length=14; byteOrder=Big; type=UINT16; factor=1（Com原始值）; offset=0（Com原始值）; min=按位宽/类型; max=按位宽/类型; unit=-; receivers=-</x:v>
      </x:c>
      <x:c r="D130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4" s="144" t="str">
        <x:v>M2</x:v>
      </x:c>
      <x:c r="F1304" s="144" t="str">
        <x:v>Signal 级可编辑配置、数据类型/缩放/端序合同、RTE 接口、边界值与 round-trip 测试。</x:v>
      </x:c>
      <x:c r="G1304" s="144" t="str">
        <x:v>raw=0、raw=max、物理 min/max、越界/保留值、端序字节向量、pack→unpack round-trip；1457/1457 通过。</x:v>
      </x:c>
      <x:c r="H1304" s="144" t="str">
        <x:v>coem/BYD_UKE/gen_bsw/Com/Com_PBcfg.c:64402</x:v>
      </x:c>
    </x:row>
    <x:row r="1305" ht="72" customHeight="1">
      <x:c r="A1305" s="144" t="str">
        <x:v>Com-Signal</x:v>
      </x:c>
      <x:c r="B1305" s="144" t="str">
        <x:v>COM-SIG-Rx-0393 / CR_RR_Obj005_ID</x:v>
      </x:c>
      <x:c r="C1305" s="144" t="str">
        <x:v>PDU=RHRDA_ADAS_PriCANFD2_05; startBit=24; length=8; byteOrder=Big; type=UINT8; factor=1（Com原始值）; offset=0（Com原始值）; min=按位宽/类型; max=按位宽/类型; unit=-; receivers=-</x:v>
      </x:c>
      <x:c r="D130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5" s="144" t="str">
        <x:v>M2</x:v>
      </x:c>
      <x:c r="F1305" s="144" t="str">
        <x:v>Signal 级可编辑配置、数据类型/缩放/端序合同、RTE 接口、边界值与 round-trip 测试。</x:v>
      </x:c>
      <x:c r="G1305" s="144" t="str">
        <x:v>raw=0、raw=max、物理 min/max、越界/保留值、端序字节向量、pack→unpack round-trip；1457/1457 通过。</x:v>
      </x:c>
      <x:c r="H1305" s="144" t="str">
        <x:v>coem/BYD_UKE/gen_bsw/Com/Com_PBcfg.c:64462</x:v>
      </x:c>
    </x:row>
    <x:row r="1306" ht="72" customHeight="1">
      <x:c r="A1306" s="144" t="str">
        <x:v>Com-Signal</x:v>
      </x:c>
      <x:c r="B1306" s="144" t="str">
        <x:v>COM-SIG-Rx-0394 / CR_RR_Obj005_Length</x:v>
      </x:c>
      <x:c r="C1306" s="144" t="str">
        <x:v>PDU=RHRDA_ADAS_PriCANFD2_05; startBit=175; length=9; byteOrder=Big; type=UINT16; factor=1（Com原始值）; offset=0（Com原始值）; min=按位宽/类型; max=按位宽/类型; unit=-; receivers=-</x:v>
      </x:c>
      <x:c r="D130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6" s="144" t="str">
        <x:v>M2</x:v>
      </x:c>
      <x:c r="F1306" s="144" t="str">
        <x:v>Signal 级可编辑配置、数据类型/缩放/端序合同、RTE 接口、边界值与 round-trip 测试。</x:v>
      </x:c>
      <x:c r="G1306" s="144" t="str">
        <x:v>raw=0、raw=max、物理 min/max、越界/保留值、端序字节向量、pack→unpack round-trip；1457/1457 通过。</x:v>
      </x:c>
      <x:c r="H1306" s="144" t="str">
        <x:v>coem/BYD_UKE/gen_bsw/Com/Com_PBcfg.c:64522</x:v>
      </x:c>
    </x:row>
    <x:row r="1307" ht="72" customHeight="1">
      <x:c r="A1307" s="144" t="str">
        <x:v>Com-Signal</x:v>
      </x:c>
      <x:c r="B1307" s="144" t="str">
        <x:v>COM-SIG-Rx-0395 / CR_RR_Obj005_ObjType</x:v>
      </x:c>
      <x:c r="C1307" s="144" t="str">
        <x:v>PDU=RHRDA_ADAS_PriCANFD2_05; startBit=13; length=3; byteOrder=Big; type=UINT8; factor=1（Com原始值）; offset=0（Com原始值）; min=按位宽/类型; max=按位宽/类型; unit=-; receivers=-</x:v>
      </x:c>
      <x:c r="D130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7" s="144" t="str">
        <x:v>M2</x:v>
      </x:c>
      <x:c r="F1307" s="144" t="str">
        <x:v>Signal 级可编辑配置、数据类型/缩放/端序合同、RTE 接口、边界值与 round-trip 测试。</x:v>
      </x:c>
      <x:c r="G1307" s="144" t="str">
        <x:v>raw=0、raw=max、物理 min/max、越界/保留值、端序字节向量、pack→unpack round-trip；1457/1457 通过。</x:v>
      </x:c>
      <x:c r="H1307" s="144" t="str">
        <x:v>coem/BYD_UKE/gen_bsw/Com/Com_PBcfg.c:64582</x:v>
      </x:c>
    </x:row>
    <x:row r="1308" ht="72" customHeight="1">
      <x:c r="A1308" s="144" t="str">
        <x:v>Com-Signal</x:v>
      </x:c>
      <x:c r="B1308" s="144" t="str">
        <x:v>COM-SIG-Rx-0396 / CR_RR_Obj005_ProtBlockCtr</x:v>
      </x:c>
      <x:c r="C1308" s="144" t="str">
        <x:v>PDU=RHRDA_ADAS_PriCANFD2_05; startBit=240; length=8; byteOrder=Big; type=UINT8; factor=1（Com原始值）; offset=0（Com原始值）; min=按位宽/类型; max=按位宽/类型; unit=-; receivers=-</x:v>
      </x:c>
      <x:c r="D130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8" s="144" t="str">
        <x:v>M2</x:v>
      </x:c>
      <x:c r="F1308" s="144" t="str">
        <x:v>Signal 级可编辑配置、数据类型/缩放/端序合同、RTE 接口、边界值与 round-trip 测试。</x:v>
      </x:c>
      <x:c r="G1308" s="144" t="str">
        <x:v>raw=0、raw=max、物理 min/max、越界/保留值、端序字节向量、pack→unpack round-trip；1457/1457 通过。</x:v>
      </x:c>
      <x:c r="H1308" s="144" t="str">
        <x:v>coem/BYD_UKE/gen_bsw/Com/Com_PBcfg.c:64642</x:v>
      </x:c>
    </x:row>
    <x:row r="1309" ht="72" customHeight="1">
      <x:c r="A1309" s="144" t="str">
        <x:v>Com-Signal</x:v>
      </x:c>
      <x:c r="B1309" s="144" t="str">
        <x:v>COM-SIG-Rx-0397 / CR_RR_Obj005_RelVelX</x:v>
      </x:c>
      <x:c r="C1309" s="144" t="str">
        <x:v>PDU=RHRDA_ADAS_PriCANFD2_05; startBit=92; length=12; byteOrder=Big; type=UINT16; factor=1（Com原始值）; offset=0（Com原始值）; min=按位宽/类型; max=按位宽/类型; unit=-; receivers=-</x:v>
      </x:c>
      <x:c r="D130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9" s="144" t="str">
        <x:v>M2</x:v>
      </x:c>
      <x:c r="F1309" s="144" t="str">
        <x:v>Signal 级可编辑配置、数据类型/缩放/端序合同、RTE 接口、边界值与 round-trip 测试。</x:v>
      </x:c>
      <x:c r="G1309" s="144" t="str">
        <x:v>raw=0、raw=max、物理 min/max、越界/保留值、端序字节向量、pack→unpack round-trip；1457/1457 通过。</x:v>
      </x:c>
      <x:c r="H1309" s="144" t="str">
        <x:v>coem/BYD_UKE/gen_bsw/Com/Com_PBcfg.c:64702</x:v>
      </x:c>
    </x:row>
    <x:row r="1310" ht="72" customHeight="1">
      <x:c r="A1310" s="144" t="str">
        <x:v>Com-Signal</x:v>
      </x:c>
      <x:c r="B1310" s="144" t="str">
        <x:v>COM-SIG-Rx-0398 / CR_RR_Obj005_RelVelY</x:v>
      </x:c>
      <x:c r="C1310" s="144" t="str">
        <x:v>PDU=RHRDA_ADAS_PriCANFD2_05; startBit=96; length=12; byteOrder=Big; type=UINT16; factor=1（Com原始值）; offset=0（Com原始值）; min=按位宽/类型; max=按位宽/类型; unit=-; receivers=-</x:v>
      </x:c>
      <x:c r="D131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0" s="144" t="str">
        <x:v>M2</x:v>
      </x:c>
      <x:c r="F1310" s="144" t="str">
        <x:v>Signal 级可编辑配置、数据类型/缩放/端序合同、RTE 接口、边界值与 round-trip 测试。</x:v>
      </x:c>
      <x:c r="G1310" s="144" t="str">
        <x:v>raw=0、raw=max、物理 min/max、越界/保留值、端序字节向量、pack→unpack round-trip；1457/1457 通过。</x:v>
      </x:c>
      <x:c r="H1310" s="144" t="str">
        <x:v>coem/BYD_UKE/gen_bsw/Com/Com_PBcfg.c:64762</x:v>
      </x:c>
    </x:row>
    <x:row r="1311" ht="72" customHeight="1">
      <x:c r="A1311" s="144" t="str">
        <x:v>Com-Signal</x:v>
      </x:c>
      <x:c r="B1311" s="144" t="str">
        <x:v>COM-SIG-Rx-0399 / CR_RR_Obj005_Width</x:v>
      </x:c>
      <x:c r="C1311" s="144" t="str">
        <x:v>PDU=RHRDA_ADAS_PriCANFD2_05; startBit=134; length=10; byteOrder=Big; type=UINT16; factor=1（Com原始值）; offset=0（Com原始值）; min=按位宽/类型; max=按位宽/类型; unit=-; receivers=-</x:v>
      </x:c>
      <x:c r="D131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1" s="144" t="str">
        <x:v>M2</x:v>
      </x:c>
      <x:c r="F1311" s="144" t="str">
        <x:v>Signal 级可编辑配置、数据类型/缩放/端序合同、RTE 接口、边界值与 round-trip 测试。</x:v>
      </x:c>
      <x:c r="G1311" s="144" t="str">
        <x:v>raw=0、raw=max、物理 min/max、越界/保留值、端序字节向量、pack→unpack round-trip；1457/1457 通过。</x:v>
      </x:c>
      <x:c r="H1311" s="144" t="str">
        <x:v>coem/BYD_UKE/gen_bsw/Com/Com_PBcfg.c:64822</x:v>
      </x:c>
    </x:row>
    <x:row r="1312" ht="72" customHeight="1">
      <x:c r="A1312" s="144" t="str">
        <x:v>Com-Signal</x:v>
      </x:c>
      <x:c r="B1312" s="144" t="str">
        <x:v>COM-SIG-Rx-0400 / CR_RR_Obj005_YawAng</x:v>
      </x:c>
      <x:c r="C1312" s="144" t="str">
        <x:v>PDU=RHRDA_ADAS_PriCANFD2_05; startBit=200; length=32; byteOrder=Big; type=UINT32; factor=1（Com原始值）; offset=0（Com原始值）; min=按位宽/类型; max=按位宽/类型; unit=-; receivers=-</x:v>
      </x:c>
      <x:c r="D131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2" s="144" t="str">
        <x:v>M2</x:v>
      </x:c>
      <x:c r="F1312" s="144" t="str">
        <x:v>Signal 级可编辑配置、数据类型/缩放/端序合同、RTE 接口、边界值与 round-trip 测试。</x:v>
      </x:c>
      <x:c r="G1312" s="144" t="str">
        <x:v>raw=0、raw=max、物理 min/max、越界/保留值、端序字节向量、pack→unpack round-trip；1457/1457 通过。</x:v>
      </x:c>
      <x:c r="H1312" s="144" t="str">
        <x:v>coem/BYD_UKE/gen_bsw/Com/Com_PBcfg.c:64882</x:v>
      </x:c>
    </x:row>
    <x:row r="1313" ht="72" customHeight="1">
      <x:c r="A1313" s="144" t="str">
        <x:v>Com-Signal</x:v>
      </x:c>
      <x:c r="B1313" s="144" t="str">
        <x:v>COM-SIG-Rx-0401 / CR_RR_Obj005_dynFlg</x:v>
      </x:c>
      <x:c r="C1313" s="144" t="str">
        <x:v>PDU=RHRDA_ADAS_PriCANFD2_05; startBit=16; length=8; byteOrder=Big; type=UINT8; factor=1（Com原始值）; offset=0（Com原始值）; min=按位宽/类型; max=按位宽/类型; unit=-; receivers=-</x:v>
      </x:c>
      <x:c r="D131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3" s="144" t="str">
        <x:v>M2</x:v>
      </x:c>
      <x:c r="F1313" s="144" t="str">
        <x:v>Signal 级可编辑配置、数据类型/缩放/端序合同、RTE 接口、边界值与 round-trip 测试。</x:v>
      </x:c>
      <x:c r="G1313" s="144" t="str">
        <x:v>raw=0、raw=max、物理 min/max、越界/保留值、端序字节向量、pack→unpack round-trip；1457/1457 通过。</x:v>
      </x:c>
      <x:c r="H1313" s="144" t="str">
        <x:v>coem/BYD_UKE/gen_bsw/Com/Com_PBcfg.c:64942</x:v>
      </x:c>
    </x:row>
    <x:row r="1314" ht="72" customHeight="1">
      <x:c r="A1314" s="144" t="str">
        <x:v>Com-Signal</x:v>
      </x:c>
      <x:c r="B1314" s="144" t="str">
        <x:v>COM-SIG-Rx-0402 / CR_RR_Obj005_historyMovDist</x:v>
      </x:c>
      <x:c r="C1314" s="144" t="str">
        <x:v>PDU=RHRDA_ADAS_PriCANFD2_05; startBit=152; length=16; byteOrder=Big; type=UINT16; factor=1（Com原始值）; offset=0（Com原始值）; min=按位宽/类型; max=按位宽/类型; unit=-; receivers=-</x:v>
      </x:c>
      <x:c r="D131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4" s="144" t="str">
        <x:v>M2</x:v>
      </x:c>
      <x:c r="F1314" s="144" t="str">
        <x:v>Signal 级可编辑配置、数据类型/缩放/端序合同、RTE 接口、边界值与 round-trip 测试。</x:v>
      </x:c>
      <x:c r="G1314" s="144" t="str">
        <x:v>raw=0、raw=max、物理 min/max、越界/保留值、端序字节向量、pack→unpack round-trip；1457/1457 通过。</x:v>
      </x:c>
      <x:c r="H1314" s="144" t="str">
        <x:v>coem/BYD_UKE/gen_bsw/Com/Com_PBcfg.c:65002</x:v>
      </x:c>
    </x:row>
    <x:row r="1315" ht="72" customHeight="1">
      <x:c r="A1315" s="144" t="str">
        <x:v>Com-Signal</x:v>
      </x:c>
      <x:c r="B1315" s="144" t="str">
        <x:v>COM-SIG-Rx-0403 / CR_RR_Obj005_lifeCycle</x:v>
      </x:c>
      <x:c r="C1315" s="144" t="str">
        <x:v>PDU=RHRDA_ADAS_PriCANFD2_05; startBit=216; length=16; byteOrder=Big; type=UINT16; factor=1（Com原始值）; offset=0（Com原始值）; min=按位宽/类型; max=按位宽/类型; unit=-; receivers=-</x:v>
      </x:c>
      <x:c r="D131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5" s="144" t="str">
        <x:v>M2</x:v>
      </x:c>
      <x:c r="F1315" s="144" t="str">
        <x:v>Signal 级可编辑配置、数据类型/缩放/端序合同、RTE 接口、边界值与 round-trip 测试。</x:v>
      </x:c>
      <x:c r="G1315" s="144" t="str">
        <x:v>raw=0、raw=max、物理 min/max、越界/保留值、端序字节向量、pack→unpack round-trip；1457/1457 通过。</x:v>
      </x:c>
      <x:c r="H1315" s="144" t="str">
        <x:v>coem/BYD_UKE/gen_bsw/Com/Com_PBcfg.c:65062</x:v>
      </x:c>
    </x:row>
    <x:row r="1316" ht="72" customHeight="1">
      <x:c r="A1316" s="144" t="str">
        <x:v>Com-Signal</x:v>
      </x:c>
      <x:c r="B1316" s="144" t="str">
        <x:v>COM-SIG-Rx-0404 / CR_RR_Obj_CRC8Checksum_005</x:v>
      </x:c>
      <x:c r="C1316" s="144" t="str">
        <x:v>PDU=RHRDA_ADAS_PriCANFD2_05; startBit=0; length=8; byteOrder=Big; type=UINT8; factor=1（Com原始值）; offset=0（Com原始值）; min=按位宽/类型; max=按位宽/类型; unit=-; receivers=-</x:v>
      </x:c>
      <x:c r="D131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6" s="144" t="str">
        <x:v>M2</x:v>
      </x:c>
      <x:c r="F1316" s="144" t="str">
        <x:v>Signal 级可编辑配置、数据类型/缩放/端序合同、RTE 接口、边界值与 round-trip 测试。</x:v>
      </x:c>
      <x:c r="G1316" s="144" t="str">
        <x:v>raw=0、raw=max、物理 min/max、越界/保留值、端序字节向量、pack→unpack round-trip；1457/1457 通过。</x:v>
      </x:c>
      <x:c r="H1316" s="144" t="str">
        <x:v>coem/BYD_UKE/gen_bsw/Com/Com_PBcfg.c:65122</x:v>
      </x:c>
    </x:row>
    <x:row r="1317" ht="72" customHeight="1">
      <x:c r="A1317" s="144" t="str">
        <x:v>Com-Signal</x:v>
      </x:c>
      <x:c r="B1317" s="144" t="str">
        <x:v>COM-SIG-Rx-0405 / CR_RR_Obj_MsgCounter_005</x:v>
      </x:c>
      <x:c r="C1317" s="144" t="str">
        <x:v>PDU=RHRDA_ADAS_PriCANFD2_05; startBit=8; length=4; byteOrder=Big; type=UINT8; factor=1（Com原始值）; offset=0（Com原始值）; min=按位宽/类型; max=按位宽/类型; unit=-; receivers=-</x:v>
      </x:c>
      <x:c r="D131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7" s="144" t="str">
        <x:v>M2</x:v>
      </x:c>
      <x:c r="F1317" s="144" t="str">
        <x:v>Signal 级可编辑配置、数据类型/缩放/端序合同、RTE 接口、边界值与 round-trip 测试。</x:v>
      </x:c>
      <x:c r="G1317" s="144" t="str">
        <x:v>raw=0、raw=max、物理 min/max、越界/保留值、端序字节向量、pack→unpack round-trip；1457/1457 通过。</x:v>
      </x:c>
      <x:c r="H1317" s="144" t="str">
        <x:v>coem/BYD_UKE/gen_bsw/Com/Com_PBcfg.c:65182</x:v>
      </x:c>
    </x:row>
    <x:row r="1318" ht="72" customHeight="1">
      <x:c r="A1318" s="144" t="str">
        <x:v>Com-Signal</x:v>
      </x:c>
      <x:c r="B1318" s="144" t="str">
        <x:v>COM-SIG-Rx-0406 / RRL_20msPDU_AliveCtr</x:v>
      </x:c>
      <x:c r="C1318" s="144" t="str">
        <x:v>PDU=RRL_20msPDU; startBit=16; length=8; byteOrder=Little; type=UINT8; factor=1; offset=0; min=0; max=255; unit=-; receivers=RadarRearRight</x:v>
      </x:c>
      <x:c r="D13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18" s="144" t="str">
        <x:v>M2</x:v>
      </x:c>
      <x:c r="F1318" s="144" t="str">
        <x:v>Signal 级可编辑配置、数据类型/缩放/端序合同、RTE 接口、边界值与 round-trip 测试。</x:v>
      </x:c>
      <x:c r="G1318" s="144" t="str">
        <x:v>raw=0、raw=max、物理 min/max、越界/保留值、端序字节向量、pack→unpack round-trip；1457/1457 通过。</x:v>
      </x:c>
      <x:c r="H1318" s="144" t="str">
        <x:v>coem/BYD_UKE/gen_bsw/Com/Com_PBcfg.c:65242; BYD_5R1V_RadarRearcorner_V2.5_AllNodes.dbc:1503</x:v>
      </x:c>
    </x:row>
    <x:row r="1319" ht="72" customHeight="1">
      <x:c r="A1319" s="144" t="str">
        <x:v>Com-Signal</x:v>
      </x:c>
      <x:c r="B1319" s="144" t="str">
        <x:v>COM-SIG-Rx-0407 / RRL_20msPDU_CRC</x:v>
      </x:c>
      <x:c r="C1319" s="144" t="str">
        <x:v>PDU=RRL_20msPDU; startBit=0; length=16; byteOrder=Little; type=UINT16; factor=1; offset=0; min=0; max=65535; unit=-; receivers=RadarRearRight</x:v>
      </x:c>
      <x:c r="D13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19" s="144" t="str">
        <x:v>M2</x:v>
      </x:c>
      <x:c r="F1319" s="144" t="str">
        <x:v>Signal 级可编辑配置、数据类型/缩放/端序合同、RTE 接口、边界值与 round-trip 测试。</x:v>
      </x:c>
      <x:c r="G1319" s="144" t="str">
        <x:v>raw=0、raw=max、物理 min/max、越界/保留值、端序字节向量、pack→unpack round-trip；1457/1457 通过。</x:v>
      </x:c>
      <x:c r="H1319" s="144" t="str">
        <x:v>coem/BYD_UKE/gen_bsw/Com/Com_PBcfg.c:65302; BYD_5R1V_RadarRearcorner_V2.5_AllNodes.dbc:1502</x:v>
      </x:c>
    </x:row>
    <x:row r="1320" ht="72" customHeight="1">
      <x:c r="A1320" s="144" t="str">
        <x:v>Com-Signal</x:v>
      </x:c>
      <x:c r="B1320" s="144" t="str">
        <x:v>COM-SIG-Rx-0408 / RRL_RCTBSysFltSts</x:v>
      </x:c>
      <x:c r="C1320" s="144" t="str">
        <x:v>PDU=RRL_20msPDU; startBit=42; length=3; byteOrder=Little; type=UINT8; factor=1; offset=0; min=0; max=7; unit=-; receivers=RadarRearRight</x:v>
      </x:c>
      <x:c r="D13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0" s="144" t="str">
        <x:v>M2</x:v>
      </x:c>
      <x:c r="F1320" s="144" t="str">
        <x:v>Signal 级可编辑配置、数据类型/缩放/端序合同、RTE 接口、边界值与 round-trip 测试。</x:v>
      </x:c>
      <x:c r="G1320" s="144" t="str">
        <x:v>raw=0、raw=max、物理 min/max、越界/保留值、端序字节向量、pack→unpack round-trip；1457/1457 通过。</x:v>
      </x:c>
      <x:c r="H1320" s="144" t="str">
        <x:v>coem/BYD_UKE/gen_bsw/Com/Com_PBcfg.c:65362; BYD_5R1V_RadarRearcorner_V2.5_AllNodes.dbc:1504</x:v>
      </x:c>
    </x:row>
    <x:row r="1321" ht="72" customHeight="1">
      <x:c r="A1321" s="144" t="str">
        <x:v>Com-Signal</x:v>
      </x:c>
      <x:c r="B1321" s="144" t="str">
        <x:v>COM-SIG-Rx-0409 / RRL_SDAState</x:v>
      </x:c>
      <x:c r="C1321" s="144" t="str">
        <x:v>PDU=RRL_20msPDU; startBit=48; length=2; byteOrder=Little; type=UINT8; factor=1; offset=0; min=0; max=3; unit=-; receivers=RadarRearRight</x:v>
      </x:c>
      <x:c r="D13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1" s="144" t="str">
        <x:v>M2</x:v>
      </x:c>
      <x:c r="F1321" s="144" t="str">
        <x:v>Signal 级可编辑配置、数据类型/缩放/端序合同、RTE 接口、边界值与 round-trip 测试。</x:v>
      </x:c>
      <x:c r="G1321" s="144" t="str">
        <x:v>raw=0、raw=max、物理 min/max、越界/保留值、端序字节向量、pack→unpack round-trip；1457/1457 通过。</x:v>
      </x:c>
      <x:c r="H1321" s="144" t="str">
        <x:v>coem/BYD_UKE/gen_bsw/Com/Com_PBcfg.c:65422; BYD_5R1V_RadarRearcorner_V2.5_AllNodes.dbc:1505</x:v>
      </x:c>
    </x:row>
    <x:row r="1322" ht="72" customHeight="1">
      <x:c r="A1322" s="144" t="str">
        <x:v>Com-Signal</x:v>
      </x:c>
      <x:c r="B1322" s="144" t="str">
        <x:v>COM-SIG-Rx-0410 / RRL_50msPDU_AliveCtr</x:v>
      </x:c>
      <x:c r="C1322" s="144" t="str">
        <x:v>PDU=RRL_50msPDU; startBit=16; length=8; byteOrder=Little; type=UINT8; factor=1; offset=0; min=0; max=255; unit=-; receivers=RadarRearRight</x:v>
      </x:c>
      <x:c r="D13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2" s="144" t="str">
        <x:v>M2</x:v>
      </x:c>
      <x:c r="F1322" s="144" t="str">
        <x:v>Signal 级可编辑配置、数据类型/缩放/端序合同、RTE 接口、边界值与 round-trip 测试。</x:v>
      </x:c>
      <x:c r="G1322" s="144" t="str">
        <x:v>raw=0、raw=max、物理 min/max、越界/保留值、端序字节向量、pack→unpack round-trip；1457/1457 通过。</x:v>
      </x:c>
      <x:c r="H1322" s="144" t="str">
        <x:v>coem/BYD_UKE/gen_bsw/Com/Com_PBcfg.c:65482; BYD_5R1V_RadarRearcorner_V2.5_AllNodes.dbc:1515</x:v>
      </x:c>
    </x:row>
    <x:row r="1323" ht="72" customHeight="1">
      <x:c r="A1323" s="144" t="str">
        <x:v>Com-Signal</x:v>
      </x:c>
      <x:c r="B1323" s="144" t="str">
        <x:v>COM-SIG-Rx-0411 / RRL_50msPDU_CRC</x:v>
      </x:c>
      <x:c r="C1323" s="144" t="str">
        <x:v>PDU=RRL_50msPDU; startBit=0; length=16; byteOrder=Little; type=UINT16; factor=1; offset=0; min=0; max=65535; unit=-; receivers=RadarRearRight</x:v>
      </x:c>
      <x:c r="D13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3" s="144" t="str">
        <x:v>M2</x:v>
      </x:c>
      <x:c r="F1323" s="144" t="str">
        <x:v>Signal 级可编辑配置、数据类型/缩放/端序合同、RTE 接口、边界值与 round-trip 测试。</x:v>
      </x:c>
      <x:c r="G1323" s="144" t="str">
        <x:v>raw=0、raw=max、物理 min/max、越界/保留值、端序字节向量、pack→unpack round-trip；1457/1457 通过。</x:v>
      </x:c>
      <x:c r="H1323" s="144" t="str">
        <x:v>coem/BYD_UKE/gen_bsw/Com/Com_PBcfg.c:65542; BYD_5R1V_RadarRearcorner_V2.5_AllNodes.dbc:1514</x:v>
      </x:c>
    </x:row>
    <x:row r="1324" ht="72" customHeight="1">
      <x:c r="A1324" s="144" t="str">
        <x:v>Com-Signal</x:v>
      </x:c>
      <x:c r="B1324" s="144" t="str">
        <x:v>COM-SIG-Rx-0412 / RRL_BSDSelSts</x:v>
      </x:c>
      <x:c r="C1324" s="144" t="str">
        <x:v>PDU=RRL_50msPDU; startBit=42; length=2; byteOrder=Little; type=UINT8; factor=1; offset=0; min=0; max=3; unit=-; receivers=RadarRearRight</x:v>
      </x:c>
      <x:c r="D13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4" s="144" t="str">
        <x:v>M2</x:v>
      </x:c>
      <x:c r="F1324" s="144" t="str">
        <x:v>Signal 级可编辑配置、数据类型/缩放/端序合同、RTE 接口、边界值与 round-trip 测试。</x:v>
      </x:c>
      <x:c r="G1324" s="144" t="str">
        <x:v>raw=0、raw=max、物理 min/max、越界/保留值、端序字节向量、pack→unpack round-trip；1457/1457 通过。</x:v>
      </x:c>
      <x:c r="H1324" s="144" t="str">
        <x:v>coem/BYD_UKE/gen_bsw/Com/Com_PBcfg.c:65602; BYD_5R1V_RadarRearcorner_V2.5_AllNodes.dbc:1512</x:v>
      </x:c>
    </x:row>
    <x:row r="1325" ht="72" customHeight="1">
      <x:c r="A1325" s="144" t="str">
        <x:v>Com-Signal</x:v>
      </x:c>
      <x:c r="B1325" s="144" t="str">
        <x:v>COM-SIG-Rx-0413 / RRL_DOWSelSts</x:v>
      </x:c>
      <x:c r="C1325" s="144" t="str">
        <x:v>PDU=RRL_50msPDU; startBit=28; length=2; byteOrder=Little; type=UINT8; factor=1; offset=0; min=0; max=3; unit=-; receivers=RadarRearRight</x:v>
      </x:c>
      <x:c r="D13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5" s="144" t="str">
        <x:v>M2</x:v>
      </x:c>
      <x:c r="F1325" s="144" t="str">
        <x:v>Signal 级可编辑配置、数据类型/缩放/端序合同、RTE 接口、边界值与 round-trip 测试。</x:v>
      </x:c>
      <x:c r="G1325" s="144" t="str">
        <x:v>raw=0、raw=max、物理 min/max、越界/保留值、端序字节向量、pack→unpack round-trip；1457/1457 通过。</x:v>
      </x:c>
      <x:c r="H1325" s="144" t="str">
        <x:v>coem/BYD_UKE/gen_bsw/Com/Com_PBcfg.c:65662; BYD_5R1V_RadarRearcorner_V2.5_AllNodes.dbc:1518</x:v>
      </x:c>
    </x:row>
    <x:row r="1326" ht="72" customHeight="1">
      <x:c r="A1326" s="144" t="str">
        <x:v>Com-Signal</x:v>
      </x:c>
      <x:c r="B1326" s="144" t="str">
        <x:v>COM-SIG-Rx-0414 / RRL_LBSDAndLCAWrnng</x:v>
      </x:c>
      <x:c r="C1326" s="144" t="str">
        <x:v>PDU=RRL_50msPDU; startBit=26; length=2; byteOrder=Little; type=UINT8; factor=1; offset=0; min=0; max=3; unit=-; receivers=RadarRearRight</x:v>
      </x:c>
      <x:c r="D13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6" s="144" t="str">
        <x:v>M2</x:v>
      </x:c>
      <x:c r="F1326" s="144" t="str">
        <x:v>Signal 级可编辑配置、数据类型/缩放/端序合同、RTE 接口、边界值与 round-trip 测试。</x:v>
      </x:c>
      <x:c r="G1326" s="144" t="str">
        <x:v>raw=0、raw=max、物理 min/max、越界/保留值、端序字节向量、pack→unpack round-trip；1457/1457 通过。</x:v>
      </x:c>
      <x:c r="H1326" s="144" t="str">
        <x:v>coem/BYD_UKE/gen_bsw/Com/Com_PBcfg.c:65722; BYD_5R1V_RadarRearcorner_V2.5_AllNodes.dbc:1517</x:v>
      </x:c>
    </x:row>
    <x:row r="1327" ht="72" customHeight="1">
      <x:c r="A1327" s="144" t="str">
        <x:v>Com-Signal</x:v>
      </x:c>
      <x:c r="B1327" s="144" t="str">
        <x:v>COM-SIG-Rx-0415 / RRL_LDOWWrnng</x:v>
      </x:c>
      <x:c r="C1327" s="144" t="str">
        <x:v>PDU=RRL_50msPDU; startBit=30; length=2; byteOrder=Little; type=UINT8; factor=1; offset=0; min=0; max=3; unit=-; receivers=RadarRearRight</x:v>
      </x:c>
      <x:c r="D13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7" s="144" t="str">
        <x:v>M2</x:v>
      </x:c>
      <x:c r="F1327" s="144" t="str">
        <x:v>Signal 级可编辑配置、数据类型/缩放/端序合同、RTE 接口、边界值与 round-trip 测试。</x:v>
      </x:c>
      <x:c r="G1327" s="144" t="str">
        <x:v>raw=0、raw=max、物理 min/max、越界/保留值、端序字节向量、pack→unpack round-trip；1457/1457 通过。</x:v>
      </x:c>
      <x:c r="H1327" s="144" t="str">
        <x:v>coem/BYD_UKE/gen_bsw/Com/Com_PBcfg.c:65782; BYD_5R1V_RadarRearcorner_V2.5_AllNodes.dbc:1519</x:v>
      </x:c>
    </x:row>
    <x:row r="1328" ht="72" customHeight="1">
      <x:c r="A1328" s="144" t="str">
        <x:v>Com-Signal</x:v>
      </x:c>
      <x:c r="B1328" s="144" t="str">
        <x:v>COM-SIG-Rx-0416 / RRL_LRCTAWrnng</x:v>
      </x:c>
      <x:c r="C1328" s="144" t="str">
        <x:v>PDU=RRL_50msPDU; startBit=24; length=2; byteOrder=Little; type=UINT8; factor=1; offset=0; min=0; max=3; unit=-; receivers=RadarRearRight</x:v>
      </x:c>
      <x:c r="D13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8" s="144" t="str">
        <x:v>M2</x:v>
      </x:c>
      <x:c r="F1328" s="144" t="str">
        <x:v>Signal 级可编辑配置、数据类型/缩放/端序合同、RTE 接口、边界值与 round-trip 测试。</x:v>
      </x:c>
      <x:c r="G1328" s="144" t="str">
        <x:v>raw=0、raw=max、物理 min/max、越界/保留值、端序字节向量、pack→unpack round-trip；1457/1457 通过。</x:v>
      </x:c>
      <x:c r="H1328" s="144" t="str">
        <x:v>coem/BYD_UKE/gen_bsw/Com/Com_PBcfg.c:65842; BYD_5R1V_RadarRearcorner_V2.5_AllNodes.dbc:1516</x:v>
      </x:c>
    </x:row>
    <x:row r="1329" ht="72" customHeight="1">
      <x:c r="A1329" s="144" t="str">
        <x:v>Com-Signal</x:v>
      </x:c>
      <x:c r="B1329" s="144" t="str">
        <x:v>COM-SIG-Rx-0417 / RRL_RCTBReq</x:v>
      </x:c>
      <x:c r="C1329" s="144" t="str">
        <x:v>PDU=RRL_50msPDU; startBit=51; length=2; byteOrder=Little; type=UINT8; factor=1; offset=0; min=0; max=3; unit=-; receivers=RadarRearRight</x:v>
      </x:c>
      <x:c r="D13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29" s="144" t="str">
        <x:v>M2</x:v>
      </x:c>
      <x:c r="F1329" s="144" t="str">
        <x:v>Signal 级可编辑配置、数据类型/缩放/端序合同、RTE 接口、边界值与 round-trip 测试。</x:v>
      </x:c>
      <x:c r="G1329" s="144" t="str">
        <x:v>raw=0、raw=max、物理 min/max、越界/保留值、端序字节向量、pack→unpack round-trip；1457/1457 通过。</x:v>
      </x:c>
      <x:c r="H1329" s="144" t="str">
        <x:v>coem/BYD_UKE/gen_bsw/Com/Com_PBcfg.c:65902; BYD_5R1V_RadarRearcorner_V2.5_AllNodes.dbc:1510</x:v>
      </x:c>
    </x:row>
    <x:row r="1330" ht="72" customHeight="1">
      <x:c r="A1330" s="144" t="str">
        <x:v>Com-Signal</x:v>
      </x:c>
      <x:c r="B1330" s="144" t="str">
        <x:v>COM-SIG-Rx-0418 / RRL_RCTBSysSta</x:v>
      </x:c>
      <x:c r="C1330" s="144" t="str">
        <x:v>PDU=RRL_50msPDU; startBit=48; length=3; byteOrder=Little; type=UINT8; factor=1; offset=0; min=0; max=7; unit=-; receivers=RadarRearRight</x:v>
      </x:c>
      <x:c r="D13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0" s="144" t="str">
        <x:v>M2</x:v>
      </x:c>
      <x:c r="F1330" s="144" t="str">
        <x:v>Signal 级可编辑配置、数据类型/缩放/端序合同、RTE 接口、边界值与 round-trip 测试。</x:v>
      </x:c>
      <x:c r="G1330" s="144" t="str">
        <x:v>raw=0、raw=max、物理 min/max、越界/保留值、端序字节向量、pack→unpack round-trip；1457/1457 通过。</x:v>
      </x:c>
      <x:c r="H1330" s="144" t="str">
        <x:v>coem/BYD_UKE/gen_bsw/Com/Com_PBcfg.c:65962; BYD_5R1V_RadarRearcorner_V2.5_AllNodes.dbc:1513</x:v>
      </x:c>
    </x:row>
    <x:row r="1331" ht="72" customHeight="1">
      <x:c r="A1331" s="144" t="str">
        <x:v>Com-Signal</x:v>
      </x:c>
      <x:c r="B1331" s="144" t="str">
        <x:v>COM-SIG-Rx-0419 / RRL_RCTBTrgtDcl</x:v>
      </x:c>
      <x:c r="C1331" s="144" t="str">
        <x:v>PDU=RRL_50msPDU; startBit=56; length=8; byteOrder=Little; type=UINT8; factor=0.1; offset=-12.7; min=-12.7; max=12.8; unit=m/s^2; receivers=RadarRearRight</x:v>
      </x:c>
      <x:c r="D13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1" s="144" t="str">
        <x:v>M2</x:v>
      </x:c>
      <x:c r="F1331" s="144" t="str">
        <x:v>Signal 级可编辑配置、数据类型/缩放/端序合同、RTE 接口、边界值与 round-trip 测试。</x:v>
      </x:c>
      <x:c r="G1331" s="144" t="str">
        <x:v>raw=0、raw=max、物理 min/max、越界/保留值、端序字节向量、pack→unpack round-trip；1457/1457 通过。</x:v>
      </x:c>
      <x:c r="H1331" s="144" t="str">
        <x:v>coem/BYD_UKE/gen_bsw/Com/Com_PBcfg.c:66022; BYD_5R1V_RadarRearcorner_V2.5_AllNodes.dbc:1508</x:v>
      </x:c>
    </x:row>
    <x:row r="1332" ht="72" customHeight="1">
      <x:c r="A1332" s="144" t="str">
        <x:v>Com-Signal</x:v>
      </x:c>
      <x:c r="B1332" s="144" t="str">
        <x:v>COM-SIG-Rx-0420 / RRL_RCTSysSelSts</x:v>
      </x:c>
      <x:c r="C1332" s="144" t="str">
        <x:v>PDU=RRL_50msPDU; startBit=34; length=2; byteOrder=Little; type=UINT8; factor=1; offset=0; min=0; max=3; unit=-; receivers=RadarRearRight</x:v>
      </x:c>
      <x:c r="D13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2" s="144" t="str">
        <x:v>M2</x:v>
      </x:c>
      <x:c r="F1332" s="144" t="str">
        <x:v>Signal 级可编辑配置、数据类型/缩放/端序合同、RTE 接口、边界值与 round-trip 测试。</x:v>
      </x:c>
      <x:c r="G1332" s="144" t="str">
        <x:v>raw=0、raw=max、物理 min/max、越界/保留值、端序字节向量、pack→unpack round-trip；1457/1457 通过。</x:v>
      </x:c>
      <x:c r="H1332" s="144" t="str">
        <x:v>coem/BYD_UKE/gen_bsw/Com/Com_PBcfg.c:66082; BYD_5R1V_RadarRearcorner_V2.5_AllNodes.dbc:1509</x:v>
      </x:c>
    </x:row>
    <x:row r="1333" ht="72" customHeight="1">
      <x:c r="A1333" s="144" t="str">
        <x:v>Com-Signal</x:v>
      </x:c>
      <x:c r="B1333" s="144" t="str">
        <x:v>COM-SIG-Rx-0421 / RRL_RCWSelSts</x:v>
      </x:c>
      <x:c r="C1333" s="144" t="str">
        <x:v>PDU=RRL_50msPDU; startBit=40; length=2; byteOrder=Little; type=UINT8; factor=1; offset=0; min=0; max=3; unit=-; receivers=RadarRearRight</x:v>
      </x:c>
      <x:c r="D13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3" s="144" t="str">
        <x:v>M2</x:v>
      </x:c>
      <x:c r="F1333" s="144" t="str">
        <x:v>Signal 级可编辑配置、数据类型/缩放/端序合同、RTE 接口、边界值与 round-trip 测试。</x:v>
      </x:c>
      <x:c r="G1333" s="144" t="str">
        <x:v>raw=0、raw=max、物理 min/max、越界/保留值、端序字节向量、pack→unpack round-trip；1457/1457 通过。</x:v>
      </x:c>
      <x:c r="H1333" s="144" t="str">
        <x:v>coem/BYD_UKE/gen_bsw/Com/Com_PBcfg.c:66142; BYD_5R1V_RadarRearcorner_V2.5_AllNodes.dbc:1521</x:v>
      </x:c>
    </x:row>
    <x:row r="1334" ht="72" customHeight="1">
      <x:c r="A1334" s="144" t="str">
        <x:v>Com-Signal</x:v>
      </x:c>
      <x:c r="B1334" s="144" t="str">
        <x:v>COM-SIG-Rx-0422 / RRL_RCWWrnng</x:v>
      </x:c>
      <x:c r="C1334" s="144" t="str">
        <x:v>PDU=RRL_50msPDU; startBit=32; length=2; byteOrder=Little; type=UINT8; factor=1; offset=0; min=0; max=3; unit=-; receivers=RadarRearRight</x:v>
      </x:c>
      <x:c r="D13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4" s="144" t="str">
        <x:v>M2</x:v>
      </x:c>
      <x:c r="F1334" s="144" t="str">
        <x:v>Signal 级可编辑配置、数据类型/缩放/端序合同、RTE 接口、边界值与 round-trip 测试。</x:v>
      </x:c>
      <x:c r="G1334" s="144" t="str">
        <x:v>raw=0、raw=max、物理 min/max、越界/保留值、端序字节向量、pack→unpack round-trip；1457/1457 通过。</x:v>
      </x:c>
      <x:c r="H1334" s="144" t="str">
        <x:v>coem/BYD_UKE/gen_bsw/Com/Com_PBcfg.c:66202; BYD_5R1V_RadarRearcorner_V2.5_AllNodes.dbc:1520</x:v>
      </x:c>
    </x:row>
    <x:row r="1335" ht="72" customHeight="1">
      <x:c r="A1335" s="144" t="str">
        <x:v>Com-Signal</x:v>
      </x:c>
      <x:c r="B1335" s="144" t="str">
        <x:v>COM-SIG-Rx-0423 / RRL_System_status</x:v>
      </x:c>
      <x:c r="C1335" s="144" t="str">
        <x:v>PDU=RRL_50msPDU; startBit=46; length=2; byteOrder=Little; type=UINT8; factor=1; offset=0; min=0; max=3; unit=-; receivers=RadarRearRight</x:v>
      </x:c>
      <x:c r="D13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5" s="144" t="str">
        <x:v>M2</x:v>
      </x:c>
      <x:c r="F1335" s="144" t="str">
        <x:v>Signal 级可编辑配置、数据类型/缩放/端序合同、RTE 接口、边界值与 round-trip 测试。</x:v>
      </x:c>
      <x:c r="G1335" s="144" t="str">
        <x:v>raw=0、raw=max、物理 min/max、越界/保留值、端序字节向量、pack→unpack round-trip；1457/1457 通过。</x:v>
      </x:c>
      <x:c r="H1335" s="144" t="str">
        <x:v>coem/BYD_UKE/gen_bsw/Com/Com_PBcfg.c:66262; BYD_5R1V_RadarRearcorner_V2.5_AllNodes.dbc:1511</x:v>
      </x:c>
    </x:row>
    <x:row r="1336" ht="72" customHeight="1">
      <x:c r="A1336" s="144" t="str">
        <x:v>Com-Signal</x:v>
      </x:c>
      <x:c r="B1336" s="144" t="str">
        <x:v>COM-SIG-Rx-0424 / RRL_Obj00A_Age</x:v>
      </x:c>
      <x:c r="C1336" s="144" t="str">
        <x:v>PDU=RRL_Obj00A; startBit=228; length=12; byteOrder=Little; type=UINT16; factor=1（Com原始值）; offset=0（Com原始值）; min=按位宽/类型; max=按位宽/类型; unit=-; receivers=-</x:v>
      </x:c>
      <x:c r="D133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36" s="144" t="str">
        <x:v>M2</x:v>
      </x:c>
      <x:c r="F1336" s="144" t="str">
        <x:v>Signal 级可编辑配置、数据类型/缩放/端序合同、RTE 接口、边界值与 round-trip 测试。</x:v>
      </x:c>
      <x:c r="G1336" s="144" t="str">
        <x:v>raw=0、raw=max、物理 min/max、越界/保留值、端序字节向量、pack→unpack round-trip；1457/1457 通过。</x:v>
      </x:c>
      <x:c r="H1336" s="144" t="str">
        <x:v>coem/BYD_UKE/gen_bsw/Com/Com_PBcfg.c:66322</x:v>
      </x:c>
    </x:row>
    <x:row r="1337" ht="72" customHeight="1">
      <x:c r="A1337" s="144" t="str">
        <x:v>Com-Signal</x:v>
      </x:c>
      <x:c r="B1337" s="144" t="str">
        <x:v>COM-SIG-Rx-0425 / RRL_Obj00A_AliveCtr</x:v>
      </x:c>
      <x:c r="C1337" s="144" t="str">
        <x:v>PDU=RRL_Obj00A; startBit=16; length=8; byteOrder=Little; type=UINT8; factor=1; offset=0; min=0; max=255; unit=-; receivers=RadarRearRight,DASy</x:v>
      </x:c>
      <x:c r="D13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7" s="144" t="str">
        <x:v>M2</x:v>
      </x:c>
      <x:c r="F1337" s="144" t="str">
        <x:v>Signal 级可编辑配置、数据类型/缩放/端序合同、RTE 接口、边界值与 round-trip 测试。</x:v>
      </x:c>
      <x:c r="G1337" s="144" t="str">
        <x:v>raw=0、raw=max、物理 min/max、越界/保留值、端序字节向量、pack→unpack round-trip；1457/1457 通过。</x:v>
      </x:c>
      <x:c r="H1337" s="144" t="str">
        <x:v>coem/BYD_UKE/gen_bsw/Com/Com_PBcfg.c:66382; BYD_5R1V_RadarRearcorner_V2.5_AllNodes.dbc:159</x:v>
      </x:c>
    </x:row>
    <x:row r="1338" ht="72" customHeight="1">
      <x:c r="A1338" s="144" t="str">
        <x:v>Com-Signal</x:v>
      </x:c>
      <x:c r="B1338" s="144" t="str">
        <x:v>COM-SIG-Rx-0426 / RRL_Obj00A_AxAyCoVnce</x:v>
      </x:c>
      <x:c r="C1338" s="144" t="str">
        <x:v>PDU=RRL_Obj00A; startBit=396; length=12; byteOrder=Little; type=UINT16; factor=0.01; offset=0; min=0; max=30; unit=m^2/s^4; receivers=RadarRearRight,DASy</x:v>
      </x:c>
      <x:c r="D13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8" s="144" t="str">
        <x:v>M2</x:v>
      </x:c>
      <x:c r="F1338" s="144" t="str">
        <x:v>Signal 级可编辑配置、数据类型/缩放/端序合同、RTE 接口、边界值与 round-trip 测试。</x:v>
      </x:c>
      <x:c r="G1338" s="144" t="str">
        <x:v>raw=0、raw=max、物理 min/max、越界/保留值、端序字节向量、pack→unpack round-trip；1457/1457 通过。</x:v>
      </x:c>
      <x:c r="H1338" s="144" t="str">
        <x:v>coem/BYD_UKE/gen_bsw/Com/Com_PBcfg.c:66442; BYD_5R1V_RadarRearcorner_V2.5_AllNodes.dbc:197</x:v>
      </x:c>
    </x:row>
    <x:row r="1339" ht="72" customHeight="1">
      <x:c r="A1339" s="144" t="str">
        <x:v>Com-Signal</x:v>
      </x:c>
      <x:c r="B1339" s="144" t="str">
        <x:v>COM-SIG-Rx-0427 / RRL_Obj00A_AxVnce</x:v>
      </x:c>
      <x:c r="C1339" s="144" t="str">
        <x:v>PDU=RRL_Obj00A; startBit=200; length=12; byteOrder=Little; type=UINT16; factor=0.01; offset=0; min=0; max=30; unit=m^2/s^4; receivers=RadarRearRight,DASy</x:v>
      </x:c>
      <x:c r="D13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39" s="144" t="str">
        <x:v>M2</x:v>
      </x:c>
      <x:c r="F1339" s="144" t="str">
        <x:v>Signal 级可编辑配置、数据类型/缩放/端序合同、RTE 接口、边界值与 round-trip 测试。</x:v>
      </x:c>
      <x:c r="G1339" s="144" t="str">
        <x:v>raw=0、raw=max、物理 min/max、越界/保留值、端序字节向量、pack→unpack round-trip；1457/1457 通过。</x:v>
      </x:c>
      <x:c r="H1339" s="144" t="str">
        <x:v>coem/BYD_UKE/gen_bsw/Com/Com_PBcfg.c:66502; BYD_5R1V_RadarRearcorner_V2.5_AllNodes.dbc:181</x:v>
      </x:c>
    </x:row>
    <x:row r="1340" ht="72" customHeight="1">
      <x:c r="A1340" s="144" t="str">
        <x:v>Com-Signal</x:v>
      </x:c>
      <x:c r="B1340" s="144" t="str">
        <x:v>COM-SIG-Rx-0428 / RRL_Obj00A_Ax</x:v>
      </x:c>
      <x:c r="C1340" s="144" t="str">
        <x:v>PDU=RRL_Obj00A; startBit=93; length=10; byteOrder=Little; type=UINT16; factor=0.03125; offset=-16; min=-16; max=15.96875; unit=m/s^2; receivers=RadarRearRight,DASy</x:v>
      </x:c>
      <x:c r="D13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0" s="144" t="str">
        <x:v>M2</x:v>
      </x:c>
      <x:c r="F1340" s="144" t="str">
        <x:v>Signal 级可编辑配置、数据类型/缩放/端序合同、RTE 接口、边界值与 round-trip 测试。</x:v>
      </x:c>
      <x:c r="G1340" s="144" t="str">
        <x:v>raw=0、raw=max、物理 min/max、越界/保留值、端序字节向量、pack→unpack round-trip；1457/1457 通过。</x:v>
      </x:c>
      <x:c r="H1340" s="144" t="str">
        <x:v>coem/BYD_UKE/gen_bsw/Com/Com_PBcfg.c:66562; BYD_5R1V_RadarRearcorner_V2.5_AllNodes.dbc:170</x:v>
      </x:c>
    </x:row>
    <x:row r="1341" ht="72" customHeight="1">
      <x:c r="A1341" s="144" t="str">
        <x:v>Com-Signal</x:v>
      </x:c>
      <x:c r="B1341" s="144" t="str">
        <x:v>COM-SIG-Rx-0429 / RRL_Obj00A_AyVnce</x:v>
      </x:c>
      <x:c r="C1341" s="144" t="str">
        <x:v>PDU=RRL_Obj00A; startBit=212; length=12; byteOrder=Little; type=UINT16; factor=0.01; offset=0; min=0; max=30; unit=m^2/s^4; receivers=RadarRearRight,DASy</x:v>
      </x:c>
      <x:c r="D13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1" s="144" t="str">
        <x:v>M2</x:v>
      </x:c>
      <x:c r="F1341" s="144" t="str">
        <x:v>Signal 级可编辑配置、数据类型/缩放/端序合同、RTE 接口、边界值与 round-trip 测试。</x:v>
      </x:c>
      <x:c r="G1341" s="144" t="str">
        <x:v>raw=0、raw=max、物理 min/max、越界/保留值、端序字节向量、pack→unpack round-trip；1457/1457 通过。</x:v>
      </x:c>
      <x:c r="H1341" s="144" t="str">
        <x:v>coem/BYD_UKE/gen_bsw/Com/Com_PBcfg.c:66622; BYD_5R1V_RadarRearcorner_V2.5_AllNodes.dbc:182</x:v>
      </x:c>
    </x:row>
    <x:row r="1342" ht="72" customHeight="1">
      <x:c r="A1342" s="144" t="str">
        <x:v>Com-Signal</x:v>
      </x:c>
      <x:c r="B1342" s="144" t="str">
        <x:v>COM-SIG-Rx-0430 / RRL_Obj00A_Ay</x:v>
      </x:c>
      <x:c r="C1342" s="144" t="str">
        <x:v>PDU=RRL_Obj00A; startBit=103; length=9; byteOrder=Little; type=UINT16; factor=0.0625; offset=-16; min=-16; max=15.9375; unit=m/s^2; receivers=RadarRearRight,DASy</x:v>
      </x:c>
      <x:c r="D13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2" s="144" t="str">
        <x:v>M2</x:v>
      </x:c>
      <x:c r="F1342" s="144" t="str">
        <x:v>Signal 级可编辑配置、数据类型/缩放/端序合同、RTE 接口、边界值与 round-trip 测试。</x:v>
      </x:c>
      <x:c r="G1342" s="144" t="str">
        <x:v>raw=0、raw=max、物理 min/max、越界/保留值、端序字节向量、pack→unpack round-trip；1457/1457 通过。</x:v>
      </x:c>
      <x:c r="H1342" s="144" t="str">
        <x:v>coem/BYD_UKE/gen_bsw/Com/Com_PBcfg.c:66682; BYD_5R1V_RadarRearcorner_V2.5_AllNodes.dbc:171</x:v>
      </x:c>
    </x:row>
    <x:row r="1343" ht="72" customHeight="1">
      <x:c r="A1343" s="144" t="str">
        <x:v>Com-Signal</x:v>
      </x:c>
      <x:c r="B1343" s="144" t="str">
        <x:v>COM-SIG-Rx-0431 / RRL_Obj00A_CRC</x:v>
      </x:c>
      <x:c r="C1343" s="144" t="str">
        <x:v>PDU=RRL_Obj00A; startBit=0; length=16; byteOrder=Little; type=UINT16; factor=1; offset=0; min=0; max=65535; unit=-; receivers=RadarRearRight,DASy</x:v>
      </x:c>
      <x:c r="D13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3" s="144" t="str">
        <x:v>M2</x:v>
      </x:c>
      <x:c r="F1343" s="144" t="str">
        <x:v>Signal 级可编辑配置、数据类型/缩放/端序合同、RTE 接口、边界值与 round-trip 测试。</x:v>
      </x:c>
      <x:c r="G1343" s="144" t="str">
        <x:v>raw=0、raw=max、物理 min/max、越界/保留值、端序字节向量、pack→unpack round-trip；1457/1457 通过。</x:v>
      </x:c>
      <x:c r="H1343" s="144" t="str">
        <x:v>coem/BYD_UKE/gen_bsw/Com/Com_PBcfg.c:66742; BYD_5R1V_RadarRearcorner_V2.5_AllNodes.dbc:158</x:v>
      </x:c>
    </x:row>
    <x:row r="1344" ht="72" customHeight="1">
      <x:c r="A1344" s="144" t="str">
        <x:v>Com-Signal</x:v>
      </x:c>
      <x:c r="B1344" s="144" t="str">
        <x:v>COM-SIG-Rx-0432 / RRL_Obj00A_DxAxCoVnce</x:v>
      </x:c>
      <x:c r="C1344" s="144" t="str">
        <x:v>PDU=RRL_Obj00A; startBit=300; length=12; byteOrder=Little; type=UINT16; factor=0.01; offset=0; min=0; max=30; unit=m^2/s^2; receivers=RadarRearRight,DASy</x:v>
      </x:c>
      <x:c r="D13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4" s="144" t="str">
        <x:v>M2</x:v>
      </x:c>
      <x:c r="F1344" s="144" t="str">
        <x:v>Signal 级可编辑配置、数据类型/缩放/端序合同、RTE 接口、边界值与 round-trip 测试。</x:v>
      </x:c>
      <x:c r="G1344" s="144" t="str">
        <x:v>raw=0、raw=max、物理 min/max、越界/保留值、端序字节向量、pack→unpack round-trip；1457/1457 通过。</x:v>
      </x:c>
      <x:c r="H1344" s="144" t="str">
        <x:v>coem/BYD_UKE/gen_bsw/Com/Com_PBcfg.c:66802; BYD_5R1V_RadarRearcorner_V2.5_AllNodes.dbc:189</x:v>
      </x:c>
    </x:row>
    <x:row r="1345" ht="72" customHeight="1">
      <x:c r="A1345" s="144" t="str">
        <x:v>Com-Signal</x:v>
      </x:c>
      <x:c r="B1345" s="144" t="str">
        <x:v>COM-SIG-Rx-0433 / RRL_Obj00A_DxAyCoVnce</x:v>
      </x:c>
      <x:c r="C1345" s="144" t="str">
        <x:v>PDU=RRL_Obj00A; startBit=348; length=12; byteOrder=Little; type=UINT16; factor=0.01; offset=0; min=0; max=30; unit=m^2/s^2; receivers=RadarRearRight,DASy</x:v>
      </x:c>
      <x:c r="D13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5" s="144" t="str">
        <x:v>M2</x:v>
      </x:c>
      <x:c r="F1345" s="144" t="str">
        <x:v>Signal 级可编辑配置、数据类型/缩放/端序合同、RTE 接口、边界值与 round-trip 测试。</x:v>
      </x:c>
      <x:c r="G1345" s="144" t="str">
        <x:v>raw=0、raw=max、物理 min/max、越界/保留值、端序字节向量、pack→unpack round-trip；1457/1457 通过。</x:v>
      </x:c>
      <x:c r="H1345" s="144" t="str">
        <x:v>coem/BYD_UKE/gen_bsw/Com/Com_PBcfg.c:66862; BYD_5R1V_RadarRearcorner_V2.5_AllNodes.dbc:193</x:v>
      </x:c>
    </x:row>
    <x:row r="1346" ht="72" customHeight="1">
      <x:c r="A1346" s="144" t="str">
        <x:v>Com-Signal</x:v>
      </x:c>
      <x:c r="B1346" s="144" t="str">
        <x:v>COM-SIG-Rx-0434 / RRL_Obj00A_DxVnce</x:v>
      </x:c>
      <x:c r="C1346" s="144" t="str">
        <x:v>PDU=RRL_Obj00A; startBit=142; length=12; byteOrder=Little; type=UINT16; factor=0.01; offset=0; min=0; max=30; unit=m^2; receivers=RadarRearRight,DASy</x:v>
      </x:c>
      <x:c r="D13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6" s="144" t="str">
        <x:v>M2</x:v>
      </x:c>
      <x:c r="F1346" s="144" t="str">
        <x:v>Signal 级可编辑配置、数据类型/缩放/端序合同、RTE 接口、边界值与 round-trip 测试。</x:v>
      </x:c>
      <x:c r="G1346" s="144" t="str">
        <x:v>raw=0、raw=max、物理 min/max、越界/保留值、端序字节向量、pack→unpack round-trip；1457/1457 通过。</x:v>
      </x:c>
      <x:c r="H1346" s="144" t="str">
        <x:v>coem/BYD_UKE/gen_bsw/Com/Com_PBcfg.c:66922; BYD_5R1V_RadarRearcorner_V2.5_AllNodes.dbc:176</x:v>
      </x:c>
    </x:row>
    <x:row r="1347" ht="72" customHeight="1">
      <x:c r="A1347" s="144" t="str">
        <x:v>Com-Signal</x:v>
      </x:c>
      <x:c r="B1347" s="144" t="str">
        <x:v>COM-SIG-Rx-0435 / RRL_Obj00A_Dx</x:v>
      </x:c>
      <x:c r="C1347" s="144" t="str">
        <x:v>PDU=RRL_Obj00A; startBit=40; length=13; byteOrder=Little; type=UINT16; factor=0.0625; offset=-256; min=-256; max=255.9375; unit=m; receivers=RadarRearRight,DASy</x:v>
      </x:c>
      <x:c r="D13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7" s="144" t="str">
        <x:v>M2</x:v>
      </x:c>
      <x:c r="F1347" s="144" t="str">
        <x:v>Signal 级可编辑配置、数据类型/缩放/端序合同、RTE 接口、边界值与 round-trip 测试。</x:v>
      </x:c>
      <x:c r="G1347" s="144" t="str">
        <x:v>raw=0、raw=max、物理 min/max、越界/保留值、端序字节向量、pack→unpack round-trip；1457/1457 通过。</x:v>
      </x:c>
      <x:c r="H1347" s="144" t="str">
        <x:v>coem/BYD_UKE/gen_bsw/Com/Com_PBcfg.c:66982; BYD_5R1V_RadarRearcorner_V2.5_AllNodes.dbc:165</x:v>
      </x:c>
    </x:row>
    <x:row r="1348" ht="72" customHeight="1">
      <x:c r="A1348" s="144" t="str">
        <x:v>Com-Signal</x:v>
      </x:c>
      <x:c r="B1348" s="144" t="str">
        <x:v>COM-SIG-Rx-0436 / RRL_Obj00A_DyAxCoVnce</x:v>
      </x:c>
      <x:c r="C1348" s="144" t="str">
        <x:v>PDU=RRL_Obj00A; startBit=312; length=12; byteOrder=Little; type=UINT16; factor=0.01; offset=0; min=0; max=30; unit=m^2/s^2; receivers=RadarRearRight,DASy</x:v>
      </x:c>
      <x:c r="D13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8" s="144" t="str">
        <x:v>M2</x:v>
      </x:c>
      <x:c r="F1348" s="144" t="str">
        <x:v>Signal 级可编辑配置、数据类型/缩放/端序合同、RTE 接口、边界值与 round-trip 测试。</x:v>
      </x:c>
      <x:c r="G1348" s="144" t="str">
        <x:v>raw=0、raw=max、物理 min/max、越界/保留值、端序字节向量、pack→unpack round-trip；1457/1457 通过。</x:v>
      </x:c>
      <x:c r="H1348" s="144" t="str">
        <x:v>coem/BYD_UKE/gen_bsw/Com/Com_PBcfg.c:67042; BYD_5R1V_RadarRearcorner_V2.5_AllNodes.dbc:190</x:v>
      </x:c>
    </x:row>
    <x:row r="1349" ht="72" customHeight="1">
      <x:c r="A1349" s="144" t="str">
        <x:v>Com-Signal</x:v>
      </x:c>
      <x:c r="B1349" s="144" t="str">
        <x:v>COM-SIG-Rx-0437 / RRL_Obj00A_DyAyCoVnce</x:v>
      </x:c>
      <x:c r="C1349" s="144" t="str">
        <x:v>PDU=RRL_Obj00A; startBit=360; length=12; byteOrder=Little; type=UINT16; factor=0.01; offset=0; min=0; max=30; unit=m^2/s^2; receivers=RadarRearRight,DASy</x:v>
      </x:c>
      <x:c r="D13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49" s="144" t="str">
        <x:v>M2</x:v>
      </x:c>
      <x:c r="F1349" s="144" t="str">
        <x:v>Signal 级可编辑配置、数据类型/缩放/端序合同、RTE 接口、边界值与 round-trip 测试。</x:v>
      </x:c>
      <x:c r="G1349" s="144" t="str">
        <x:v>raw=0、raw=max、物理 min/max、越界/保留值、端序字节向量、pack→unpack round-trip；1457/1457 通过。</x:v>
      </x:c>
      <x:c r="H1349" s="144" t="str">
        <x:v>coem/BYD_UKE/gen_bsw/Com/Com_PBcfg.c:67102; BYD_5R1V_RadarRearcorner_V2.5_AllNodes.dbc:194</x:v>
      </x:c>
    </x:row>
    <x:row r="1350" ht="72" customHeight="1">
      <x:c r="A1350" s="144" t="str">
        <x:v>Com-Signal</x:v>
      </x:c>
      <x:c r="B1350" s="144" t="str">
        <x:v>COM-SIG-Rx-0438 / RRL_Obj00A_DyVnce</x:v>
      </x:c>
      <x:c r="C1350" s="144" t="str">
        <x:v>PDU=RRL_Obj00A; startBit=154; length=12; byteOrder=Little; type=UINT16; factor=0.01; offset=0; min=0; max=30; unit=m^2; receivers=RadarRearRight,DASy</x:v>
      </x:c>
      <x:c r="D135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0" s="144" t="str">
        <x:v>M2</x:v>
      </x:c>
      <x:c r="F1350" s="144" t="str">
        <x:v>Signal 级可编辑配置、数据类型/缩放/端序合同、RTE 接口、边界值与 round-trip 测试。</x:v>
      </x:c>
      <x:c r="G1350" s="144" t="str">
        <x:v>raw=0、raw=max、物理 min/max、越界/保留值、端序字节向量、pack→unpack round-trip；1457/1457 通过。</x:v>
      </x:c>
      <x:c r="H1350" s="144" t="str">
        <x:v>coem/BYD_UKE/gen_bsw/Com/Com_PBcfg.c:67162; BYD_5R1V_RadarRearcorner_V2.5_AllNodes.dbc:177</x:v>
      </x:c>
    </x:row>
    <x:row r="1351" ht="72" customHeight="1">
      <x:c r="A1351" s="144" t="str">
        <x:v>Com-Signal</x:v>
      </x:c>
      <x:c r="B1351" s="144" t="str">
        <x:v>COM-SIG-Rx-0439 / RRL_Obj00A_DyVyCoVnce</x:v>
      </x:c>
      <x:c r="C1351" s="144" t="str">
        <x:v>PDU=RRL_Obj00A; startBit=276; length=12; byteOrder=Little; type=UINT16; factor=0.01; offset=0; min=0; max=30; unit=m^2/s; receivers=RadarRearRight,DASy</x:v>
      </x:c>
      <x:c r="D13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1" s="144" t="str">
        <x:v>M2</x:v>
      </x:c>
      <x:c r="F1351" s="144" t="str">
        <x:v>Signal 级可编辑配置、数据类型/缩放/端序合同、RTE 接口、边界值与 round-trip 测试。</x:v>
      </x:c>
      <x:c r="G1351" s="144" t="str">
        <x:v>raw=0、raw=max、物理 min/max、越界/保留值、端序字节向量、pack→unpack round-trip；1457/1457 通过。</x:v>
      </x:c>
      <x:c r="H1351" s="144" t="str">
        <x:v>coem/BYD_UKE/gen_bsw/Com/Com_PBcfg.c:67222; BYD_5R1V_RadarRearcorner_V2.5_AllNodes.dbc:187</x:v>
      </x:c>
    </x:row>
    <x:row r="1352" ht="72" customHeight="1">
      <x:c r="A1352" s="144" t="str">
        <x:v>Com-Signal</x:v>
      </x:c>
      <x:c r="B1352" s="144" t="str">
        <x:v>COM-SIG-Rx-0440 / RRL_Obj00A_Dy</x:v>
      </x:c>
      <x:c r="C1352" s="144" t="str">
        <x:v>PDU=RRL_Obj00A; startBit=59; length=11; byteOrder=Little; type=UINT16; factor=0.125; offset=-128; min=-128; max=127.875; unit=m; receivers=RadarRearRight,DASy</x:v>
      </x:c>
      <x:c r="D13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2" s="144" t="str">
        <x:v>M2</x:v>
      </x:c>
      <x:c r="F1352" s="144" t="str">
        <x:v>Signal 级可编辑配置、数据类型/缩放/端序合同、RTE 接口、边界值与 round-trip 测试。</x:v>
      </x:c>
      <x:c r="G1352" s="144" t="str">
        <x:v>raw=0、raw=max、物理 min/max、越界/保留值、端序字节向量、pack→unpack round-trip；1457/1457 通过。</x:v>
      </x:c>
      <x:c r="H1352" s="144" t="str">
        <x:v>coem/BYD_UKE/gen_bsw/Com/Com_PBcfg.c:67282; BYD_5R1V_RadarRearcorner_V2.5_AllNodes.dbc:166</x:v>
      </x:c>
    </x:row>
    <x:row r="1353" ht="72" customHeight="1">
      <x:c r="A1353" s="144" t="str">
        <x:v>Com-Signal</x:v>
      </x:c>
      <x:c r="B1353" s="144" t="str">
        <x:v>COM-SIG-Rx-0441 / RRL_Obj00A_DzVnce</x:v>
      </x:c>
      <x:c r="C1353" s="144" t="str">
        <x:v>PDU=RRL_Obj00A; startBit=166; length=10; byteOrder=Little; type=UINT16; factor=0.01; offset=0; min=0; max=10; unit=m^2; receivers=RadarRearRight,DASy</x:v>
      </x:c>
      <x:c r="D13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3" s="144" t="str">
        <x:v>M2</x:v>
      </x:c>
      <x:c r="F1353" s="144" t="str">
        <x:v>Signal 级可编辑配置、数据类型/缩放/端序合同、RTE 接口、边界值与 round-trip 测试。</x:v>
      </x:c>
      <x:c r="G1353" s="144" t="str">
        <x:v>raw=0、raw=max、物理 min/max、越界/保留值、端序字节向量、pack→unpack round-trip；1457/1457 通过。</x:v>
      </x:c>
      <x:c r="H1353" s="144" t="str">
        <x:v>coem/BYD_UKE/gen_bsw/Com/Com_PBcfg.c:67342; BYD_5R1V_RadarRearcorner_V2.5_AllNodes.dbc:178</x:v>
      </x:c>
    </x:row>
    <x:row r="1354" ht="72" customHeight="1">
      <x:c r="A1354" s="144" t="str">
        <x:v>Com-Signal</x:v>
      </x:c>
      <x:c r="B1354" s="144" t="str">
        <x:v>COM-SIG-Rx-0442 / RRL_Obj00A_Dz</x:v>
      </x:c>
      <x:c r="C1354" s="144" t="str">
        <x:v>PDU=RRL_Obj00A; startBit=53; length=6; byteOrder=Little; type=UINT8; factor=0.25; offset=-5; min=-5; max=10.75; unit=m; receivers=RadarRearRight,DASy</x:v>
      </x:c>
      <x:c r="D13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4" s="144" t="str">
        <x:v>M2</x:v>
      </x:c>
      <x:c r="F1354" s="144" t="str">
        <x:v>Signal 级可编辑配置、数据类型/缩放/端序合同、RTE 接口、边界值与 round-trip 测试。</x:v>
      </x:c>
      <x:c r="G1354" s="144" t="str">
        <x:v>raw=0、raw=max、物理 min/max、越界/保留值、端序字节向量、pack→unpack round-trip；1457/1457 通过。</x:v>
      </x:c>
      <x:c r="H1354" s="144" t="str">
        <x:v>coem/BYD_UKE/gen_bsw/Com/Com_PBcfg.c:67402; BYD_5R1V_RadarRearcorner_V2.5_AllNodes.dbc:167</x:v>
      </x:c>
    </x:row>
    <x:row r="1355" ht="72" customHeight="1">
      <x:c r="A1355" s="144" t="str">
        <x:v>Com-Signal</x:v>
      </x:c>
      <x:c r="B1355" s="144" t="str">
        <x:v>COM-SIG-Rx-0443 / RRL_Obj00A_HeadingYawAngleVnce</x:v>
      </x:c>
      <x:c r="C1355" s="144" t="str">
        <x:v>PDU=RRL_Obj00A; startBit=408; length=12; byteOrder=Little; type=UINT16; factor=0.0003; offset=0; min=0; max=1; unit=rad^2; receivers=RadarRearRight,DASy</x:v>
      </x:c>
      <x:c r="D13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5" s="144" t="str">
        <x:v>M2</x:v>
      </x:c>
      <x:c r="F1355" s="144" t="str">
        <x:v>Signal 级可编辑配置、数据类型/缩放/端序合同、RTE 接口、边界值与 round-trip 测试。</x:v>
      </x:c>
      <x:c r="G1355" s="144" t="str">
        <x:v>raw=0、raw=max、物理 min/max、越界/保留值、端序字节向量、pack→unpack round-trip；1457/1457 通过。</x:v>
      </x:c>
      <x:c r="H1355" s="144" t="str">
        <x:v>coem/BYD_UKE/gen_bsw/Com/Com_PBcfg.c:67462; BYD_5R1V_RadarRearcorner_V2.5_AllNodes.dbc:198</x:v>
      </x:c>
    </x:row>
    <x:row r="1356" ht="72" customHeight="1">
      <x:c r="A1356" s="144" t="str">
        <x:v>Com-Signal</x:v>
      </x:c>
      <x:c r="B1356" s="144" t="str">
        <x:v>COM-SIG-Rx-0444 / RRL_Obj00A_HeadingYawAngle</x:v>
      </x:c>
      <x:c r="C1356" s="144" t="str">
        <x:v>PDU=RRL_Obj00A; startBit=112; length=9; byteOrder=Little; type=UINT16; factor=0.0175; offset=-4.48; min=-3.15; max=3.15; unit=rad; receivers=RadarRearRight,DASy</x:v>
      </x:c>
      <x:c r="D13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6" s="144" t="str">
        <x:v>M2</x:v>
      </x:c>
      <x:c r="F1356" s="144" t="str">
        <x:v>Signal 级可编辑配置、数据类型/缩放/端序合同、RTE 接口、边界值与 round-trip 测试。</x:v>
      </x:c>
      <x:c r="G1356" s="144" t="str">
        <x:v>raw=0、raw=max、物理 min/max、越界/保留值、端序字节向量、pack→unpack round-trip；1457/1457 通过。</x:v>
      </x:c>
      <x:c r="H1356" s="144" t="str">
        <x:v>coem/BYD_UKE/gen_bsw/Com/Com_PBcfg.c:67522; BYD_5R1V_RadarRearcorner_V2.5_AllNodes.dbc:172</x:v>
      </x:c>
    </x:row>
    <x:row r="1357" ht="72" customHeight="1">
      <x:c r="A1357" s="144" t="str">
        <x:v>Com-Signal</x:v>
      </x:c>
      <x:c r="B1357" s="144" t="str">
        <x:v>COM-SIG-Rx-0445 / RRL_Obj00A_HeadingYawrate</x:v>
      </x:c>
      <x:c r="C1357" s="144" t="str">
        <x:v>PDU=RRL_Obj00A; startBit=240; length=12; byteOrder=Little; type=UINT16; factor=1（Com原始值）; offset=0（Com原始值）; min=按位宽/类型; max=按位宽/类型; unit=-; receivers=-</x:v>
      </x:c>
      <x:c r="D135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57" s="144" t="str">
        <x:v>M2</x:v>
      </x:c>
      <x:c r="F1357" s="144" t="str">
        <x:v>Signal 级可编辑配置、数据类型/缩放/端序合同、RTE 接口、边界值与 round-trip 测试。</x:v>
      </x:c>
      <x:c r="G1357" s="144" t="str">
        <x:v>raw=0、raw=max、物理 min/max、越界/保留值、端序字节向量、pack→unpack round-trip；1457/1457 通过。</x:v>
      </x:c>
      <x:c r="H1357" s="144" t="str">
        <x:v>coem/BYD_UKE/gen_bsw/Com/Com_PBcfg.c:67582</x:v>
      </x:c>
    </x:row>
    <x:row r="1358" ht="72" customHeight="1">
      <x:c r="A1358" s="144" t="str">
        <x:v>Com-Signal</x:v>
      </x:c>
      <x:c r="B1358" s="144" t="str">
        <x:v>COM-SIG-Rx-0446 / RRL_Obj00A_HeightVnce</x:v>
      </x:c>
      <x:c r="C1358" s="144" t="str">
        <x:v>PDU=RRL_Obj00A; startBit=444; length=12; byteOrder=Little; type=UINT16; factor=0.01; offset=0; min=0; max=30; unit=m^2; receivers=RadarRearRight,DASy</x:v>
      </x:c>
      <x:c r="D13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8" s="144" t="str">
        <x:v>M2</x:v>
      </x:c>
      <x:c r="F1358" s="144" t="str">
        <x:v>Signal 级可编辑配置、数据类型/缩放/端序合同、RTE 接口、边界值与 round-trip 测试。</x:v>
      </x:c>
      <x:c r="G1358" s="144" t="str">
        <x:v>raw=0、raw=max、物理 min/max、越界/保留值、端序字节向量、pack→unpack round-trip；1457/1457 通过。</x:v>
      </x:c>
      <x:c r="H1358" s="144" t="str">
        <x:v>coem/BYD_UKE/gen_bsw/Com/Com_PBcfg.c:67642; BYD_5R1V_RadarRearcorner_V2.5_AllNodes.dbc:157</x:v>
      </x:c>
    </x:row>
    <x:row r="1359" ht="72" customHeight="1">
      <x:c r="A1359" s="144" t="str">
        <x:v>Com-Signal</x:v>
      </x:c>
      <x:c r="B1359" s="144" t="str">
        <x:v>COM-SIG-Rx-0447 / RRL_Obj00A_Height</x:v>
      </x:c>
      <x:c r="C1359" s="144" t="str">
        <x:v>PDU=RRL_Obj00A; startBit=135; length=7; byteOrder=Little; type=UINT8; factor=0.125; offset=0; min=0; max=15.875; unit=m; receivers=RadarRearRight,DASy</x:v>
      </x:c>
      <x:c r="D13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59" s="144" t="str">
        <x:v>M2</x:v>
      </x:c>
      <x:c r="F1359" s="144" t="str">
        <x:v>Signal 级可编辑配置、数据类型/缩放/端序合同、RTE 接口、边界值与 round-trip 测试。</x:v>
      </x:c>
      <x:c r="G1359" s="144" t="str">
        <x:v>raw=0、raw=max、物理 min/max、越界/保留值、端序字节向量、pack→unpack round-trip；1457/1457 通过。</x:v>
      </x:c>
      <x:c r="H1359" s="144" t="str">
        <x:v>coem/BYD_UKE/gen_bsw/Com/Com_PBcfg.c:67702; BYD_5R1V_RadarRearcorner_V2.5_AllNodes.dbc:175</x:v>
      </x:c>
    </x:row>
    <x:row r="1360" ht="72" customHeight="1">
      <x:c r="A1360" s="144" t="str">
        <x:v>Com-Signal</x:v>
      </x:c>
      <x:c r="B1360" s="144" t="str">
        <x:v>COM-SIG-Rx-0448 / RRL_Obj00A_ID</x:v>
      </x:c>
      <x:c r="C1360" s="144" t="str">
        <x:v>PDU=RRL_Obj00A; startBit=32; length=7; byteOrder=Little; type=UINT8; factor=1; offset=0; min=0; max=127; unit=-; receivers=RadarRearRight,DASy</x:v>
      </x:c>
      <x:c r="D13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0" s="144" t="str">
        <x:v>M2</x:v>
      </x:c>
      <x:c r="F1360" s="144" t="str">
        <x:v>Signal 级可编辑配置、数据类型/缩放/端序合同、RTE 接口、边界值与 round-trip 测试。</x:v>
      </x:c>
      <x:c r="G1360" s="144" t="str">
        <x:v>raw=0、raw=max、物理 min/max、越界/保留值、端序字节向量、pack→unpack round-trip；1457/1457 通过。</x:v>
      </x:c>
      <x:c r="H1360" s="144" t="str">
        <x:v>coem/BYD_UKE/gen_bsw/Com/Com_PBcfg.c:67762; BYD_5R1V_RadarRearcorner_V2.5_AllNodes.dbc:161</x:v>
      </x:c>
    </x:row>
    <x:row r="1361" ht="72" customHeight="1">
      <x:c r="A1361" s="144" t="str">
        <x:v>Com-Signal</x:v>
      </x:c>
      <x:c r="B1361" s="144" t="str">
        <x:v>COM-SIG-Rx-0449 / RRL_Obj00A_LengthVnce</x:v>
      </x:c>
      <x:c r="C1361" s="144" t="str">
        <x:v>PDU=RRL_Obj00A; startBit=420; length=12; byteOrder=Little; type=UINT16; factor=0.01; offset=0; min=0; max=30; unit=m^2; receivers=RadarRearRight,DASy</x:v>
      </x:c>
      <x:c r="D13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1" s="144" t="str">
        <x:v>M2</x:v>
      </x:c>
      <x:c r="F1361" s="144" t="str">
        <x:v>Signal 级可编辑配置、数据类型/缩放/端序合同、RTE 接口、边界值与 round-trip 测试。</x:v>
      </x:c>
      <x:c r="G1361" s="144" t="str">
        <x:v>raw=0、raw=max、物理 min/max、越界/保留值、端序字节向量、pack→unpack round-trip；1457/1457 通过。</x:v>
      </x:c>
      <x:c r="H1361" s="144" t="str">
        <x:v>coem/BYD_UKE/gen_bsw/Com/Com_PBcfg.c:67822; BYD_5R1V_RadarRearcorner_V2.5_AllNodes.dbc:199</x:v>
      </x:c>
    </x:row>
    <x:row r="1362" ht="72" customHeight="1">
      <x:c r="A1362" s="144" t="str">
        <x:v>Com-Signal</x:v>
      </x:c>
      <x:c r="B1362" s="144" t="str">
        <x:v>COM-SIG-Rx-0450 / RRL_Obj00A_Length</x:v>
      </x:c>
      <x:c r="C1362" s="144" t="str">
        <x:v>PDU=RRL_Obj00A; startBit=121; length=7; byteOrder=Little; type=UINT8; factor=0.125; offset=0; min=0; max=15.875; unit=m; receivers=RadarRearRight,DASy</x:v>
      </x:c>
      <x:c r="D13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2" s="144" t="str">
        <x:v>M2</x:v>
      </x:c>
      <x:c r="F1362" s="144" t="str">
        <x:v>Signal 级可编辑配置、数据类型/缩放/端序合同、RTE 接口、边界值与 round-trip 测试。</x:v>
      </x:c>
      <x:c r="G1362" s="144" t="str">
        <x:v>raw=0、raw=max、物理 min/max、越界/保留值、端序字节向量、pack→unpack round-trip；1457/1457 通过。</x:v>
      </x:c>
      <x:c r="H1362" s="144" t="str">
        <x:v>coem/BYD_UKE/gen_bsw/Com/Com_PBcfg.c:67882; BYD_5R1V_RadarRearcorner_V2.5_AllNodes.dbc:173</x:v>
      </x:c>
    </x:row>
    <x:row r="1363" ht="72" customHeight="1">
      <x:c r="A1363" s="144" t="str">
        <x:v>Com-Signal</x:v>
      </x:c>
      <x:c r="B1363" s="144" t="str">
        <x:v>COM-SIG-Rx-0451 / RRL_Obj00A_Measured</x:v>
      </x:c>
      <x:c r="C1363" s="144" t="str">
        <x:v>PDU=RRL_Obj00A; startBit=39; length=1; byteOrder=Little; type=UINT8; factor=1; offset=0; min=0; max=1; unit=-; receivers=RadarRearRight,DASy</x:v>
      </x:c>
      <x:c r="D13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3" s="144" t="str">
        <x:v>M2</x:v>
      </x:c>
      <x:c r="F1363" s="144" t="str">
        <x:v>Signal 级可编辑配置、数据类型/缩放/端序合同、RTE 接口、边界值与 round-trip 测试。</x:v>
      </x:c>
      <x:c r="G1363" s="144" t="str">
        <x:v>raw=0、raw=max、物理 min/max、越界/保留值、端序字节向量、pack→unpack round-trip；1457/1457 通过。</x:v>
      </x:c>
      <x:c r="H1363" s="144" t="str">
        <x:v>coem/BYD_UKE/gen_bsw/Com/Com_PBcfg.c:67942; BYD_5R1V_RadarRearcorner_V2.5_AllNodes.dbc:164</x:v>
      </x:c>
    </x:row>
    <x:row r="1364" ht="72" customHeight="1">
      <x:c r="A1364" s="144" t="str">
        <x:v>Com-Signal</x:v>
      </x:c>
      <x:c r="B1364" s="144" t="str">
        <x:v>COM-SIG-Rx-0452 / RRL_Obj00A_ObjDetected</x:v>
      </x:c>
      <x:c r="C1364" s="144" t="str">
        <x:v>PDU=RRL_Obj00A; startBit=264; length=12; byteOrder=Little; type=UINT16; factor=1（Com原始值）; offset=0（Com原始值）; min=按位宽/类型; max=按位宽/类型; unit=-; receivers=-</x:v>
      </x:c>
      <x:c r="D136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64" s="144" t="str">
        <x:v>M2</x:v>
      </x:c>
      <x:c r="F1364" s="144" t="str">
        <x:v>Signal 级可编辑配置、数据类型/缩放/端序合同、RTE 接口、边界值与 round-trip 测试。</x:v>
      </x:c>
      <x:c r="G1364" s="144" t="str">
        <x:v>raw=0、raw=max、物理 min/max、越界/保留值、端序字节向量、pack→unpack round-trip；1457/1457 通过。</x:v>
      </x:c>
      <x:c r="H1364" s="144" t="str">
        <x:v>coem/BYD_UKE/gen_bsw/Com/Com_PBcfg.c:68002</x:v>
      </x:c>
    </x:row>
    <x:row r="1365" ht="72" customHeight="1">
      <x:c r="A1365" s="144" t="str">
        <x:v>Com-Signal</x:v>
      </x:c>
      <x:c r="B1365" s="144" t="str">
        <x:v>COM-SIG-Rx-0453 / RRL_Obj00A_ProbExist</x:v>
      </x:c>
      <x:c r="C1365" s="144" t="str">
        <x:v>PDU=RRL_Obj00A; startBit=456; length=6; byteOrder=Little; type=UINT8; factor=2; offset=0; min=0; max=100; unit=%; receivers=RadarRearRight,DASy</x:v>
      </x:c>
      <x:c r="D13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5" s="144" t="str">
        <x:v>M2</x:v>
      </x:c>
      <x:c r="F1365" s="144" t="str">
        <x:v>Signal 级可编辑配置、数据类型/缩放/端序合同、RTE 接口、边界值与 round-trip 测试。</x:v>
      </x:c>
      <x:c r="G1365" s="144" t="str">
        <x:v>raw=0、raw=max、物理 min/max、越界/保留值、端序字节向量、pack→unpack round-trip；1457/1457 通过。</x:v>
      </x:c>
      <x:c r="H1365" s="144" t="str">
        <x:v>coem/BYD_UKE/gen_bsw/Com/Com_PBcfg.c:68062; BYD_5R1V_RadarRearcorner_V2.5_AllNodes.dbc:201</x:v>
      </x:c>
    </x:row>
    <x:row r="1366" ht="72" customHeight="1">
      <x:c r="A1366" s="144" t="str">
        <x:v>Com-Signal</x:v>
      </x:c>
      <x:c r="B1366" s="144" t="str">
        <x:v>COM-SIG-Rx-0454 / RRL_Obj00A_ProbMobileObst</x:v>
      </x:c>
      <x:c r="C1366" s="144" t="str">
        <x:v>PDU=RRL_Obj00A; startBit=474; length=6; byteOrder=Little; type=UINT8; factor=2; offset=0; min=0; max=100; unit=%; receivers=RadarRearRight,DASy</x:v>
      </x:c>
      <x:c r="D13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6" s="144" t="str">
        <x:v>M2</x:v>
      </x:c>
      <x:c r="F1366" s="144" t="str">
        <x:v>Signal 级可编辑配置、数据类型/缩放/端序合同、RTE 接口、边界值与 round-trip 测试。</x:v>
      </x:c>
      <x:c r="G1366" s="144" t="str">
        <x:v>raw=0、raw=max、物理 min/max、越界/保留值、端序字节向量、pack→unpack round-trip；1457/1457 通过。</x:v>
      </x:c>
      <x:c r="H1366" s="144" t="str">
        <x:v>coem/BYD_UKE/gen_bsw/Com/Com_PBcfg.c:68122; BYD_5R1V_RadarRearcorner_V2.5_AllNodes.dbc:204</x:v>
      </x:c>
    </x:row>
    <x:row r="1367" ht="72" customHeight="1">
      <x:c r="A1367" s="144" t="str">
        <x:v>Com-Signal</x:v>
      </x:c>
      <x:c r="B1367" s="144" t="str">
        <x:v>COM-SIG-Rx-0455 / RRL_Obj00A_ProbNonObstacle</x:v>
      </x:c>
      <x:c r="C1367" s="144" t="str">
        <x:v>PDU=RRL_Obj00A; startBit=468; length=6; byteOrder=Little; type=UINT8; factor=2; offset=0; min=0; max=100; unit=%; receivers=RadarRearRight,DASy</x:v>
      </x:c>
      <x:c r="D13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7" s="144" t="str">
        <x:v>M2</x:v>
      </x:c>
      <x:c r="F1367" s="144" t="str">
        <x:v>Signal 级可编辑配置、数据类型/缩放/端序合同、RTE 接口、边界值与 round-trip 测试。</x:v>
      </x:c>
      <x:c r="G1367" s="144" t="str">
        <x:v>raw=0、raw=max、物理 min/max、越界/保留值、端序字节向量、pack→unpack round-trip；1457/1457 通过。</x:v>
      </x:c>
      <x:c r="H1367" s="144" t="str">
        <x:v>coem/BYD_UKE/gen_bsw/Com/Com_PBcfg.c:68182; BYD_5R1V_RadarRearcorner_V2.5_AllNodes.dbc:203</x:v>
      </x:c>
    </x:row>
    <x:row r="1368" ht="72" customHeight="1">
      <x:c r="A1368" s="144" t="str">
        <x:v>Com-Signal</x:v>
      </x:c>
      <x:c r="B1368" s="144" t="str">
        <x:v>COM-SIG-Rx-0456 / RRL_Obj00A_ProbObstacle</x:v>
      </x:c>
      <x:c r="C1368" s="144" t="str">
        <x:v>PDU=RRL_Obj00A; startBit=462; length=6; byteOrder=Little; type=UINT8; factor=2; offset=0; min=0; max=100; unit=%; receivers=RadarRearRight,DASy</x:v>
      </x:c>
      <x:c r="D13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8" s="144" t="str">
        <x:v>M2</x:v>
      </x:c>
      <x:c r="F1368" s="144" t="str">
        <x:v>Signal 级可编辑配置、数据类型/缩放/端序合同、RTE 接口、边界值与 round-trip 测试。</x:v>
      </x:c>
      <x:c r="G1368" s="144" t="str">
        <x:v>raw=0、raw=max、物理 min/max、越界/保留值、端序字节向量、pack→unpack round-trip；1457/1457 通过。</x:v>
      </x:c>
      <x:c r="H1368" s="144" t="str">
        <x:v>coem/BYD_UKE/gen_bsw/Com/Com_PBcfg.c:68242; BYD_5R1V_RadarRearcorner_V2.5_AllNodes.dbc:202</x:v>
      </x:c>
    </x:row>
    <x:row r="1369" ht="72" customHeight="1">
      <x:c r="A1369" s="144" t="str">
        <x:v>Com-Signal</x:v>
      </x:c>
      <x:c r="B1369" s="144" t="str">
        <x:v>COM-SIG-Rx-0457 / RRL_Obj00A_ProtBlockCtr</x:v>
      </x:c>
      <x:c r="C1369" s="144" t="str">
        <x:v>PDU=RRL_Obj00A; startBit=24; length=4; byteOrder=Little; type=UINT8; factor=1; offset=0; min=0; max=15; unit=-; receivers=RadarRearRight,DASy</x:v>
      </x:c>
      <x:c r="D13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69" s="144" t="str">
        <x:v>M2</x:v>
      </x:c>
      <x:c r="F1369" s="144" t="str">
        <x:v>Signal 级可编辑配置、数据类型/缩放/端序合同、RTE 接口、边界值与 round-trip 测试。</x:v>
      </x:c>
      <x:c r="G1369" s="144" t="str">
        <x:v>raw=0、raw=max、物理 min/max、越界/保留值、端序字节向量、pack→unpack round-trip；1457/1457 通过。</x:v>
      </x:c>
      <x:c r="H1369" s="144" t="str">
        <x:v>coem/BYD_UKE/gen_bsw/Com/Com_PBcfg.c:68302; BYD_5R1V_RadarRearcorner_V2.5_AllNodes.dbc:160</x:v>
      </x:c>
    </x:row>
    <x:row r="1370" ht="72" customHeight="1">
      <x:c r="A1370" s="144" t="str">
        <x:v>Com-Signal</x:v>
      </x:c>
      <x:c r="B1370" s="144" t="str">
        <x:v>COM-SIG-Rx-0458 / RRL_Obj00A_RCS</x:v>
      </x:c>
      <x:c r="C1370" s="144" t="str">
        <x:v>PDU=RRL_Obj00A; startBit=252; length=12; byteOrder=Little; type=UINT16; factor=1（Com原始值）; offset=0（Com原始值）; min=按位宽/类型; max=按位宽/类型; unit=-; receivers=-</x:v>
      </x:c>
      <x:c r="D137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70" s="144" t="str">
        <x:v>M2</x:v>
      </x:c>
      <x:c r="F1370" s="144" t="str">
        <x:v>Signal 级可编辑配置、数据类型/缩放/端序合同、RTE 接口、边界值与 round-trip 测试。</x:v>
      </x:c>
      <x:c r="G1370" s="144" t="str">
        <x:v>raw=0、raw=max、物理 min/max、越界/保留值、端序字节向量、pack→unpack round-trip；1457/1457 通过。</x:v>
      </x:c>
      <x:c r="H1370" s="144" t="str">
        <x:v>coem/BYD_UKE/gen_bsw/Com/Com_PBcfg.c:68362</x:v>
      </x:c>
    </x:row>
    <x:row r="1371" ht="72" customHeight="1">
      <x:c r="A1371" s="144" t="str">
        <x:v>Com-Signal</x:v>
      </x:c>
      <x:c r="B1371" s="144" t="str">
        <x:v>COM-SIG-Rx-0459 / RRL_Obj00A_RefPosIndex</x:v>
      </x:c>
      <x:c r="C1371" s="144" t="str">
        <x:v>PDU=RRL_Obj00A; startBit=224; length=4; byteOrder=Little; type=UINT8; factor=1; offset=0; min=0; max=15; unit=-; receivers=RadarRearRight,DASy</x:v>
      </x:c>
      <x:c r="D13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1" s="144" t="str">
        <x:v>M2</x:v>
      </x:c>
      <x:c r="F1371" s="144" t="str">
        <x:v>Signal 级可编辑配置、数据类型/缩放/端序合同、RTE 接口、边界值与 round-trip 测试。</x:v>
      </x:c>
      <x:c r="G1371" s="144" t="str">
        <x:v>raw=0、raw=max、物理 min/max、越界/保留值、端序字节向量、pack→unpack round-trip；1457/1457 通过。</x:v>
      </x:c>
      <x:c r="H1371" s="144" t="str">
        <x:v>coem/BYD_UKE/gen_bsw/Com/Com_PBcfg.c:68422; BYD_5R1V_RadarRearcorner_V2.5_AllNodes.dbc:162</x:v>
      </x:c>
    </x:row>
    <x:row r="1372" ht="72" customHeight="1">
      <x:c r="A1372" s="144" t="str">
        <x:v>Com-Signal</x:v>
      </x:c>
      <x:c r="B1372" s="144" t="str">
        <x:v>COM-SIG-Rx-0460 / RRL_Obj00A_Valid</x:v>
      </x:c>
      <x:c r="C1372" s="144" t="str">
        <x:v>PDU=RRL_Obj00A; startBit=70; length=1; byteOrder=Little; type=UINT8; factor=1; offset=0; min=0; max=1; unit=-; receivers=RadarRearRight,DASy</x:v>
      </x:c>
      <x:c r="D13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2" s="144" t="str">
        <x:v>M2</x:v>
      </x:c>
      <x:c r="F1372" s="144" t="str">
        <x:v>Signal 级可编辑配置、数据类型/缩放/端序合同、RTE 接口、边界值与 round-trip 测试。</x:v>
      </x:c>
      <x:c r="G1372" s="144" t="str">
        <x:v>raw=0、raw=max、物理 min/max、越界/保留值、端序字节向量、pack→unpack round-trip；1457/1457 通过。</x:v>
      </x:c>
      <x:c r="H1372" s="144" t="str">
        <x:v>coem/BYD_UKE/gen_bsw/Com/Com_PBcfg.c:68482; BYD_5R1V_RadarRearcorner_V2.5_AllNodes.dbc:163</x:v>
      </x:c>
    </x:row>
    <x:row r="1373" ht="72" customHeight="1">
      <x:c r="A1373" s="144" t="str">
        <x:v>Com-Signal</x:v>
      </x:c>
      <x:c r="B1373" s="144" t="str">
        <x:v>COM-SIG-Rx-0461 / RRL_Obj00A_VxAxCoVnce</x:v>
      </x:c>
      <x:c r="C1373" s="144" t="str">
        <x:v>PDU=RRL_Obj00A; startBit=324; length=12; byteOrder=Little; type=UINT16; factor=0.01; offset=0; min=0; max=30; unit=m^2/s^3; receivers=RadarRearRight,DASy</x:v>
      </x:c>
      <x:c r="D13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3" s="144" t="str">
        <x:v>M2</x:v>
      </x:c>
      <x:c r="F1373" s="144" t="str">
        <x:v>Signal 级可编辑配置、数据类型/缩放/端序合同、RTE 接口、边界值与 round-trip 测试。</x:v>
      </x:c>
      <x:c r="G1373" s="144" t="str">
        <x:v>raw=0、raw=max、物理 min/max、越界/保留值、端序字节向量、pack→unpack round-trip；1457/1457 通过。</x:v>
      </x:c>
      <x:c r="H1373" s="144" t="str">
        <x:v>coem/BYD_UKE/gen_bsw/Com/Com_PBcfg.c:68542; BYD_5R1V_RadarRearcorner_V2.5_AllNodes.dbc:191</x:v>
      </x:c>
    </x:row>
    <x:row r="1374" ht="72" customHeight="1">
      <x:c r="A1374" s="144" t="str">
        <x:v>Com-Signal</x:v>
      </x:c>
      <x:c r="B1374" s="144" t="str">
        <x:v>COM-SIG-Rx-0462 / RRL_Obj00A_VxAyCoVnce</x:v>
      </x:c>
      <x:c r="C1374" s="144" t="str">
        <x:v>PDU=RRL_Obj00A; startBit=372; length=12; byteOrder=Little; type=UINT16; factor=0.01; offset=0; min=0; max=30; unit=m^2/s^3; receivers=RadarRearRight,DASy</x:v>
      </x:c>
      <x:c r="D13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4" s="144" t="str">
        <x:v>M2</x:v>
      </x:c>
      <x:c r="F1374" s="144" t="str">
        <x:v>Signal 级可编辑配置、数据类型/缩放/端序合同、RTE 接口、边界值与 round-trip 测试。</x:v>
      </x:c>
      <x:c r="G1374" s="144" t="str">
        <x:v>raw=0、raw=max、物理 min/max、越界/保留值、端序字节向量、pack→unpack round-trip；1457/1457 通过。</x:v>
      </x:c>
      <x:c r="H1374" s="144" t="str">
        <x:v>coem/BYD_UKE/gen_bsw/Com/Com_PBcfg.c:68602; BYD_5R1V_RadarRearcorner_V2.5_AllNodes.dbc:195</x:v>
      </x:c>
    </x:row>
    <x:row r="1375" ht="72" customHeight="1">
      <x:c r="A1375" s="144" t="str">
        <x:v>Com-Signal</x:v>
      </x:c>
      <x:c r="B1375" s="144" t="str">
        <x:v>COM-SIG-Rx-0463 / RRL_Obj00A_VxVnce</x:v>
      </x:c>
      <x:c r="C1375" s="144" t="str">
        <x:v>PDU=RRL_Obj00A; startBit=176; length=12; byteOrder=Little; type=UINT16; factor=0.01; offset=0; min=0; max=30; unit=m^2/s^2; receivers=RadarRearRight,DASy</x:v>
      </x:c>
      <x:c r="D13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5" s="144" t="str">
        <x:v>M2</x:v>
      </x:c>
      <x:c r="F1375" s="144" t="str">
        <x:v>Signal 级可编辑配置、数据类型/缩放/端序合同、RTE 接口、边界值与 round-trip 测试。</x:v>
      </x:c>
      <x:c r="G1375" s="144" t="str">
        <x:v>raw=0、raw=max、物理 min/max、越界/保留值、端序字节向量、pack→unpack round-trip；1457/1457 通过。</x:v>
      </x:c>
      <x:c r="H1375" s="144" t="str">
        <x:v>coem/BYD_UKE/gen_bsw/Com/Com_PBcfg.c:68662; BYD_5R1V_RadarRearcorner_V2.5_AllNodes.dbc:179</x:v>
      </x:c>
    </x:row>
    <x:row r="1376" ht="72" customHeight="1">
      <x:c r="A1376" s="144" t="str">
        <x:v>Com-Signal</x:v>
      </x:c>
      <x:c r="B1376" s="144" t="str">
        <x:v>COM-SIG-Rx-0464 / RRL_Obj00A_VxVyCoVnce</x:v>
      </x:c>
      <x:c r="C1376" s="144" t="str">
        <x:v>PDU=RRL_Obj00A; startBit=288; length=12; byteOrder=Little; type=UINT16; factor=0.01; offset=0; min=0; max=30; unit=m^2/s^2; receivers=RadarRearRight,DASy</x:v>
      </x:c>
      <x:c r="D13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6" s="144" t="str">
        <x:v>M2</x:v>
      </x:c>
      <x:c r="F1376" s="144" t="str">
        <x:v>Signal 级可编辑配置、数据类型/缩放/端序合同、RTE 接口、边界值与 round-trip 测试。</x:v>
      </x:c>
      <x:c r="G1376" s="144" t="str">
        <x:v>raw=0、raw=max、物理 min/max、越界/保留值、端序字节向量、pack→unpack round-trip；1457/1457 通过。</x:v>
      </x:c>
      <x:c r="H1376" s="144" t="str">
        <x:v>coem/BYD_UKE/gen_bsw/Com/Com_PBcfg.c:68722; BYD_5R1V_RadarRearcorner_V2.5_AllNodes.dbc:188</x:v>
      </x:c>
    </x:row>
    <x:row r="1377" ht="72" customHeight="1">
      <x:c r="A1377" s="144" t="str">
        <x:v>Com-Signal</x:v>
      </x:c>
      <x:c r="B1377" s="144" t="str">
        <x:v>COM-SIG-Rx-0465 / RRL_Obj00A_Vx</x:v>
      </x:c>
      <x:c r="C1377" s="144" t="str">
        <x:v>PDU=RRL_Obj00A; startBit=71; length=12; byteOrder=Little; type=UINT16; factor=0.0625; offset=-128; min=-128; max=127.9375; unit=m/s; receivers=RadarRearRight,DASy</x:v>
      </x:c>
      <x:c r="D13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7" s="144" t="str">
        <x:v>M2</x:v>
      </x:c>
      <x:c r="F1377" s="144" t="str">
        <x:v>Signal 级可编辑配置、数据类型/缩放/端序合同、RTE 接口、边界值与 round-trip 测试。</x:v>
      </x:c>
      <x:c r="G1377" s="144" t="str">
        <x:v>raw=0、raw=max、物理 min/max、越界/保留值、端序字节向量、pack→unpack round-trip；1457/1457 通过。</x:v>
      </x:c>
      <x:c r="H1377" s="144" t="str">
        <x:v>coem/BYD_UKE/gen_bsw/Com/Com_PBcfg.c:68782; BYD_5R1V_RadarRearcorner_V2.5_AllNodes.dbc:168</x:v>
      </x:c>
    </x:row>
    <x:row r="1378" ht="72" customHeight="1">
      <x:c r="A1378" s="144" t="str">
        <x:v>Com-Signal</x:v>
      </x:c>
      <x:c r="B1378" s="144" t="str">
        <x:v>COM-SIG-Rx-0466 / RRL_Obj00A_VyAxCoVnce</x:v>
      </x:c>
      <x:c r="C1378" s="144" t="str">
        <x:v>PDU=RRL_Obj00A; startBit=336; length=12; byteOrder=Little; type=UINT16; factor=0.01; offset=0; min=0; max=30; unit=m^2/s^3; receivers=RadarRearRight,DASy</x:v>
      </x:c>
      <x:c r="D13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8" s="144" t="str">
        <x:v>M2</x:v>
      </x:c>
      <x:c r="F1378" s="144" t="str">
        <x:v>Signal 级可编辑配置、数据类型/缩放/端序合同、RTE 接口、边界值与 round-trip 测试。</x:v>
      </x:c>
      <x:c r="G1378" s="144" t="str">
        <x:v>raw=0、raw=max、物理 min/max、越界/保留值、端序字节向量、pack→unpack round-trip；1457/1457 通过。</x:v>
      </x:c>
      <x:c r="H1378" s="144" t="str">
        <x:v>coem/BYD_UKE/gen_bsw/Com/Com_PBcfg.c:68842; BYD_5R1V_RadarRearcorner_V2.5_AllNodes.dbc:192</x:v>
      </x:c>
    </x:row>
    <x:row r="1379" ht="72" customHeight="1">
      <x:c r="A1379" s="144" t="str">
        <x:v>Com-Signal</x:v>
      </x:c>
      <x:c r="B1379" s="144" t="str">
        <x:v>COM-SIG-Rx-0467 / RRL_Obj00A_VyAyCoVnce</x:v>
      </x:c>
      <x:c r="C1379" s="144" t="str">
        <x:v>PDU=RRL_Obj00A; startBit=384; length=12; byteOrder=Little; type=UINT16; factor=0.01; offset=0; min=0; max=30; unit=m^2/s^3; receivers=RadarRearRight,DASy</x:v>
      </x:c>
      <x:c r="D13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79" s="144" t="str">
        <x:v>M2</x:v>
      </x:c>
      <x:c r="F1379" s="144" t="str">
        <x:v>Signal 级可编辑配置、数据类型/缩放/端序合同、RTE 接口、边界值与 round-trip 测试。</x:v>
      </x:c>
      <x:c r="G1379" s="144" t="str">
        <x:v>raw=0、raw=max、物理 min/max、越界/保留值、端序字节向量、pack→unpack round-trip；1457/1457 通过。</x:v>
      </x:c>
      <x:c r="H1379" s="144" t="str">
        <x:v>coem/BYD_UKE/gen_bsw/Com/Com_PBcfg.c:68902; BYD_5R1V_RadarRearcorner_V2.5_AllNodes.dbc:196</x:v>
      </x:c>
    </x:row>
    <x:row r="1380" ht="72" customHeight="1">
      <x:c r="A1380" s="144" t="str">
        <x:v>Com-Signal</x:v>
      </x:c>
      <x:c r="B1380" s="144" t="str">
        <x:v>COM-SIG-Rx-0468 / RRL_Obj00A_VyVnce</x:v>
      </x:c>
      <x:c r="C1380" s="144" t="str">
        <x:v>PDU=RRL_Obj00A; startBit=188; length=12; byteOrder=Little; type=UINT16; factor=0.01; offset=0; min=0; max=30; unit=m^2/s^2; receivers=RadarRearRight,DASy</x:v>
      </x:c>
      <x:c r="D13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0" s="144" t="str">
        <x:v>M2</x:v>
      </x:c>
      <x:c r="F1380" s="144" t="str">
        <x:v>Signal 级可编辑配置、数据类型/缩放/端序合同、RTE 接口、边界值与 round-trip 测试。</x:v>
      </x:c>
      <x:c r="G1380" s="144" t="str">
        <x:v>raw=0、raw=max、物理 min/max、越界/保留值、端序字节向量、pack→unpack round-trip；1457/1457 通过。</x:v>
      </x:c>
      <x:c r="H1380" s="144" t="str">
        <x:v>coem/BYD_UKE/gen_bsw/Com/Com_PBcfg.c:68962; BYD_5R1V_RadarRearcorner_V2.5_AllNodes.dbc:180</x:v>
      </x:c>
    </x:row>
    <x:row r="1381" ht="72" customHeight="1">
      <x:c r="A1381" s="144" t="str">
        <x:v>Com-Signal</x:v>
      </x:c>
      <x:c r="B1381" s="144" t="str">
        <x:v>COM-SIG-Rx-0469 / RRL_Obj00A_Vy</x:v>
      </x:c>
      <x:c r="C1381" s="144" t="str">
        <x:v>PDU=RRL_Obj00A; startBit=83; length=10; byteOrder=Little; type=UINT16; factor=0.125; offset=-64; min=-64; max=63.875; unit=m/s; receivers=RadarRearRight,DASy</x:v>
      </x:c>
      <x:c r="D13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1" s="144" t="str">
        <x:v>M2</x:v>
      </x:c>
      <x:c r="F1381" s="144" t="str">
        <x:v>Signal 级可编辑配置、数据类型/缩放/端序合同、RTE 接口、边界值与 round-trip 测试。</x:v>
      </x:c>
      <x:c r="G1381" s="144" t="str">
        <x:v>raw=0、raw=max、物理 min/max、越界/保留值、端序字节向量、pack→unpack round-trip；1457/1457 通过。</x:v>
      </x:c>
      <x:c r="H1381" s="144" t="str">
        <x:v>coem/BYD_UKE/gen_bsw/Com/Com_PBcfg.c:69022; BYD_5R1V_RadarRearcorner_V2.5_AllNodes.dbc:169</x:v>
      </x:c>
    </x:row>
    <x:row r="1382" ht="72" customHeight="1">
      <x:c r="A1382" s="144" t="str">
        <x:v>Com-Signal</x:v>
      </x:c>
      <x:c r="B1382" s="144" t="str">
        <x:v>COM-SIG-Rx-0470 / RRL_Obj00A_WidthVnce</x:v>
      </x:c>
      <x:c r="C1382" s="144" t="str">
        <x:v>PDU=RRL_Obj00A; startBit=432; length=12; byteOrder=Little; type=UINT16; factor=0.01; offset=0; min=0; max=30; unit=m^2; receivers=RadarRearRight,DASy</x:v>
      </x:c>
      <x:c r="D13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2" s="144" t="str">
        <x:v>M2</x:v>
      </x:c>
      <x:c r="F1382" s="144" t="str">
        <x:v>Signal 级可编辑配置、数据类型/缩放/端序合同、RTE 接口、边界值与 round-trip 测试。</x:v>
      </x:c>
      <x:c r="G1382" s="144" t="str">
        <x:v>raw=0、raw=max、物理 min/max、越界/保留值、端序字节向量、pack→unpack round-trip；1457/1457 通过。</x:v>
      </x:c>
      <x:c r="H1382" s="144" t="str">
        <x:v>coem/BYD_UKE/gen_bsw/Com/Com_PBcfg.c:69082; BYD_5R1V_RadarRearcorner_V2.5_AllNodes.dbc:200</x:v>
      </x:c>
    </x:row>
    <x:row r="1383" ht="72" customHeight="1">
      <x:c r="A1383" s="144" t="str">
        <x:v>Com-Signal</x:v>
      </x:c>
      <x:c r="B1383" s="144" t="str">
        <x:v>COM-SIG-Rx-0471 / RRL_Obj00A_Width</x:v>
      </x:c>
      <x:c r="C1383" s="144" t="str">
        <x:v>PDU=RRL_Obj00A; startBit=128; length=7; byteOrder=Little; type=UINT8; factor=0.125; offset=0; min=0; max=15.875; unit=m; receivers=RadarRearRight,DASy</x:v>
      </x:c>
      <x:c r="D13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3" s="144" t="str">
        <x:v>M2</x:v>
      </x:c>
      <x:c r="F1383" s="144" t="str">
        <x:v>Signal 级可编辑配置、数据类型/缩放/端序合同、RTE 接口、边界值与 round-trip 测试。</x:v>
      </x:c>
      <x:c r="G1383" s="144" t="str">
        <x:v>raw=0、raw=max、物理 min/max、越界/保留值、端序字节向量、pack→unpack round-trip；1457/1457 通过。</x:v>
      </x:c>
      <x:c r="H1383" s="144" t="str">
        <x:v>coem/BYD_UKE/gen_bsw/Com/Com_PBcfg.c:69142; BYD_5R1V_RadarRearcorner_V2.5_AllNodes.dbc:174</x:v>
      </x:c>
    </x:row>
    <x:row r="1384" ht="72" customHeight="1">
      <x:c r="A1384" s="144" t="str">
        <x:v>Com-Signal</x:v>
      </x:c>
      <x:c r="B1384" s="144" t="str">
        <x:v>COM-SIG-Rx-0472 / RRL_Obj00A_Type</x:v>
      </x:c>
      <x:c r="C1384" s="144" t="str">
        <x:v>PDU=RRL_Obj00B; startBit=82; length=6; byteOrder=Little; type=UINT8; factor=1（Com原始值）; offset=0（Com原始值）; min=按位宽/类型; max=按位宽/类型; unit=-; receivers=-</x:v>
      </x:c>
      <x:c r="D138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84" s="144" t="str">
        <x:v>M2</x:v>
      </x:c>
      <x:c r="F1384" s="144" t="str">
        <x:v>Signal 级可编辑配置、数据类型/缩放/端序合同、RTE 接口、边界值与 round-trip 测试。</x:v>
      </x:c>
      <x:c r="G1384" s="144" t="str">
        <x:v>raw=0、raw=max、物理 min/max、越界/保留值、端序字节向量、pack→unpack round-trip；1457/1457 通过。</x:v>
      </x:c>
      <x:c r="H1384" s="144" t="str">
        <x:v>coem/BYD_UKE/gen_bsw/Com/Com_PBcfg.c:69202</x:v>
      </x:c>
    </x:row>
    <x:row r="1385" ht="72" customHeight="1">
      <x:c r="A1385" s="144" t="str">
        <x:v>Com-Signal</x:v>
      </x:c>
      <x:c r="B1385" s="144" t="str">
        <x:v>COM-SIG-Rx-0473 / RRL_Obj00B_AliveCtr</x:v>
      </x:c>
      <x:c r="C1385" s="144" t="str">
        <x:v>PDU=RRL_Obj00B; startBit=16; length=8; byteOrder=Little; type=UINT8; factor=1; offset=0; min=0; max=255; unit=-; receivers=RadarRearRight,DASy</x:v>
      </x:c>
      <x:c r="D13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5" s="144" t="str">
        <x:v>M2</x:v>
      </x:c>
      <x:c r="F1385" s="144" t="str">
        <x:v>Signal 级可编辑配置、数据类型/缩放/端序合同、RTE 接口、边界值与 round-trip 测试。</x:v>
      </x:c>
      <x:c r="G1385" s="144" t="str">
        <x:v>raw=0、raw=max、物理 min/max、越界/保留值、端序字节向量、pack→unpack round-trip；1457/1457 通过。</x:v>
      </x:c>
      <x:c r="H1385" s="144" t="str">
        <x:v>coem/BYD_UKE/gen_bsw/Com/Com_PBcfg.c:69262; BYD_5R1V_RadarRearcorner_V2.5_AllNodes.dbc:212</x:v>
      </x:c>
    </x:row>
    <x:row r="1386" ht="72" customHeight="1">
      <x:c r="A1386" s="144" t="str">
        <x:v>Com-Signal</x:v>
      </x:c>
      <x:c r="B1386" s="144" t="str">
        <x:v>COM-SIG-Rx-0474 / RRL_Obj00B_BehaviorType</x:v>
      </x:c>
      <x:c r="C1386" s="144" t="str">
        <x:v>PDU=RRL_Obj00B; startBit=88; length=3; byteOrder=Little; type=UINT8; factor=1; offset=0; min=0; max=7; unit=-; receivers=RadarRearRight,DASy</x:v>
      </x:c>
      <x:c r="D13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6" s="144" t="str">
        <x:v>M2</x:v>
      </x:c>
      <x:c r="F1386" s="144" t="str">
        <x:v>Signal 级可编辑配置、数据类型/缩放/端序合同、RTE 接口、边界值与 round-trip 测试。</x:v>
      </x:c>
      <x:c r="G1386" s="144" t="str">
        <x:v>raw=0、raw=max、物理 min/max、越界/保留值、端序字节向量、pack→unpack round-trip；1457/1457 通过。</x:v>
      </x:c>
      <x:c r="H1386" s="144" t="str">
        <x:v>coem/BYD_UKE/gen_bsw/Com/Com_PBcfg.c:69322; BYD_5R1V_RadarRearcorner_V2.5_AllNodes.dbc:220</x:v>
      </x:c>
    </x:row>
    <x:row r="1387" ht="72" customHeight="1">
      <x:c r="A1387" s="144" t="str">
        <x:v>Com-Signal</x:v>
      </x:c>
      <x:c r="B1387" s="144" t="str">
        <x:v>COM-SIG-Rx-0475 / RRL_Obj00B_CRC</x:v>
      </x:c>
      <x:c r="C1387" s="144" t="str">
        <x:v>PDU=RRL_Obj00B; startBit=0; length=16; byteOrder=Little; type=UINT16; factor=1; offset=0; min=0; max=65535; unit=-; receivers=RadarRearRight,DASy</x:v>
      </x:c>
      <x:c r="D13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7" s="144" t="str">
        <x:v>M2</x:v>
      </x:c>
      <x:c r="F1387" s="144" t="str">
        <x:v>Signal 级可编辑配置、数据类型/缩放/端序合同、RTE 接口、边界值与 round-trip 测试。</x:v>
      </x:c>
      <x:c r="G1387" s="144" t="str">
        <x:v>raw=0、raw=max、物理 min/max、越界/保留值、端序字节向量、pack→unpack round-trip；1457/1457 通过。</x:v>
      </x:c>
      <x:c r="H1387" s="144" t="str">
        <x:v>coem/BYD_UKE/gen_bsw/Com/Com_PBcfg.c:69382; BYD_5R1V_RadarRearcorner_V2.5_AllNodes.dbc:211</x:v>
      </x:c>
    </x:row>
    <x:row r="1388" ht="72" customHeight="1">
      <x:c r="A1388" s="144" t="str">
        <x:v>Com-Signal</x:v>
      </x:c>
      <x:c r="B1388" s="144" t="str">
        <x:v>COM-SIG-Rx-0476 / RRL_Obj00B_MovingProbability</x:v>
      </x:c>
      <x:c r="C1388" s="144" t="str">
        <x:v>PDU=RRL_Obj00B; startBit=76; length=6; byteOrder=Little; type=UINT8; factor=2; offset=0; min=0; max=100; unit=%; receivers=RadarRearRight,DASy</x:v>
      </x:c>
      <x:c r="D13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8" s="144" t="str">
        <x:v>M2</x:v>
      </x:c>
      <x:c r="F1388" s="144" t="str">
        <x:v>Signal 级可编辑配置、数据类型/缩放/端序合同、RTE 接口、边界值与 round-trip 测试。</x:v>
      </x:c>
      <x:c r="G1388" s="144" t="str">
        <x:v>raw=0、raw=max、物理 min/max、越界/保留值、端序字节向量、pack→unpack round-trip；1457/1457 通过。</x:v>
      </x:c>
      <x:c r="H1388" s="144" t="str">
        <x:v>coem/BYD_UKE/gen_bsw/Com/Com_PBcfg.c:69442; BYD_5R1V_RadarRearcorner_V2.5_AllNodes.dbc:208</x:v>
      </x:c>
    </x:row>
    <x:row r="1389" ht="72" customHeight="1">
      <x:c r="A1389" s="144" t="str">
        <x:v>Com-Signal</x:v>
      </x:c>
      <x:c r="B1389" s="144" t="str">
        <x:v>COM-SIG-Rx-0477 / RRL_Obj00B_Prob4PlusWhlCAR</x:v>
      </x:c>
      <x:c r="C1389" s="144" t="str">
        <x:v>PDU=RRL_Obj00B; startBit=46; length=6; byteOrder=Little; type=UINT8; factor=2; offset=0; min=0; max=100; unit=%; receivers=RadarRearRight,DASy</x:v>
      </x:c>
      <x:c r="D13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89" s="144" t="str">
        <x:v>M2</x:v>
      </x:c>
      <x:c r="F1389" s="144" t="str">
        <x:v>Signal 级可编辑配置、数据类型/缩放/端序合同、RTE 接口、边界值与 round-trip 测试。</x:v>
      </x:c>
      <x:c r="G1389" s="144" t="str">
        <x:v>raw=0、raw=max、物理 min/max、越界/保留值、端序字节向量、pack→unpack round-trip；1457/1457 通过。</x:v>
      </x:c>
      <x:c r="H1389" s="144" t="str">
        <x:v>coem/BYD_UKE/gen_bsw/Com/Com_PBcfg.c:69502; BYD_5R1V_RadarRearcorner_V2.5_AllNodes.dbc:217</x:v>
      </x:c>
    </x:row>
    <x:row r="1390" ht="72" customHeight="1">
      <x:c r="A1390" s="144" t="str">
        <x:v>Com-Signal</x:v>
      </x:c>
      <x:c r="B1390" s="144" t="str">
        <x:v>COM-SIG-Rx-0478 / RRL_Obj00B_Prob4PlusWhlbHGV</x:v>
      </x:c>
      <x:c r="C1390" s="144" t="str">
        <x:v>PDU=RRL_Obj00B; startBit=52; length=6; byteOrder=Little; type=UINT8; factor=2; offset=0; min=0; max=100; unit=%; receivers=RadarRearRight,DASy</x:v>
      </x:c>
      <x:c r="D13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0" s="144" t="str">
        <x:v>M2</x:v>
      </x:c>
      <x:c r="F1390" s="144" t="str">
        <x:v>Signal 级可编辑配置、数据类型/缩放/端序合同、RTE 接口、边界值与 round-trip 测试。</x:v>
      </x:c>
      <x:c r="G1390" s="144" t="str">
        <x:v>raw=0、raw=max、物理 min/max、越界/保留值、端序字节向量、pack→unpack round-trip；1457/1457 通过。</x:v>
      </x:c>
      <x:c r="H1390" s="144" t="str">
        <x:v>coem/BYD_UKE/gen_bsw/Com/Com_PBcfg.c:69562; BYD_5R1V_RadarRearcorner_V2.5_AllNodes.dbc:218</x:v>
      </x:c>
    </x:row>
    <x:row r="1391" ht="72" customHeight="1">
      <x:c r="A1391" s="144" t="str">
        <x:v>Com-Signal</x:v>
      </x:c>
      <x:c r="B1391" s="144" t="str">
        <x:v>COM-SIG-Rx-0479 / RRL_Obj00B_ProbGNDReflex</x:v>
      </x:c>
      <x:c r="C1391" s="144" t="str">
        <x:v>PDU=RRL_Obj00B; startBit=58; length=6; byteOrder=Little; type=UINT8; factor=2; offset=0; min=0; max=100; unit=%; receivers=RadarRearRight,DASy</x:v>
      </x:c>
      <x:c r="D13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1" s="144" t="str">
        <x:v>M2</x:v>
      </x:c>
      <x:c r="F1391" s="144" t="str">
        <x:v>Signal 级可编辑配置、数据类型/缩放/端序合同、RTE 接口、边界值与 round-trip 测试。</x:v>
      </x:c>
      <x:c r="G1391" s="144" t="str">
        <x:v>raw=0、raw=max、物理 min/max、越界/保留值、端序字节向量、pack→unpack round-trip；1457/1457 通过。</x:v>
      </x:c>
      <x:c r="H1391" s="144" t="str">
        <x:v>coem/BYD_UKE/gen_bsw/Com/Com_PBcfg.c:69622; BYD_5R1V_RadarRearcorner_V2.5_AllNodes.dbc:219</x:v>
      </x:c>
    </x:row>
    <x:row r="1392" ht="72" customHeight="1">
      <x:c r="A1392" s="144" t="str">
        <x:v>Com-Signal</x:v>
      </x:c>
      <x:c r="B1392" s="144" t="str">
        <x:v>COM-SIG-Rx-0480 / RRL_Obj00B_ProbMob2Whl</x:v>
      </x:c>
      <x:c r="C1392" s="144" t="str">
        <x:v>PDU=RRL_Obj00B; startBit=34; length=6; byteOrder=Little; type=UINT8; factor=2; offset=0; min=0; max=100; unit=%; receivers=RadarRearRight,DASy</x:v>
      </x:c>
      <x:c r="D13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2" s="144" t="str">
        <x:v>M2</x:v>
      </x:c>
      <x:c r="F1392" s="144" t="str">
        <x:v>Signal 级可编辑配置、数据类型/缩放/端序合同、RTE 接口、边界值与 round-trip 测试。</x:v>
      </x:c>
      <x:c r="G1392" s="144" t="str">
        <x:v>raw=0、raw=max、物理 min/max、越界/保留值、端序字节向量、pack→unpack round-trip；1457/1457 通过。</x:v>
      </x:c>
      <x:c r="H1392" s="144" t="str">
        <x:v>coem/BYD_UKE/gen_bsw/Com/Com_PBcfg.c:69682; BYD_5R1V_RadarRearcorner_V2.5_AllNodes.dbc:215</x:v>
      </x:c>
    </x:row>
    <x:row r="1393" ht="72" customHeight="1">
      <x:c r="A1393" s="144" t="str">
        <x:v>Com-Signal</x:v>
      </x:c>
      <x:c r="B1393" s="144" t="str">
        <x:v>COM-SIG-Rx-0481 / RRL_Obj00B_ProbMob4PlusWhl</x:v>
      </x:c>
      <x:c r="C1393" s="144" t="str">
        <x:v>PDU=RRL_Obj00B; startBit=28; length=6; byteOrder=Little; type=UINT8; factor=2; offset=0; min=0; max=100; unit=%; receivers=RadarRearRight,DASy</x:v>
      </x:c>
      <x:c r="D13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3" s="144" t="str">
        <x:v>M2</x:v>
      </x:c>
      <x:c r="F1393" s="144" t="str">
        <x:v>Signal 级可编辑配置、数据类型/缩放/端序合同、RTE 接口、边界值与 round-trip 测试。</x:v>
      </x:c>
      <x:c r="G1393" s="144" t="str">
        <x:v>raw=0、raw=max、物理 min/max、越界/保留值、端序字节向量、pack→unpack round-trip；1457/1457 通过。</x:v>
      </x:c>
      <x:c r="H1393" s="144" t="str">
        <x:v>coem/BYD_UKE/gen_bsw/Com/Com_PBcfg.c:69742; BYD_5R1V_RadarRearcorner_V2.5_AllNodes.dbc:214</x:v>
      </x:c>
    </x:row>
    <x:row r="1394" ht="72" customHeight="1">
      <x:c r="A1394" s="144" t="str">
        <x:v>Com-Signal</x:v>
      </x:c>
      <x:c r="B1394" s="144" t="str">
        <x:v>COM-SIG-Rx-0482 / RRL_Obj00B_ProbMobPed</x:v>
      </x:c>
      <x:c r="C1394" s="144" t="str">
        <x:v>PDU=RRL_Obj00B; startBit=40; length=6; byteOrder=Little; type=UINT8; factor=2; offset=0; min=0; max=100; unit=%; receivers=RadarRearRight,DASy</x:v>
      </x:c>
      <x:c r="D13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4" s="144" t="str">
        <x:v>M2</x:v>
      </x:c>
      <x:c r="F1394" s="144" t="str">
        <x:v>Signal 级可编辑配置、数据类型/缩放/端序合同、RTE 接口、边界值与 round-trip 测试。</x:v>
      </x:c>
      <x:c r="G1394" s="144" t="str">
        <x:v>raw=0、raw=max、物理 min/max、越界/保留值、端序字节向量、pack→unpack round-trip；1457/1457 通过。</x:v>
      </x:c>
      <x:c r="H1394" s="144" t="str">
        <x:v>coem/BYD_UKE/gen_bsw/Com/Com_PBcfg.c:69802; BYD_5R1V_RadarRearcorner_V2.5_AllNodes.dbc:216</x:v>
      </x:c>
    </x:row>
    <x:row r="1395" ht="72" customHeight="1">
      <x:c r="A1395" s="144" t="str">
        <x:v>Com-Signal</x:v>
      </x:c>
      <x:c r="B1395" s="144" t="str">
        <x:v>COM-SIG-Rx-0483 / RRL_Obj00B_ProbStatBarrier</x:v>
      </x:c>
      <x:c r="C1395" s="144" t="str">
        <x:v>PDU=RRL_Obj00B; startBit=64; length=6; byteOrder=Little; type=UINT8; factor=2; offset=0; min=0; max=100; unit=%; receivers=RadarRearRight,DASy</x:v>
      </x:c>
      <x:c r="D139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5" s="144" t="str">
        <x:v>M2</x:v>
      </x:c>
      <x:c r="F1395" s="144" t="str">
        <x:v>Signal 级可编辑配置、数据类型/缩放/端序合同、RTE 接口、边界值与 round-trip 测试。</x:v>
      </x:c>
      <x:c r="G1395" s="144" t="str">
        <x:v>raw=0、raw=max、物理 min/max、越界/保留值、端序字节向量、pack→unpack round-trip；1457/1457 通过。</x:v>
      </x:c>
      <x:c r="H1395" s="144" t="str">
        <x:v>coem/BYD_UKE/gen_bsw/Com/Com_PBcfg.c:69862; BYD_5R1V_RadarRearcorner_V2.5_AllNodes.dbc:210</x:v>
      </x:c>
    </x:row>
    <x:row r="1396" ht="72" customHeight="1">
      <x:c r="A1396" s="144" t="str">
        <x:v>Com-Signal</x:v>
      </x:c>
      <x:c r="B1396" s="144" t="str">
        <x:v>COM-SIG-Rx-0484 / RRL_Obj00B_ProbStatObst</x:v>
      </x:c>
      <x:c r="C1396" s="144" t="str">
        <x:v>PDU=RRL_Obj00B; startBit=70; length=6; byteOrder=Little; type=UINT8; factor=2; offset=0; min=0; max=100; unit=%; receivers=RadarRearRight,DASy</x:v>
      </x:c>
      <x:c r="D13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6" s="144" t="str">
        <x:v>M2</x:v>
      </x:c>
      <x:c r="F1396" s="144" t="str">
        <x:v>Signal 级可编辑配置、数据类型/缩放/端序合同、RTE 接口、边界值与 round-trip 测试。</x:v>
      </x:c>
      <x:c r="G1396" s="144" t="str">
        <x:v>raw=0、raw=max、物理 min/max、越界/保留值、端序字节向量、pack→unpack round-trip；1457/1457 通过。</x:v>
      </x:c>
      <x:c r="H1396" s="144" t="str">
        <x:v>coem/BYD_UKE/gen_bsw/Com/Com_PBcfg.c:69922; BYD_5R1V_RadarRearcorner_V2.5_AllNodes.dbc:209</x:v>
      </x:c>
    </x:row>
    <x:row r="1397" ht="72" customHeight="1">
      <x:c r="A1397" s="144" t="str">
        <x:v>Com-Signal</x:v>
      </x:c>
      <x:c r="B1397" s="144" t="str">
        <x:v>COM-SIG-Rx-0485 / RRL_Obj00B_ProtBlockCtr</x:v>
      </x:c>
      <x:c r="C1397" s="144" t="str">
        <x:v>PDU=RRL_Obj00B; startBit=24; length=4; byteOrder=Little; type=UINT8; factor=1; offset=0; min=0; max=15; unit=-; receivers=RadarRearRight,DASy</x:v>
      </x:c>
      <x:c r="D13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7" s="144" t="str">
        <x:v>M2</x:v>
      </x:c>
      <x:c r="F1397" s="144" t="str">
        <x:v>Signal 级可编辑配置、数据类型/缩放/端序合同、RTE 接口、边界值与 round-trip 测试。</x:v>
      </x:c>
      <x:c r="G1397" s="144" t="str">
        <x:v>raw=0、raw=max、物理 min/max、越界/保留值、端序字节向量、pack→unpack round-trip；1457/1457 通过。</x:v>
      </x:c>
      <x:c r="H1397" s="144" t="str">
        <x:v>coem/BYD_UKE/gen_bsw/Com/Com_PBcfg.c:69982; BYD_5R1V_RadarRearcorner_V2.5_AllNodes.dbc:213</x:v>
      </x:c>
    </x:row>
    <x:row r="1398" ht="72" customHeight="1">
      <x:c r="A1398" s="144" t="str">
        <x:v>Com-Signal</x:v>
      </x:c>
      <x:c r="B1398" s="144" t="str">
        <x:v>COM-SIG-Rx-0486 / RRL_Modulation_Status</x:v>
      </x:c>
      <x:c r="C1398" s="144" t="str">
        <x:v>PDU=RRL_Status; startBit=16; length=2; byteOrder=Little; type=UINT8; factor=1; offset=0; min=0; max=3; unit=-; receivers=RadarRearRight,DASy</x:v>
      </x:c>
      <x:c r="D13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8" s="144" t="str">
        <x:v>M2</x:v>
      </x:c>
      <x:c r="F1398" s="144" t="str">
        <x:v>Signal 级可编辑配置、数据类型/缩放/端序合同、RTE 接口、边界值与 round-trip 测试。</x:v>
      </x:c>
      <x:c r="G1398" s="144" t="str">
        <x:v>raw=0、raw=max、物理 min/max、越界/保留值、端序字节向量、pack→unpack round-trip；1457/1457 通过。</x:v>
      </x:c>
      <x:c r="H1398" s="144" t="str">
        <x:v>coem/BYD_UKE/gen_bsw/Com/Com_PBcfg.c:70042; BYD_5R1V_RadarRearcorner_V2.5_AllNodes.dbc:116</x:v>
      </x:c>
    </x:row>
    <x:row r="1399" ht="72" customHeight="1">
      <x:c r="A1399" s="144" t="str">
        <x:v>Com-Signal</x:v>
      </x:c>
      <x:c r="B1399" s="144" t="str">
        <x:v>COM-SIG-Rx-0487 / RRL_Status_AliveCtr</x:v>
      </x:c>
      <x:c r="C1399" s="144" t="str">
        <x:v>PDU=RRL_Status; startBit=8; length=4; byteOrder=Little; type=UINT8; factor=1; offset=0; min=0; max=14; unit=-; receivers=RadarRearRight,DASy</x:v>
      </x:c>
      <x:c r="D139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399" s="144" t="str">
        <x:v>M2</x:v>
      </x:c>
      <x:c r="F1399" s="144" t="str">
        <x:v>Signal 级可编辑配置、数据类型/缩放/端序合同、RTE 接口、边界值与 round-trip 测试。</x:v>
      </x:c>
      <x:c r="G1399" s="144" t="str">
        <x:v>raw=0、raw=max、物理 min/max、越界/保留值、端序字节向量、pack→unpack round-trip；1457/1457 通过。</x:v>
      </x:c>
      <x:c r="H1399" s="144" t="str">
        <x:v>coem/BYD_UKE/gen_bsw/Com/Com_PBcfg.c:70102; BYD_5R1V_RadarRearcorner_V2.5_AllNodes.dbc:114</x:v>
      </x:c>
    </x:row>
    <x:row r="1400" ht="72" customHeight="1">
      <x:c r="A1400" s="144" t="str">
        <x:v>Com-Signal</x:v>
      </x:c>
      <x:c r="B1400" s="144" t="str">
        <x:v>COM-SIG-Rx-0488 / RRL_Status_CRC</x:v>
      </x:c>
      <x:c r="C1400" s="144" t="str">
        <x:v>PDU=RRL_Status; startBit=0; length=8; byteOrder=Little; type=UINT8; factor=1; offset=0; min=0; max=255; unit=-; receivers=RadarRearRight,DASy</x:v>
      </x:c>
      <x:c r="D140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0" s="144" t="str">
        <x:v>M2</x:v>
      </x:c>
      <x:c r="F1400" s="144" t="str">
        <x:v>Signal 级可编辑配置、数据类型/缩放/端序合同、RTE 接口、边界值与 round-trip 测试。</x:v>
      </x:c>
      <x:c r="G1400" s="144" t="str">
        <x:v>raw=0、raw=max、物理 min/max、越界/保留值、端序字节向量、pack→unpack round-trip；1457/1457 通过。</x:v>
      </x:c>
      <x:c r="H1400" s="144" t="str">
        <x:v>coem/BYD_UKE/gen_bsw/Com/Com_PBcfg.c:70162; BYD_5R1V_RadarRearcorner_V2.5_AllNodes.dbc:113</x:v>
      </x:c>
    </x:row>
    <x:row r="1401" ht="72" customHeight="1">
      <x:c r="A1401" s="144" t="str">
        <x:v>Com-Signal</x:v>
      </x:c>
      <x:c r="B1401" s="144" t="str">
        <x:v>COM-SIG-Rx-0489 / RRL_Status_SensorState</x:v>
      </x:c>
      <x:c r="C1401" s="144" t="str">
        <x:v>PDU=RRL_Status; startBit=12; length=4; byteOrder=Little; type=UINT8; factor=1; offset=0; min=0; max=15; unit=-; receivers=RadarRearRight,DASy</x:v>
      </x:c>
      <x:c r="D140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1" s="144" t="str">
        <x:v>M2</x:v>
      </x:c>
      <x:c r="F1401" s="144" t="str">
        <x:v>Signal 级可编辑配置、数据类型/缩放/端序合同、RTE 接口、边界值与 round-trip 测试。</x:v>
      </x:c>
      <x:c r="G1401" s="144" t="str">
        <x:v>raw=0、raw=max、物理 min/max、越界/保留值、端序字节向量、pack→unpack round-trip；1457/1457 通过。</x:v>
      </x:c>
      <x:c r="H1401" s="144" t="str">
        <x:v>coem/BYD_UKE/gen_bsw/Com/Com_PBcfg.c:70222; BYD_5R1V_RadarRearcorner_V2.5_AllNodes.dbc:115</x:v>
      </x:c>
    </x:row>
    <x:row r="1402" ht="72" customHeight="1">
      <x:c r="A1402" s="144" t="str">
        <x:v>Com-Signal</x:v>
      </x:c>
      <x:c r="B1402" s="144" t="str">
        <x:v>COM-SIG-Rx-0490 / RRR_BSDSelReq_Rx</x:v>
      </x:c>
      <x:c r="C1402" s="144" t="str">
        <x:v>PDU=RRR_HU_SelReq_Rx; startBit=12; length=2; byteOrder=Little; type=UINT8; factor=1; offset=0; min=0; max=3; unit=-; receivers=RadarRearRight</x:v>
      </x:c>
      <x:c r="D140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2" s="144" t="str">
        <x:v>M2</x:v>
      </x:c>
      <x:c r="F1402" s="144" t="str">
        <x:v>Signal 级可编辑配置、数据类型/缩放/端序合同、RTE 接口、边界值与 round-trip 测试。</x:v>
      </x:c>
      <x:c r="G1402" s="144" t="str">
        <x:v>raw=0、raw=max、物理 min/max、越界/保留值、端序字节向量、pack→unpack round-trip；1457/1457 通过。</x:v>
      </x:c>
      <x:c r="H1402" s="144" t="str">
        <x:v>coem/BYD_UKE/gen_bsw/Com/Com_PBcfg.c:70282; BYD_5R1V_RadarRearcorner_V2.5_AllNodes.dbc:101</x:v>
      </x:c>
    </x:row>
    <x:row r="1403" ht="72" customHeight="1">
      <x:c r="A1403" s="144" t="str">
        <x:v>Com-Signal</x:v>
      </x:c>
      <x:c r="B1403" s="144" t="str">
        <x:v>COM-SIG-Rx-0491 / RRR_DOWSelReq_Rx</x:v>
      </x:c>
      <x:c r="C1403" s="144" t="str">
        <x:v>PDU=RRR_HU_SelReq_Rx; startBit=14; length=2; byteOrder=Little; type=UINT8; factor=1; offset=0; min=0; max=3; unit=-; receivers=RadarRearRight</x:v>
      </x:c>
      <x:c r="D140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3" s="144" t="str">
        <x:v>M2</x:v>
      </x:c>
      <x:c r="F1403" s="144" t="str">
        <x:v>Signal 级可编辑配置、数据类型/缩放/端序合同、RTE 接口、边界值与 round-trip 测试。</x:v>
      </x:c>
      <x:c r="G1403" s="144" t="str">
        <x:v>raw=0、raw=max、物理 min/max、越界/保留值、端序字节向量、pack→unpack round-trip；1457/1457 通过。</x:v>
      </x:c>
      <x:c r="H1403" s="144" t="str">
        <x:v>coem/BYD_UKE/gen_bsw/Com/Com_PBcfg.c:70342; BYD_5R1V_RadarRearcorner_V2.5_AllNodes.dbc:100</x:v>
      </x:c>
    </x:row>
    <x:row r="1404" ht="72" customHeight="1">
      <x:c r="A1404" s="144" t="str">
        <x:v>Com-Signal</x:v>
      </x:c>
      <x:c r="B1404" s="144" t="str">
        <x:v>COM-SIG-Rx-0492 / RRR_HU_SelReq_AliveCtr_Rx</x:v>
      </x:c>
      <x:c r="C1404" s="144" t="str">
        <x:v>PDU=RRR_HU_SelReq_Rx; startBit=8; length=4; byteOrder=Little; type=UINT8; factor=1; offset=0; min=0; max=14; unit=-; receivers=RadarRearRight</x:v>
      </x:c>
      <x:c r="D140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4" s="144" t="str">
        <x:v>M2</x:v>
      </x:c>
      <x:c r="F1404" s="144" t="str">
        <x:v>Signal 级可编辑配置、数据类型/缩放/端序合同、RTE 接口、边界值与 round-trip 测试。</x:v>
      </x:c>
      <x:c r="G1404" s="144" t="str">
        <x:v>raw=0、raw=max、物理 min/max、越界/保留值、端序字节向量、pack→unpack round-trip；1457/1457 通过。</x:v>
      </x:c>
      <x:c r="H1404" s="144" t="str">
        <x:v>coem/BYD_UKE/gen_bsw/Com/Com_PBcfg.c:70402; BYD_5R1V_RadarRearcorner_V2.5_AllNodes.dbc:99</x:v>
      </x:c>
    </x:row>
    <x:row r="1405" ht="72" customHeight="1">
      <x:c r="A1405" s="144" t="str">
        <x:v>Com-Signal</x:v>
      </x:c>
      <x:c r="B1405" s="144" t="str">
        <x:v>COM-SIG-Rx-0493 / RRR_HU_SelReq_CRC_Rx</x:v>
      </x:c>
      <x:c r="C1405" s="144" t="str">
        <x:v>PDU=RRR_HU_SelReq_Rx; startBit=0; length=8; byteOrder=Little; type=UINT8; factor=1; offset=0; min=0; max=255; unit=-; receivers=RadarRearRight</x:v>
      </x:c>
      <x:c r="D140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5" s="144" t="str">
        <x:v>M2</x:v>
      </x:c>
      <x:c r="F1405" s="144" t="str">
        <x:v>Signal 级可编辑配置、数据类型/缩放/端序合同、RTE 接口、边界值与 round-trip 测试。</x:v>
      </x:c>
      <x:c r="G1405" s="144" t="str">
        <x:v>raw=0、raw=max、物理 min/max、越界/保留值、端序字节向量、pack→unpack round-trip；1457/1457 通过。</x:v>
      </x:c>
      <x:c r="H1405" s="144" t="str">
        <x:v>coem/BYD_UKE/gen_bsw/Com/Com_PBcfg.c:70462; BYD_5R1V_RadarRearcorner_V2.5_AllNodes.dbc:98</x:v>
      </x:c>
    </x:row>
    <x:row r="1406" ht="72" customHeight="1">
      <x:c r="A1406" s="144" t="str">
        <x:v>Com-Signal</x:v>
      </x:c>
      <x:c r="B1406" s="144" t="str">
        <x:v>COM-SIG-Rx-0494 / RRR_LCASelReq_Rx</x:v>
      </x:c>
      <x:c r="C1406" s="144" t="str">
        <x:v>PDU=RRR_HU_SelReq_Rx; startBit=16; length=2; byteOrder=Little; type=UINT8; factor=1; offset=0; min=0; max=3; unit=-; receivers=RadarRearRight</x:v>
      </x:c>
      <x:c r="D140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6" s="144" t="str">
        <x:v>M2</x:v>
      </x:c>
      <x:c r="F1406" s="144" t="str">
        <x:v>Signal 级可编辑配置、数据类型/缩放/端序合同、RTE 接口、边界值与 round-trip 测试。</x:v>
      </x:c>
      <x:c r="G1406" s="144" t="str">
        <x:v>raw=0、raw=max、物理 min/max、越界/保留值、端序字节向量、pack→unpack round-trip；1457/1457 通过。</x:v>
      </x:c>
      <x:c r="H1406" s="144" t="str">
        <x:v>coem/BYD_UKE/gen_bsw/Com/Com_PBcfg.c:70522; BYD_5R1V_RadarRearcorner_V2.5_AllNodes.dbc:97</x:v>
      </x:c>
    </x:row>
    <x:row r="1407" ht="72" customHeight="1">
      <x:c r="A1407" s="144" t="str">
        <x:v>Com-Signal</x:v>
      </x:c>
      <x:c r="B1407" s="144" t="str">
        <x:v>COM-SIG-Rx-0495 / RRR_RCTSysSelReq_Rx</x:v>
      </x:c>
      <x:c r="C1407" s="144" t="str">
        <x:v>PDU=RRR_HU_SelReq_Rx; startBit=20; length=2; byteOrder=Little; type=UINT8; factor=1; offset=0; min=0; max=3; unit=-; receivers=RadarRearRight</x:v>
      </x:c>
      <x:c r="D140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7" s="144" t="str">
        <x:v>M2</x:v>
      </x:c>
      <x:c r="F1407" s="144" t="str">
        <x:v>Signal 级可编辑配置、数据类型/缩放/端序合同、RTE 接口、边界值与 round-trip 测试。</x:v>
      </x:c>
      <x:c r="G1407" s="144" t="str">
        <x:v>raw=0、raw=max、物理 min/max、越界/保留值、端序字节向量、pack→unpack round-trip；1457/1457 通过。</x:v>
      </x:c>
      <x:c r="H1407" s="144" t="str">
        <x:v>coem/BYD_UKE/gen_bsw/Com/Com_PBcfg.c:70582; BYD_5R1V_RadarRearcorner_V2.5_AllNodes.dbc:96</x:v>
      </x:c>
    </x:row>
    <x:row r="1408" ht="72" customHeight="1">
      <x:c r="A1408" s="144" t="str">
        <x:v>Com-Signal</x:v>
      </x:c>
      <x:c r="B1408" s="144" t="str">
        <x:v>COM-SIG-Rx-0496 / RRR_RCWSelReq_Rx</x:v>
      </x:c>
      <x:c r="C1408" s="144" t="str">
        <x:v>PDU=RRR_HU_SelReq_Rx; startBit=18; length=2; byteOrder=Little; type=UINT8; factor=1; offset=0; min=0; max=3; unit=-; receivers=RadarRearRight</x:v>
      </x:c>
      <x:c r="D140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08" s="144" t="str">
        <x:v>M2</x:v>
      </x:c>
      <x:c r="F1408" s="144" t="str">
        <x:v>Signal 级可编辑配置、数据类型/缩放/端序合同、RTE 接口、边界值与 round-trip 测试。</x:v>
      </x:c>
      <x:c r="G1408" s="144" t="str">
        <x:v>raw=0、raw=max、物理 min/max、越界/保留值、端序字节向量、pack→unpack round-trip；1457/1457 通过。</x:v>
      </x:c>
      <x:c r="H1408" s="144" t="str">
        <x:v>coem/BYD_UKE/gen_bsw/Com/Com_PBcfg.c:70642; BYD_5R1V_RadarRearcorner_V2.5_AllNodes.dbc:95</x:v>
      </x:c>
    </x:row>
    <x:row r="1409" ht="72" customHeight="1">
      <x:c r="A1409" s="144" t="str">
        <x:v>Com-Signal</x:v>
      </x:c>
      <x:c r="B1409" s="144" t="str">
        <x:v>COM-SIG-Rx-0497 / RRR_CR_objNum</x:v>
      </x:c>
      <x:c r="C1409" s="144" t="str">
        <x:v>PDU=RRR_RDA_SGU_Head; startBit=18; length=6; byteOrder=Big; type=UINT8; factor=1（Com原始值）; offset=0（Com原始值）; min=按位宽/类型; max=按位宽/类型; unit=-; receivers=-</x:v>
      </x:c>
      <x:c r="D140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09" s="144" t="str">
        <x:v>M2</x:v>
      </x:c>
      <x:c r="F1409" s="144" t="str">
        <x:v>Signal 级可编辑配置、数据类型/缩放/端序合同、RTE 接口、边界值与 round-trip 测试。</x:v>
      </x:c>
      <x:c r="G1409" s="144" t="str">
        <x:v>raw=0、raw=max、物理 min/max、越界/保留值、端序字节向量、pack→unpack round-trip；1457/1457 通过。</x:v>
      </x:c>
      <x:c r="H1409" s="144" t="str">
        <x:v>coem/BYD_UKE/gen_bsw/Com/Com_PBcfg.c:70702</x:v>
      </x:c>
    </x:row>
    <x:row r="1410" ht="72" customHeight="1">
      <x:c r="A1410" s="144" t="str">
        <x:v>Com-Signal</x:v>
      </x:c>
      <x:c r="B1410" s="144" t="str">
        <x:v>COM-SIG-Rx-0498 / RRR_SGU_Head_CRC8Checksum_001</x:v>
      </x:c>
      <x:c r="C1410" s="144" t="str">
        <x:v>PDU=RRR_RDA_SGU_Head; startBit=0; length=8; byteOrder=Big; type=UINT8; factor=1（Com原始值）; offset=0（Com原始值）; min=按位宽/类型; max=按位宽/类型; unit=-; receivers=-</x:v>
      </x:c>
      <x:c r="D141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0" s="144" t="str">
        <x:v>M2</x:v>
      </x:c>
      <x:c r="F1410" s="144" t="str">
        <x:v>Signal 级可编辑配置、数据类型/缩放/端序合同、RTE 接口、边界值与 round-trip 测试。</x:v>
      </x:c>
      <x:c r="G1410" s="144" t="str">
        <x:v>raw=0、raw=max、物理 min/max、越界/保留值、端序字节向量、pack→unpack round-trip；1457/1457 通过。</x:v>
      </x:c>
      <x:c r="H1410" s="144" t="str">
        <x:v>coem/BYD_UKE/gen_bsw/Com/Com_PBcfg.c:70762</x:v>
      </x:c>
    </x:row>
    <x:row r="1411" ht="72" customHeight="1">
      <x:c r="A1411" s="144" t="str">
        <x:v>Com-Signal</x:v>
      </x:c>
      <x:c r="B1411" s="144" t="str">
        <x:v>COM-SIG-Rx-0499 / RRR_SGU_Head_MsgCounter_001</x:v>
      </x:c>
      <x:c r="C1411" s="144" t="str">
        <x:v>PDU=RRR_RDA_SGU_Head; startBit=12; length=4; byteOrder=Big; type=UINT8; factor=1（Com原始值）; offset=0（Com原始值）; min=按位宽/类型; max=按位宽/类型; unit=-; receivers=-</x:v>
      </x:c>
      <x:c r="D141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1" s="144" t="str">
        <x:v>M2</x:v>
      </x:c>
      <x:c r="F1411" s="144" t="str">
        <x:v>Signal 级可编辑配置、数据类型/缩放/端序合同、RTE 接口、边界值与 round-trip 测试。</x:v>
      </x:c>
      <x:c r="G1411" s="144" t="str">
        <x:v>raw=0、raw=max、物理 min/max、越界/保留值、端序字节向量、pack→unpack round-trip；1457/1457 通过。</x:v>
      </x:c>
      <x:c r="H1411" s="144" t="str">
        <x:v>coem/BYD_UKE/gen_bsw/Com/Com_PBcfg.c:70822</x:v>
      </x:c>
    </x:row>
    <x:row r="1412" ht="72" customHeight="1">
      <x:c r="A1412" s="144" t="str">
        <x:v>Com-Signal</x:v>
      </x:c>
      <x:c r="B1412" s="144" t="str">
        <x:v>COM-SIG-Rx-0500 / RRR_SGU_Head_ProtBlockCtr</x:v>
      </x:c>
      <x:c r="C1412" s="144" t="str">
        <x:v>PDU=RRR_RDA_SGU_Head; startBit=24; length=8; byteOrder=Big; type=UINT8; factor=1（Com原始值）; offset=0（Com原始值）; min=按位宽/类型; max=按位宽/类型; unit=-; receivers=-</x:v>
      </x:c>
      <x:c r="D141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2" s="144" t="str">
        <x:v>M2</x:v>
      </x:c>
      <x:c r="F1412" s="144" t="str">
        <x:v>Signal 级可编辑配置、数据类型/缩放/端序合同、RTE 接口、边界值与 round-trip 测试。</x:v>
      </x:c>
      <x:c r="G1412" s="144" t="str">
        <x:v>raw=0、raw=max、物理 min/max、越界/保留值、端序字节向量、pack→unpack round-trip；1457/1457 通过。</x:v>
      </x:c>
      <x:c r="H1412" s="144" t="str">
        <x:v>coem/BYD_UKE/gen_bsw/Com/Com_PBcfg.c:70882</x:v>
      </x:c>
    </x:row>
    <x:row r="1413" ht="72" customHeight="1">
      <x:c r="A1413" s="144" t="str">
        <x:v>Com-Signal</x:v>
      </x:c>
      <x:c r="B1413" s="144" t="str">
        <x:v>COM-SIG-Rx-0501 / Check_Sum_1C6_01_S</x:v>
      </x:c>
      <x:c r="C1413" s="144" t="str">
        <x:v>PDU=Right_BCM_0x1C6; startBit=56; length=8; byteOrder=Little; type=UINT8; factor=1; offset=0; min=0; max=255; unit=-; receivers=MPC</x:v>
      </x:c>
      <x:c r="D14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13" s="144" t="str">
        <x:v>M2</x:v>
      </x:c>
      <x:c r="F1413" s="144" t="str">
        <x:v>Signal 级可编辑配置、数据类型/缩放/端序合同、RTE 接口、边界值与 round-trip 测试。</x:v>
      </x:c>
      <x:c r="G1413" s="144" t="str">
        <x:v>raw=0、raw=max、物理 min/max、越界/保留值、端序字节向量、pack→unpack round-trip；1457/1457 通过。</x:v>
      </x:c>
      <x:c r="H1413" s="144" t="str">
        <x:v>coem/BYD_UKE/gen_bsw/Com/Com_PBcfg.c:70942; BoschOversea_StandardCANFD_commplatform_RCR_CAN_Matrix_V4.18.2_20251104.dbc:530</x:v>
      </x:c>
    </x:row>
    <x:row r="1414" ht="72" customHeight="1">
      <x:c r="A1414" s="144" t="str">
        <x:v>Com-Signal</x:v>
      </x:c>
      <x:c r="B1414" s="144" t="str">
        <x:v>COM-SIG-Rx-0502 / Check_Sum_1C6_02_S</x:v>
      </x:c>
      <x:c r="C1414" s="144" t="str">
        <x:v>PDU=Right_BCM_0x1C6; startBit=56; length=8; byteOrder=Little; type=UINT8; factor=1; offset=0; min=0; max=255; unit=-; receivers=MPC</x:v>
      </x:c>
      <x:c r="D14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14" s="144" t="str">
        <x:v>M2</x:v>
      </x:c>
      <x:c r="F1414" s="144" t="str">
        <x:v>Signal 级可编辑配置、数据类型/缩放/端序合同、RTE 接口、边界值与 round-trip 测试。</x:v>
      </x:c>
      <x:c r="G1414" s="144" t="str">
        <x:v>raw=0、raw=max、物理 min/max、越界/保留值、端序字节向量、pack→unpack round-trip；1457/1457 通过。</x:v>
      </x:c>
      <x:c r="H1414" s="144" t="str">
        <x:v>coem/BYD_UKE/gen_bsw/Com/Com_PBcfg.c:71002; BoschOversea_StandardCANFD_commplatform_RCR_CAN_Matrix_V4.18.2_20251104.dbc:535</x:v>
      </x:c>
    </x:row>
    <x:row r="1415" ht="72" customHeight="1">
      <x:c r="A1415" s="144" t="str">
        <x:v>Com-Signal</x:v>
      </x:c>
      <x:c r="B1415" s="144" t="str">
        <x:v>COM-SIG-Rx-0503 / Child_ID_1C6_S</x:v>
      </x:c>
      <x:c r="C1415" s="144" t="str">
        <x:v>PDU=Right_BCM_0x1C6; startBit=0; length=8; byteOrder=Little; type=UINT8; factor=1; offset=0; min=0; max=255; unit=-; receivers=MPC</x:v>
      </x:c>
      <x:c r="D14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15" s="144" t="str">
        <x:v>M2</x:v>
      </x:c>
      <x:c r="F1415" s="144" t="str">
        <x:v>Signal 级可编辑配置、数据类型/缩放/端序合同、RTE 接口、边界值与 round-trip 测试。</x:v>
      </x:c>
      <x:c r="G1415" s="144" t="str">
        <x:v>raw=0、raw=max、物理 min/max、越界/保留值、端序字节向量、pack→unpack round-trip；1457/1457 通过。</x:v>
      </x:c>
      <x:c r="H1415" s="144" t="str">
        <x:v>coem/BYD_UKE/gen_bsw/Com/Com_PBcfg.c:71062; BoschOversea_StandardCANFD_commplatform_RCR_CAN_Matrix_V4.18.2_20251104.dbc:523</x:v>
      </x:c>
    </x:row>
    <x:row r="1416" ht="72" customHeight="1">
      <x:c r="A1416" s="144" t="str">
        <x:v>Com-Signal</x:v>
      </x:c>
      <x:c r="B1416" s="144" t="str">
        <x:v>COM-SIG-Rx-0504 / NID_Of_Problem_Network_Management_Message_1_1C6_S</x:v>
      </x:c>
      <x:c r="C1416" s="144" t="str">
        <x:v>PDU=Right_BCM_0x1C6; startBit=8; length=8; byteOrder=Little; type=UINT8; factor=1（Com原始值）; offset=0（Com原始值）; min=按位宽/类型; max=按位宽/类型; unit=-; receivers=-</x:v>
      </x:c>
      <x:c r="D1416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6" s="144" t="str">
        <x:v>M2</x:v>
      </x:c>
      <x:c r="F1416" s="144" t="str">
        <x:v>Signal 级可编辑配置、数据类型/缩放/端序合同、RTE 接口、边界值与 round-trip 测试。</x:v>
      </x:c>
      <x:c r="G1416" s="144" t="str">
        <x:v>raw=0、raw=max、物理 min/max、越界/保留值、端序字节向量、pack→unpack round-trip；1457/1457 通过。</x:v>
      </x:c>
      <x:c r="H1416" s="144" t="str">
        <x:v>coem/BYD_UKE/gen_bsw/Com/Com_PBcfg.c:71122</x:v>
      </x:c>
    </x:row>
    <x:row r="1417" ht="72" customHeight="1">
      <x:c r="A1417" s="144" t="str">
        <x:v>Com-Signal</x:v>
      </x:c>
      <x:c r="B1417" s="144" t="str">
        <x:v>COM-SIG-Rx-0505 / NID_Of_Problem_Network_Management_Message_2_1C6_S</x:v>
      </x:c>
      <x:c r="C1417" s="144" t="str">
        <x:v>PDU=Right_BCM_0x1C6; startBit=16; length=8; byteOrder=Little; type=UINT8; factor=1（Com原始值）; offset=0（Com原始值）; min=按位宽/类型; max=按位宽/类型; unit=-; receivers=-</x:v>
      </x:c>
      <x:c r="D1417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7" s="144" t="str">
        <x:v>M2</x:v>
      </x:c>
      <x:c r="F1417" s="144" t="str">
        <x:v>Signal 级可编辑配置、数据类型/缩放/端序合同、RTE 接口、边界值与 round-trip 测试。</x:v>
      </x:c>
      <x:c r="G1417" s="144" t="str">
        <x:v>raw=0、raw=max、物理 min/max、越界/保留值、端序字节向量、pack→unpack round-trip；1457/1457 通过。</x:v>
      </x:c>
      <x:c r="H1417" s="144" t="str">
        <x:v>coem/BYD_UKE/gen_bsw/Com/Com_PBcfg.c:71182</x:v>
      </x:c>
    </x:row>
    <x:row r="1418" ht="72" customHeight="1">
      <x:c r="A1418" s="144" t="str">
        <x:v>Com-Signal</x:v>
      </x:c>
      <x:c r="B1418" s="144" t="str">
        <x:v>COM-SIG-Rx-0506 / NID_Of_Problem_Network_Management_Message_3_1C6_S</x:v>
      </x:c>
      <x:c r="C1418" s="144" t="str">
        <x:v>PDU=Right_BCM_0x1C6; startBit=24; length=8; byteOrder=Little; type=UINT8; factor=1（Com原始值）; offset=0（Com原始值）; min=按位宽/类型; max=按位宽/类型; unit=-; receivers=-</x:v>
      </x:c>
      <x:c r="D1418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8" s="144" t="str">
        <x:v>M2</x:v>
      </x:c>
      <x:c r="F1418" s="144" t="str">
        <x:v>Signal 级可编辑配置、数据类型/缩放/端序合同、RTE 接口、边界值与 round-trip 测试。</x:v>
      </x:c>
      <x:c r="G1418" s="144" t="str">
        <x:v>raw=0、raw=max、物理 min/max、越界/保留值、端序字节向量、pack→unpack round-trip；1457/1457 通过。</x:v>
      </x:c>
      <x:c r="H1418" s="144" t="str">
        <x:v>coem/BYD_UKE/gen_bsw/Com/Com_PBcfg.c:71242</x:v>
      </x:c>
    </x:row>
    <x:row r="1419" ht="72" customHeight="1">
      <x:c r="A1419" s="144" t="str">
        <x:v>Com-Signal</x:v>
      </x:c>
      <x:c r="B1419" s="144" t="str">
        <x:v>COM-SIG-Rx-0507 / NID_Of_Problem_Network_Management_Message_4_1C6_S</x:v>
      </x:c>
      <x:c r="C1419" s="144" t="str">
        <x:v>PDU=Right_BCM_0x1C6; startBit=32; length=8; byteOrder=Little; type=UINT8; factor=1（Com原始值）; offset=0（Com原始值）; min=按位宽/类型; max=按位宽/类型; unit=-; receivers=-</x:v>
      </x:c>
      <x:c r="D1419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9" s="144" t="str">
        <x:v>M2</x:v>
      </x:c>
      <x:c r="F1419" s="144" t="str">
        <x:v>Signal 级可编辑配置、数据类型/缩放/端序合同、RTE 接口、边界值与 round-trip 测试。</x:v>
      </x:c>
      <x:c r="G1419" s="144" t="str">
        <x:v>raw=0、raw=max、物理 min/max、越界/保留值、端序字节向量、pack→unpack round-trip；1457/1457 通过。</x:v>
      </x:c>
      <x:c r="H1419" s="144" t="str">
        <x:v>coem/BYD_UKE/gen_bsw/Com/Com_PBcfg.c:71302</x:v>
      </x:c>
    </x:row>
    <x:row r="1420" ht="72" customHeight="1">
      <x:c r="A1420" s="144" t="str">
        <x:v>Com-Signal</x:v>
      </x:c>
      <x:c r="B1420" s="144" t="str">
        <x:v>COM-SIG-Rx-0508 / NID_Of_Problem_Network_Management_Message_5_1C6_S</x:v>
      </x:c>
      <x:c r="C1420" s="144" t="str">
        <x:v>PDU=Right_BCM_0x1C6; startBit=40; length=8; byteOrder=Little; type=UINT8; factor=1（Com原始值）; offset=0（Com原始值）; min=按位宽/类型; max=按位宽/类型; unit=-; receivers=-</x:v>
      </x:c>
      <x:c r="D1420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0" s="144" t="str">
        <x:v>M2</x:v>
      </x:c>
      <x:c r="F1420" s="144" t="str">
        <x:v>Signal 级可编辑配置、数据类型/缩放/端序合同、RTE 接口、边界值与 round-trip 测试。</x:v>
      </x:c>
      <x:c r="G1420" s="144" t="str">
        <x:v>raw=0、raw=max、物理 min/max、越界/保留值、端序字节向量、pack→unpack round-trip；1457/1457 通过。</x:v>
      </x:c>
      <x:c r="H1420" s="144" t="str">
        <x:v>coem/BYD_UKE/gen_bsw/Com/Com_PBcfg.c:71362</x:v>
      </x:c>
    </x:row>
    <x:row r="1421" ht="72" customHeight="1">
      <x:c r="A1421" s="144" t="str">
        <x:v>Com-Signal</x:v>
      </x:c>
      <x:c r="B1421" s="144" t="str">
        <x:v>COM-SIG-Rx-0509 / Problem_Application_Message_1_1C6_S</x:v>
      </x:c>
      <x:c r="C1421" s="144" t="str">
        <x:v>PDU=Right_BCM_0x1C6; startBit=8; length=12; byteOrder=Little; type=UINT16; factor=1（Com原始值）; offset=0（Com原始值）; min=按位宽/类型; max=按位宽/类型; unit=-; receivers=-</x:v>
      </x:c>
      <x:c r="D1421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1" s="144" t="str">
        <x:v>M2</x:v>
      </x:c>
      <x:c r="F1421" s="144" t="str">
        <x:v>Signal 级可编辑配置、数据类型/缩放/端序合同、RTE 接口、边界值与 round-trip 测试。</x:v>
      </x:c>
      <x:c r="G1421" s="144" t="str">
        <x:v>raw=0、raw=max、物理 min/max、越界/保留值、端序字节向量、pack→unpack round-trip；1457/1457 通过。</x:v>
      </x:c>
      <x:c r="H1421" s="144" t="str">
        <x:v>coem/BYD_UKE/gen_bsw/Com/Com_PBcfg.c:71422</x:v>
      </x:c>
    </x:row>
    <x:row r="1422" ht="72" customHeight="1">
      <x:c r="A1422" s="144" t="str">
        <x:v>Com-Signal</x:v>
      </x:c>
      <x:c r="B1422" s="144" t="str">
        <x:v>COM-SIG-Rx-0510 / Problem_Application_Message_2_1C6_S</x:v>
      </x:c>
      <x:c r="C1422" s="144" t="str">
        <x:v>PDU=Right_BCM_0x1C6; startBit=20; length=12; byteOrder=Little; type=UINT16; factor=1（Com原始值）; offset=0（Com原始值）; min=按位宽/类型; max=按位宽/类型; unit=-; receivers=-</x:v>
      </x:c>
      <x:c r="D1422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2" s="144" t="str">
        <x:v>M2</x:v>
      </x:c>
      <x:c r="F1422" s="144" t="str">
        <x:v>Signal 级可编辑配置、数据类型/缩放/端序合同、RTE 接口、边界值与 round-trip 测试。</x:v>
      </x:c>
      <x:c r="G1422" s="144" t="str">
        <x:v>raw=0、raw=max、物理 min/max、越界/保留值、端序字节向量、pack→unpack round-trip；1457/1457 通过。</x:v>
      </x:c>
      <x:c r="H1422" s="144" t="str">
        <x:v>coem/BYD_UKE/gen_bsw/Com/Com_PBcfg.c:71482</x:v>
      </x:c>
    </x:row>
    <x:row r="1423" ht="72" customHeight="1">
      <x:c r="A1423" s="144" t="str">
        <x:v>Com-Signal</x:v>
      </x:c>
      <x:c r="B1423" s="144" t="str">
        <x:v>COM-SIG-Rx-0511 / Problem_Application_Message_3_1C6_S</x:v>
      </x:c>
      <x:c r="C1423" s="144" t="str">
        <x:v>PDU=Right_BCM_0x1C6; startBit=32; length=12; byteOrder=Little; type=UINT16; factor=1（Com原始值）; offset=0（Com原始值）; min=按位宽/类型; max=按位宽/类型; unit=-; receivers=-</x:v>
      </x:c>
      <x:c r="D1423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3" s="144" t="str">
        <x:v>M2</x:v>
      </x:c>
      <x:c r="F1423" s="144" t="str">
        <x:v>Signal 级可编辑配置、数据类型/缩放/端序合同、RTE 接口、边界值与 round-trip 测试。</x:v>
      </x:c>
      <x:c r="G1423" s="144" t="str">
        <x:v>raw=0、raw=max、物理 min/max、越界/保留值、端序字节向量、pack→unpack round-trip；1457/1457 通过。</x:v>
      </x:c>
      <x:c r="H1423" s="144" t="str">
        <x:v>coem/BYD_UKE/gen_bsw/Com/Com_PBcfg.c:71542</x:v>
      </x:c>
    </x:row>
    <x:row r="1424" ht="72" customHeight="1">
      <x:c r="A1424" s="144" t="str">
        <x:v>Com-Signal</x:v>
      </x:c>
      <x:c r="B1424" s="144" t="str">
        <x:v>COM-SIG-Rx-0512 / Problem_Application_Message_4_1C6_S</x:v>
      </x:c>
      <x:c r="C1424" s="144" t="str">
        <x:v>PDU=Right_BCM_0x1C6; startBit=44; length=12; byteOrder=Little; type=UINT16; factor=1（Com原始值）; offset=0（Com原始值）; min=按位宽/类型; max=按位宽/类型; unit=-; receivers=-</x:v>
      </x:c>
      <x:c r="D1424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4" s="144" t="str">
        <x:v>M2</x:v>
      </x:c>
      <x:c r="F1424" s="144" t="str">
        <x:v>Signal 级可编辑配置、数据类型/缩放/端序合同、RTE 接口、边界值与 round-trip 测试。</x:v>
      </x:c>
      <x:c r="G1424" s="144" t="str">
        <x:v>raw=0、raw=max、物理 min/max、越界/保留值、端序字节向量、pack→unpack round-trip；1457/1457 通过。</x:v>
      </x:c>
      <x:c r="H1424" s="144" t="str">
        <x:v>coem/BYD_UKE/gen_bsw/Com/Com_PBcfg.c:71602</x:v>
      </x:c>
    </x:row>
    <x:row r="1425" ht="72" customHeight="1">
      <x:c r="A1425" s="144" t="str">
        <x:v>Com-Signal</x:v>
      </x:c>
      <x:c r="B1425" s="144" t="str">
        <x:v>COM-SIG-Rx-0513 / Random_Number_1C6_01_S</x:v>
      </x:c>
      <x:c r="C1425" s="144" t="str">
        <x:v>PDU=Right_BCM_0x1C6; startBit=48; length=8; byteOrder=Little; type=UINT8; factor=1; offset=0; min=0; max=255; unit=-; receivers=MPC</x:v>
      </x:c>
      <x:c r="D14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25" s="144" t="str">
        <x:v>M2</x:v>
      </x:c>
      <x:c r="F1425" s="144" t="str">
        <x:v>Signal 级可编辑配置、数据类型/缩放/端序合同、RTE 接口、边界值与 round-trip 测试。</x:v>
      </x:c>
      <x:c r="G1425" s="144" t="str">
        <x:v>raw=0、raw=max、物理 min/max、越界/保留值、端序字节向量、pack→unpack round-trip；1457/1457 通过。</x:v>
      </x:c>
      <x:c r="H1425" s="144" t="str">
        <x:v>coem/BYD_UKE/gen_bsw/Com/Com_PBcfg.c:71662; BoschOversea_StandardCANFD_commplatform_RCR_CAN_Matrix_V4.18.2_20251104.dbc:529</x:v>
      </x:c>
    </x:row>
    <x:row r="1426" ht="72" customHeight="1">
      <x:c r="A1426" s="144" t="str">
        <x:v>Com-Signal</x:v>
      </x:c>
      <x:c r="B1426" s="144" t="str">
        <x:v>COM-SIG-Rx-0514 / ACHMC_Outside_Temperature_S</x:v>
      </x:c>
      <x:c r="C1426" s="144" t="str">
        <x:v>PDU=Right_BCM_0x404; startBit=48; length=8; byteOrder=Little; type=UINT8; factor=1; offset=-128; min=-40; max=50; unit=��; receivers=Left_BCM_L2_L3,Rear_BCM,Media,LTE4G,RRSE,LRSE,ECM,ECM_Fuel,BMS,TCU_Fuel,IPB,MPC,ADS,MRR,BSMCL,BSMCR,APA</x:v>
      </x:c>
      <x:c r="D14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26" s="144" t="str">
        <x:v>M2</x:v>
      </x:c>
      <x:c r="F1426" s="144" t="str">
        <x:v>Signal 级可编辑配置、数据类型/缩放/端序合同、RTE 接口、边界值与 round-trip 测试。</x:v>
      </x:c>
      <x:c r="G1426" s="144" t="str">
        <x:v>raw=0、raw=max、物理 min/max、越界/保留值、端序字节向量、pack→unpack round-trip；1457/1457 通过。</x:v>
      </x:c>
      <x:c r="H1426" s="144" t="str">
        <x:v>coem/BYD_UKE/gen_bsw/Com/Com_PBcfg.c:71722; BoschOversea_StandardCANFD_commplatform_RCR_CAN_Matrix_V4.18.2_20251104.dbc:76</x:v>
      </x:c>
    </x:row>
    <x:row r="1427" ht="72" customHeight="1">
      <x:c r="A1427" s="144" t="str">
        <x:v>Com-Signal</x:v>
      </x:c>
      <x:c r="B1427" s="144" t="str">
        <x:v>COM-SIG-Rx-0515 / Temperature_Conversion_S</x:v>
      </x:c>
      <x:c r="C1427" s="144" t="str">
        <x:v>PDU=Right_BCM_0x404; startBit=31; length=1; byteOrder=Little; type=UINT8; factor=1; offset=0; min=0; max=1; unit=-; receivers=Left_BCM_L2_L3,Rear_BCM,Media,LTE4G,RRSE,LRSE,PAL,OH,ECM,ECM_Fuel,TCU_Fuel,IPB,MPC,ADS,MRR,BSMCL,BSMCR,APA</x:v>
      </x:c>
      <x:c r="D14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27" s="144" t="str">
        <x:v>M2</x:v>
      </x:c>
      <x:c r="F1427" s="144" t="str">
        <x:v>Signal 级可编辑配置、数据类型/缩放/端序合同、RTE 接口、边界值与 round-trip 测试。</x:v>
      </x:c>
      <x:c r="G1427" s="144" t="str">
        <x:v>raw=0、raw=max、物理 min/max、越界/保留值、端序字节向量、pack→unpack round-trip；1457/1457 通过。</x:v>
      </x:c>
      <x:c r="H1427" s="144" t="str">
        <x:v>coem/BYD_UKE/gen_bsw/Com/Com_PBcfg.c:71782; BoschOversea_StandardCANFD_commplatform_RCR_CAN_Matrix_V4.18.2_20251104.dbc:75</x:v>
      </x:c>
    </x:row>
    <x:row r="1428" ht="72" customHeight="1">
      <x:c r="A1428" s="144" t="str">
        <x:v>Com-Signal</x:v>
      </x:c>
      <x:c r="B1428" s="144" t="str">
        <x:v>COM-SIG-Rx-0516 / ChangeLane_DeadZone_Montr_Key_S</x:v>
      </x:c>
      <x:c r="C1428" s="144" t="str">
        <x:v>PDU=SCPA_0x4A9; startBit=9; length=1; byteOrder=Little; type=UINT8; factor=1; offset=0; min=0; max=1; unit=-; receivers=ADS,BSMCL,BSMCR</x:v>
      </x:c>
      <x:c r="D14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28" s="144" t="str">
        <x:v>M2</x:v>
      </x:c>
      <x:c r="F1428" s="144" t="str">
        <x:v>Signal 级可编辑配置、数据类型/缩放/端序合同、RTE 接口、边界值与 round-trip 测试。</x:v>
      </x:c>
      <x:c r="G1428" s="144" t="str">
        <x:v>raw=0、raw=max、物理 min/max、越界/保留值、端序字节向量、pack→unpack round-trip；1457/1457 通过。</x:v>
      </x:c>
      <x:c r="H1428" s="144" t="str">
        <x:v>coem/BYD_UKE/gen_bsw/Com/Com_PBcfg.c:71842; BoschOversea_StandardCANFD_commplatform_RCR_CAN_Matrix_V4.18.2_20251104.dbc:112</x:v>
      </x:c>
    </x:row>
    <x:row r="1429" ht="72" customHeight="1">
      <x:c r="A1429" s="144" t="str">
        <x:v>Com-Signal</x:v>
      </x:c>
      <x:c r="B1429" s="144" t="str">
        <x:v>COM-SIG-Rx-0517 / Actual_Shift_Gear_Mode_S</x:v>
      </x:c>
      <x:c r="C1429" s="144" t="str">
        <x:v>PDU=TCU_0x212; startBit=48; length=4; byteOrder=Little; type=UINT8; factor=1; offset=0; min=0; max=15; unit=-; receivers=Left_BCM_L1,Left_BCM_L2_L3,Left_BCM_L4,Right_BCM,Rear_BCM,Media,LTE4G,PSDL,PSDR,ALS,LBMS,SCPA,SCU,ECM_Fuel,IPB,SRS,MPC,ADS,MRR,BSMCL,BSMCR,APA</x:v>
      </x:c>
      <x:c r="D14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29" s="144" t="str">
        <x:v>M2</x:v>
      </x:c>
      <x:c r="F1429" s="144" t="str">
        <x:v>Signal 级可编辑配置、数据类型/缩放/端序合同、RTE 接口、边界值与 round-trip 测试。</x:v>
      </x:c>
      <x:c r="G1429" s="144" t="str">
        <x:v>raw=0、raw=max、物理 min/max、越界/保留值、端序字节向量、pack→unpack round-trip；1457/1457 通过。</x:v>
      </x:c>
      <x:c r="H1429" s="144" t="str">
        <x:v>coem/BYD_UKE/gen_bsw/Com/Com_PBcfg.c:71902; BoschOversea_StandardCANFD_commplatform_RCR_CAN_Matrix_V4.18.2_20251104.dbc:130</x:v>
      </x:c>
    </x:row>
    <x:row r="1430" ht="72" customHeight="1">
      <x:c r="A1430" s="144" t="str">
        <x:v>Com-Signal</x:v>
      </x:c>
      <x:c r="B1430" s="144" t="str">
        <x:v>COM-SIG-Rx-0518 / Checksum212_S</x:v>
      </x:c>
      <x:c r="C1430" s="144" t="str">
        <x:v>PDU=TCU_0x212; startBit=56; length=8; byteOrder=Little; type=UINT8; factor=1; offset=0; min=0; max=255; unit=-; receivers=ECM_Fuel,IPB,MPC,ADS,MRR,BSMCL,BSMCR,APA</x:v>
      </x:c>
      <x:c r="D14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0" s="144" t="str">
        <x:v>M2</x:v>
      </x:c>
      <x:c r="F1430" s="144" t="str">
        <x:v>Signal 级可编辑配置、数据类型/缩放/端序合同、RTE 接口、边界值与 round-trip 测试。</x:v>
      </x:c>
      <x:c r="G1430" s="144" t="str">
        <x:v>raw=0、raw=max、物理 min/max、越界/保留值、端序字节向量、pack→unpack round-trip；1457/1457 通过。</x:v>
      </x:c>
      <x:c r="H1430" s="144" t="str">
        <x:v>coem/BYD_UKE/gen_bsw/Com/Com_PBcfg.c:71962; BoschOversea_StandardCANFD_commplatform_RCR_CAN_Matrix_V4.18.2_20251104.dbc:131</x:v>
      </x:c>
    </x:row>
    <x:row r="1431" ht="72" customHeight="1">
      <x:c r="A1431" s="144" t="str">
        <x:v>Com-Signal</x:v>
      </x:c>
      <x:c r="B1431" s="144" t="str">
        <x:v>COM-SIG-Rx-0519 / Act_acce_pedl_perc_hw</x:v>
      </x:c>
      <x:c r="C1431" s="144" t="str">
        <x:v>PDU=VCU_0x05A; startBit=256; length=8; byteOrder=Little; type=UINT8; factor=1; offset=0; min=0; max=100; unit=-; receivers=MPC,MRR,BSMCL,BSMCR,FCR</x:v>
      </x:c>
      <x:c r="D14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1" s="144" t="str">
        <x:v>M2</x:v>
      </x:c>
      <x:c r="F1431" s="144" t="str">
        <x:v>Signal 级可编辑配置、数据类型/缩放/端序合同、RTE 接口、边界值与 round-trip 测试。</x:v>
      </x:c>
      <x:c r="G1431" s="144" t="str">
        <x:v>raw=0、raw=max、物理 min/max、越界/保留值、端序字节向量、pack→unpack round-trip；1457/1457 通过。</x:v>
      </x:c>
      <x:c r="H1431" s="144" t="str">
        <x:v>coem/BYD_UKE/gen_bsw/Com/Com_PBcfg.c:72022; BoschOversea_StandardCANFD_commplatform_RCR_CAN_Matrix_V4.18.2_20251104.dbc:598</x:v>
      </x:c>
    </x:row>
    <x:row r="1432" ht="72" customHeight="1">
      <x:c r="A1432" s="144" t="str">
        <x:v>Com-Signal</x:v>
      </x:c>
      <x:c r="B1432" s="144" t="str">
        <x:v>COM-SIG-Rx-0520 / Act_drv_mod_hw</x:v>
      </x:c>
      <x:c r="C1432" s="144" t="str">
        <x:v>PDU=VCU_0x05A; startBit=296; length=8; byteOrder=Little; type=UINT8; factor=1; offset=0; min=0; max=255; unit=-; receivers=MPC,MRR,BSMCL,BSMCR,FCR</x:v>
      </x:c>
      <x:c r="D14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2" s="144" t="str">
        <x:v>M2</x:v>
      </x:c>
      <x:c r="F1432" s="144" t="str">
        <x:v>Signal 级可编辑配置、数据类型/缩放/端序合同、RTE 接口、边界值与 round-trip 测试。</x:v>
      </x:c>
      <x:c r="G1432" s="144" t="str">
        <x:v>raw=0、raw=max、物理 min/max、越界/保留值、端序字节向量、pack→unpack round-trip；1457/1457 通过。</x:v>
      </x:c>
      <x:c r="H1432" s="144" t="str">
        <x:v>coem/BYD_UKE/gen_bsw/Com/Com_PBcfg.c:72082; BoschOversea_StandardCANFD_commplatform_RCR_CAN_Matrix_V4.18.2_20251104.dbc:601</x:v>
      </x:c>
    </x:row>
    <x:row r="1433" ht="72" customHeight="1">
      <x:c r="A1433" s="144" t="str">
        <x:v>Com-Signal</x:v>
      </x:c>
      <x:c r="B1433" s="144" t="str">
        <x:v>COM-SIG-Rx-0521 / Bsg_Gmcu_start_eng_sts</x:v>
      </x:c>
      <x:c r="C1433" s="144" t="str">
        <x:v>PDU=VCU_0x05A; startBit=348; length=2; byteOrder=Little; type=UINT8; factor=1; offset=0; min=0; max=3; unit=-; receivers=MPC,MRR,BSMCL,BSMCR,FCR</x:v>
      </x:c>
      <x:c r="D14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3" s="144" t="str">
        <x:v>M2</x:v>
      </x:c>
      <x:c r="F1433" s="144" t="str">
        <x:v>Signal 级可编辑配置、数据类型/缩放/端序合同、RTE 接口、边界值与 round-trip 测试。</x:v>
      </x:c>
      <x:c r="G1433" s="144" t="str">
        <x:v>raw=0、raw=max、物理 min/max、越界/保留值、端序字节向量、pack→unpack round-trip；1457/1457 通过。</x:v>
      </x:c>
      <x:c r="H1433" s="144" t="str">
        <x:v>coem/BYD_UKE/gen_bsw/Com/Com_PBcfg.c:72142; BoschOversea_StandardCANFD_commplatform_RCR_CAN_Matrix_V4.18.2_20251104.dbc:607</x:v>
      </x:c>
    </x:row>
    <x:row r="1434" ht="72" customHeight="1">
      <x:c r="A1434" s="144" t="str">
        <x:v>Com-Signal</x:v>
      </x:c>
      <x:c r="B1434" s="144" t="str">
        <x:v>COM-SIG-Rx-0522 / Checksum_05A_S</x:v>
      </x:c>
      <x:c r="C1434" s="144" t="str">
        <x:v>PDU=VCU_0x05A; startBit=0; length=16; byteOrder=Little; type=UINT16; factor=1; offset=0; min=0; max=65535; unit=-; receivers=MPC,MRR,BSMCL,BSMCR,FCR</x:v>
      </x:c>
      <x:c r="D14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4" s="144" t="str">
        <x:v>M2</x:v>
      </x:c>
      <x:c r="F1434" s="144" t="str">
        <x:v>Signal 级可编辑配置、数据类型/缩放/端序合同、RTE 接口、边界值与 round-trip 测试。</x:v>
      </x:c>
      <x:c r="G1434" s="144" t="str">
        <x:v>raw=0、raw=max、物理 min/max、越界/保留值、端序字节向量、pack→unpack round-trip；1457/1457 通过。</x:v>
      </x:c>
      <x:c r="H1434" s="144" t="str">
        <x:v>coem/BYD_UKE/gen_bsw/Com/Com_PBcfg.c:72202; BoschOversea_StandardCANFD_commplatform_RCR_CAN_Matrix_V4.18.2_20251104.dbc:559</x:v>
      </x:c>
    </x:row>
    <x:row r="1435" ht="72" customHeight="1">
      <x:c r="A1435" s="144" t="str">
        <x:v>Com-Signal</x:v>
      </x:c>
      <x:c r="B1435" s="144" t="str">
        <x:v>COM-SIG-Rx-0523 / Counter_05A_S</x:v>
      </x:c>
      <x:c r="C1435" s="144" t="str">
        <x:v>PDU=VCU_0x05A; startBit=16; length=16; byteOrder=Little; type=UINT16; factor=1; offset=0; min=0; max=65535; unit=-; receivers=MPC,MRR,BSMCL,BSMCR,FCR</x:v>
      </x:c>
      <x:c r="D14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5" s="144" t="str">
        <x:v>M2</x:v>
      </x:c>
      <x:c r="F1435" s="144" t="str">
        <x:v>Signal 级可编辑配置、数据类型/缩放/端序合同、RTE 接口、边界值与 round-trip 测试。</x:v>
      </x:c>
      <x:c r="G1435" s="144" t="str">
        <x:v>raw=0、raw=max、物理 min/max、越界/保留值、端序字节向量、pack→unpack round-trip；1457/1457 通过。</x:v>
      </x:c>
      <x:c r="H1435" s="144" t="str">
        <x:v>coem/BYD_UKE/gen_bsw/Com/Com_PBcfg.c:72262; BoschOversea_StandardCANFD_commplatform_RCR_CAN_Matrix_V4.18.2_20251104.dbc:560</x:v>
      </x:c>
    </x:row>
    <x:row r="1436" ht="72" customHeight="1">
      <x:c r="A1436" s="144" t="str">
        <x:v>Com-Signal</x:v>
      </x:c>
      <x:c r="B1436" s="144" t="str">
        <x:v>COM-SIG-Rx-0524 / FL_mot_spd_S</x:v>
      </x:c>
      <x:c r="C1436" s="144" t="str">
        <x:v>PDU=VCU_0x05A; startBit=416; length=16; byteOrder=Little; type=SINT16; factor=1; offset=0; min=-32768; max=32767; unit=Nm; receivers=MPC,MRR,BSMCL,BSMCR,FCR</x:v>
      </x:c>
      <x:c r="D14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6" s="144" t="str">
        <x:v>M2</x:v>
      </x:c>
      <x:c r="F1436" s="144" t="str">
        <x:v>Signal 级可编辑配置、数据类型/缩放/端序合同、RTE 接口、边界值与 round-trip 测试。</x:v>
      </x:c>
      <x:c r="G1436" s="144" t="str">
        <x:v>raw=0、raw=max、物理 min/max、越界/保留值、端序字节向量、pack→unpack round-trip；1457/1457 通过。</x:v>
      </x:c>
      <x:c r="H1436" s="144" t="str">
        <x:v>coem/BYD_UKE/gen_bsw/Com/Com_PBcfg.c:72322; BoschOversea_StandardCANFD_commplatform_RCR_CAN_Matrix_V4.18.2_20251104.dbc:612</x:v>
      </x:c>
    </x:row>
    <x:row r="1437" ht="72" customHeight="1">
      <x:c r="A1437" s="144" t="str">
        <x:v>Com-Signal</x:v>
      </x:c>
      <x:c r="B1437" s="144" t="str">
        <x:v>COM-SIG-Rx-0525 / FL_mot_spd_efc_flg_S</x:v>
      </x:c>
      <x:c r="C1437" s="144" t="str">
        <x:v>PDU=VCU_0x05A; startBit=484; length=1; byteOrder=Little; type=UINT8; factor=1; offset=0; min=0; max=1; unit=-; receivers=MPC,MRR,BSMCL,BSMCR,FCR</x:v>
      </x:c>
      <x:c r="D14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7" s="144" t="str">
        <x:v>M2</x:v>
      </x:c>
      <x:c r="F1437" s="144" t="str">
        <x:v>Signal 级可编辑配置、数据类型/缩放/端序合同、RTE 接口、边界值与 round-trip 测试。</x:v>
      </x:c>
      <x:c r="G1437" s="144" t="str">
        <x:v>raw=0、raw=max、物理 min/max、越界/保留值、端序字节向量、pack→unpack round-trip；1457/1457 通过。</x:v>
      </x:c>
      <x:c r="H1437" s="144" t="str">
        <x:v>coem/BYD_UKE/gen_bsw/Com/Com_PBcfg.c:72382; BoschOversea_StandardCANFD_commplatform_RCR_CAN_Matrix_V4.18.2_20251104.dbc:620</x:v>
      </x:c>
    </x:row>
    <x:row r="1438" ht="72" customHeight="1">
      <x:c r="A1438" s="144" t="str">
        <x:v>Com-Signal</x:v>
      </x:c>
      <x:c r="B1438" s="144" t="str">
        <x:v>COM-SIG-Rx-0526 / FL_mot_whl_act_tq_S</x:v>
      </x:c>
      <x:c r="C1438" s="144" t="str">
        <x:v>PDU=VCU_0x05A; startBit=352; length=16; byteOrder=Little; type=SINT16; factor=1; offset=0; min=-32768; max=32767; unit=Nm; receivers=MPC,MRR,BSMCL,BSMCR,FCR</x:v>
      </x:c>
      <x:c r="D14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8" s="144" t="str">
        <x:v>M2</x:v>
      </x:c>
      <x:c r="F1438" s="144" t="str">
        <x:v>Signal 级可编辑配置、数据类型/缩放/端序合同、RTE 接口、边界值与 round-trip 测试。</x:v>
      </x:c>
      <x:c r="G1438" s="144" t="str">
        <x:v>raw=0、raw=max、物理 min/max、越界/保留值、端序字节向量、pack→unpack round-trip；1457/1457 通过。</x:v>
      </x:c>
      <x:c r="H1438" s="144" t="str">
        <x:v>coem/BYD_UKE/gen_bsw/Com/Com_PBcfg.c:72442; BoschOversea_StandardCANFD_commplatform_RCR_CAN_Matrix_V4.18.2_20251104.dbc:608</x:v>
      </x:c>
    </x:row>
    <x:row r="1439" ht="72" customHeight="1">
      <x:c r="A1439" s="144" t="str">
        <x:v>Com-Signal</x:v>
      </x:c>
      <x:c r="B1439" s="144" t="str">
        <x:v>COM-SIG-Rx-0527 / FL_mot_whl_act_tq_efc_flg_S</x:v>
      </x:c>
      <x:c r="C1439" s="144" t="str">
        <x:v>PDU=VCU_0x05A; startBit=480; length=1; byteOrder=Little; type=UINT8; factor=1; offset=0; min=0; max=1; unit=-; receivers=MPC,MRR,BSMCL,BSMCR,FCR</x:v>
      </x:c>
      <x:c r="D14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39" s="144" t="str">
        <x:v>M2</x:v>
      </x:c>
      <x:c r="F1439" s="144" t="str">
        <x:v>Signal 级可编辑配置、数据类型/缩放/端序合同、RTE 接口、边界值与 round-trip 测试。</x:v>
      </x:c>
      <x:c r="G1439" s="144" t="str">
        <x:v>raw=0、raw=max、物理 min/max、越界/保留值、端序字节向量、pack→unpack round-trip；1457/1457 通过。</x:v>
      </x:c>
      <x:c r="H1439" s="144" t="str">
        <x:v>coem/BYD_UKE/gen_bsw/Com/Com_PBcfg.c:72502; BoschOversea_StandardCANFD_commplatform_RCR_CAN_Matrix_V4.18.2_20251104.dbc:616</x:v>
      </x:c>
    </x:row>
    <x:row r="1440" ht="72" customHeight="1">
      <x:c r="A1440" s="144" t="str">
        <x:v>Com-Signal</x:v>
      </x:c>
      <x:c r="B1440" s="144" t="str">
        <x:v>COM-SIG-Rx-0528 / FR_mot_spd_S</x:v>
      </x:c>
      <x:c r="C1440" s="144" t="str">
        <x:v>PDU=VCU_0x05A; startBit=432; length=16; byteOrder=Little; type=SINT16; factor=1; offset=0; min=-32768; max=32767; unit=Nm; receivers=MPC,MRR,BSMCL,BSMCR,FCR</x:v>
      </x:c>
      <x:c r="D14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0" s="144" t="str">
        <x:v>M2</x:v>
      </x:c>
      <x:c r="F1440" s="144" t="str">
        <x:v>Signal 级可编辑配置、数据类型/缩放/端序合同、RTE 接口、边界值与 round-trip 测试。</x:v>
      </x:c>
      <x:c r="G1440" s="144" t="str">
        <x:v>raw=0、raw=max、物理 min/max、越界/保留值、端序字节向量、pack→unpack round-trip；1457/1457 通过。</x:v>
      </x:c>
      <x:c r="H1440" s="144" t="str">
        <x:v>coem/BYD_UKE/gen_bsw/Com/Com_PBcfg.c:72562; BoschOversea_StandardCANFD_commplatform_RCR_CAN_Matrix_V4.18.2_20251104.dbc:613</x:v>
      </x:c>
    </x:row>
    <x:row r="1441" ht="72" customHeight="1">
      <x:c r="A1441" s="144" t="str">
        <x:v>Com-Signal</x:v>
      </x:c>
      <x:c r="B1441" s="144" t="str">
        <x:v>COM-SIG-Rx-0529 / FR_mot_spd_efc_flg_S</x:v>
      </x:c>
      <x:c r="C1441" s="144" t="str">
        <x:v>PDU=VCU_0x05A; startBit=485; length=1; byteOrder=Little; type=UINT8; factor=1; offset=0; min=0; max=1; unit=-; receivers=MPC,MRR,BSMCL,BSMCR,FCR</x:v>
      </x:c>
      <x:c r="D14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1" s="144" t="str">
        <x:v>M2</x:v>
      </x:c>
      <x:c r="F1441" s="144" t="str">
        <x:v>Signal 级可编辑配置、数据类型/缩放/端序合同、RTE 接口、边界值与 round-trip 测试。</x:v>
      </x:c>
      <x:c r="G1441" s="144" t="str">
        <x:v>raw=0、raw=max、物理 min/max、越界/保留值、端序字节向量、pack→unpack round-trip；1457/1457 通过。</x:v>
      </x:c>
      <x:c r="H1441" s="144" t="str">
        <x:v>coem/BYD_UKE/gen_bsw/Com/Com_PBcfg.c:72622; BoschOversea_StandardCANFD_commplatform_RCR_CAN_Matrix_V4.18.2_20251104.dbc:621</x:v>
      </x:c>
    </x:row>
    <x:row r="1442" ht="72" customHeight="1">
      <x:c r="A1442" s="144" t="str">
        <x:v>Com-Signal</x:v>
      </x:c>
      <x:c r="B1442" s="144" t="str">
        <x:v>COM-SIG-Rx-0530 / FR_mot_whl_act_tq_S</x:v>
      </x:c>
      <x:c r="C1442" s="144" t="str">
        <x:v>PDU=VCU_0x05A; startBit=368; length=16; byteOrder=Little; type=SINT16; factor=1; offset=0; min=-32768; max=32767; unit=Nm; receivers=MPC,MRR,BSMCL,BSMCR,FCR</x:v>
      </x:c>
      <x:c r="D14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2" s="144" t="str">
        <x:v>M2</x:v>
      </x:c>
      <x:c r="F1442" s="144" t="str">
        <x:v>Signal 级可编辑配置、数据类型/缩放/端序合同、RTE 接口、边界值与 round-trip 测试。</x:v>
      </x:c>
      <x:c r="G1442" s="144" t="str">
        <x:v>raw=0、raw=max、物理 min/max、越界/保留值、端序字节向量、pack→unpack round-trip；1457/1457 通过。</x:v>
      </x:c>
      <x:c r="H1442" s="144" t="str">
        <x:v>coem/BYD_UKE/gen_bsw/Com/Com_PBcfg.c:72682; BoschOversea_StandardCANFD_commplatform_RCR_CAN_Matrix_V4.18.2_20251104.dbc:609</x:v>
      </x:c>
    </x:row>
    <x:row r="1443" ht="72" customHeight="1">
      <x:c r="A1443" s="144" t="str">
        <x:v>Com-Signal</x:v>
      </x:c>
      <x:c r="B1443" s="144" t="str">
        <x:v>COM-SIG-Rx-0531 / FR_mot_whl_act_tq_efc_flg_S</x:v>
      </x:c>
      <x:c r="C1443" s="144" t="str">
        <x:v>PDU=VCU_0x05A; startBit=481; length=1; byteOrder=Little; type=UINT8; factor=1; offset=0; min=0; max=1; unit=-; receivers=MPC,MRR,BSMCL,BSMCR,FCR</x:v>
      </x:c>
      <x:c r="D14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3" s="144" t="str">
        <x:v>M2</x:v>
      </x:c>
      <x:c r="F1443" s="144" t="str">
        <x:v>Signal 级可编辑配置、数据类型/缩放/端序合同、RTE 接口、边界值与 round-trip 测试。</x:v>
      </x:c>
      <x:c r="G1443" s="144" t="str">
        <x:v>raw=0、raw=max、物理 min/max、越界/保留值、端序字节向量、pack→unpack round-trip；1457/1457 通过。</x:v>
      </x:c>
      <x:c r="H1443" s="144" t="str">
        <x:v>coem/BYD_UKE/gen_bsw/Com/Com_PBcfg.c:72742; BoschOversea_StandardCANFD_commplatform_RCR_CAN_Matrix_V4.18.2_20251104.dbc:617</x:v>
      </x:c>
    </x:row>
    <x:row r="1444" ht="72" customHeight="1">
      <x:c r="A1444" s="144" t="str">
        <x:v>Com-Signal</x:v>
      </x:c>
      <x:c r="B1444" s="144" t="str">
        <x:v>COM-SIG-Rx-0532 / F_mot_spd_err_flg_hw</x:v>
      </x:c>
      <x:c r="C1444" s="144" t="str">
        <x:v>PDU=VCU_0x05A; startBit=252; length=1; byteOrder=Little; type=UINT8; factor=1; offset=0; min=0; max=1; unit=-; receivers=MPC,MRR,BSMCL,BSMCR,FCR</x:v>
      </x:c>
      <x:c r="D14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4" s="144" t="str">
        <x:v>M2</x:v>
      </x:c>
      <x:c r="F1444" s="144" t="str">
        <x:v>Signal 级可编辑配置、数据类型/缩放/端序合同、RTE 接口、边界值与 round-trip 测试。</x:v>
      </x:c>
      <x:c r="G1444" s="144" t="str">
        <x:v>raw=0、raw=max、物理 min/max、越界/保留值、端序字节向量、pack→unpack round-trip；1457/1457 通过。</x:v>
      </x:c>
      <x:c r="H1444" s="144" t="str">
        <x:v>coem/BYD_UKE/gen_bsw/Com/Com_PBcfg.c:72802; BoschOversea_StandardCANFD_commplatform_RCR_CAN_Matrix_V4.18.2_20251104.dbc:594</x:v>
      </x:c>
    </x:row>
    <x:row r="1445" ht="72" customHeight="1">
      <x:c r="A1445" s="144" t="str">
        <x:v>Com-Signal</x:v>
      </x:c>
      <x:c r="B1445" s="144" t="str">
        <x:v>COM-SIG-Rx-0533 / F_mot_spd_hw</x:v>
      </x:c>
      <x:c r="C1445" s="144" t="str">
        <x:v>PDU=VCU_0x05A; startBit=264; length=16; byteOrder=Little; type=UINT16; factor=1; offset=-30000; min=-30000; max=30000; unit=-; receivers=MPC,MRR,BSMCL,BSMCR,FCR</x:v>
      </x:c>
      <x:c r="D14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5" s="144" t="str">
        <x:v>M2</x:v>
      </x:c>
      <x:c r="F1445" s="144" t="str">
        <x:v>Signal 级可编辑配置、数据类型/缩放/端序合同、RTE 接口、边界值与 round-trip 测试。</x:v>
      </x:c>
      <x:c r="G1445" s="144" t="str">
        <x:v>raw=0、raw=max、物理 min/max、越界/保留值、端序字节向量、pack→unpack round-trip；1457/1457 通过。</x:v>
      </x:c>
      <x:c r="H1445" s="144" t="str">
        <x:v>coem/BYD_UKE/gen_bsw/Com/Com_PBcfg.c:72862; BoschOversea_StandardCANFD_commplatform_RCR_CAN_Matrix_V4.18.2_20251104.dbc:599</x:v>
      </x:c>
    </x:row>
    <x:row r="1446" ht="72" customHeight="1">
      <x:c r="A1446" s="144" t="str">
        <x:v>Com-Signal</x:v>
      </x:c>
      <x:c r="B1446" s="144" t="str">
        <x:v>COM-SIG-Rx-0534 / Faxis_act_tq_efc_flg_hw</x:v>
      </x:c>
      <x:c r="C1446" s="144" t="str">
        <x:v>PDU=VCU_0x05A; startBit=254; length=1; byteOrder=Little; type=UINT8; factor=1; offset=0; min=0; max=1; unit=-; receivers=MPC,MRR,BSMCL,BSMCR,FCR</x:v>
      </x:c>
      <x:c r="D14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6" s="144" t="str">
        <x:v>M2</x:v>
      </x:c>
      <x:c r="F1446" s="144" t="str">
        <x:v>Signal 级可编辑配置、数据类型/缩放/端序合同、RTE 接口、边界值与 round-trip 测试。</x:v>
      </x:c>
      <x:c r="G1446" s="144" t="str">
        <x:v>raw=0、raw=max、物理 min/max、越界/保留值、端序字节向量、pack→unpack round-trip；1457/1457 通过。</x:v>
      </x:c>
      <x:c r="H1446" s="144" t="str">
        <x:v>coem/BYD_UKE/gen_bsw/Com/Com_PBcfg.c:72922; BoschOversea_StandardCANFD_commplatform_RCR_CAN_Matrix_V4.18.2_20251104.dbc:596</x:v>
      </x:c>
    </x:row>
    <x:row r="1447" ht="72" customHeight="1">
      <x:c r="A1447" s="144" t="str">
        <x:v>Com-Signal</x:v>
      </x:c>
      <x:c r="B1447" s="144" t="str">
        <x:v>COM-SIG-Rx-0535 / Faxis_act_tq_hw</x:v>
      </x:c>
      <x:c r="C1447" s="144" t="str">
        <x:v>PDU=VCU_0x05A; startBit=312; length=16; byteOrder=Little; type=UINT16; factor=1; offset=-12000; min=-12000; max=12000; unit=-; receivers=MPC,MRR,BSMCL,BSMCR,FCR</x:v>
      </x:c>
      <x:c r="D14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7" s="144" t="str">
        <x:v>M2</x:v>
      </x:c>
      <x:c r="F1447" s="144" t="str">
        <x:v>Signal 级可编辑配置、数据类型/缩放/端序合同、RTE 接口、边界值与 round-trip 测试。</x:v>
      </x:c>
      <x:c r="G1447" s="144" t="str">
        <x:v>raw=0、raw=max、物理 min/max、越界/保留值、端序字节向量、pack→unpack round-trip；1457/1457 通过。</x:v>
      </x:c>
      <x:c r="H1447" s="144" t="str">
        <x:v>coem/BYD_UKE/gen_bsw/Com/Com_PBcfg.c:72982; BoschOversea_StandardCANFD_commplatform_RCR_CAN_Matrix_V4.18.2_20251104.dbc:603</x:v>
      </x:c>
    </x:row>
    <x:row r="1448" ht="72" customHeight="1">
      <x:c r="A1448" s="144" t="str">
        <x:v>Com-Signal</x:v>
      </x:c>
      <x:c r="B1448" s="144" t="str">
        <x:v>COM-SIG-Rx-0536 / LR_mot_whl_act_tq_efc_flg_S</x:v>
      </x:c>
      <x:c r="C1448" s="144" t="str">
        <x:v>PDU=VCU_0x05A; startBit=482; length=1; byteOrder=Little; type=UINT8; factor=1; offset=0; min=0; max=1; unit=-; receivers=MPC,MRR,BSMCL,BSMCR,FCR</x:v>
      </x:c>
      <x:c r="D14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8" s="144" t="str">
        <x:v>M2</x:v>
      </x:c>
      <x:c r="F1448" s="144" t="str">
        <x:v>Signal 级可编辑配置、数据类型/缩放/端序合同、RTE 接口、边界值与 round-trip 测试。</x:v>
      </x:c>
      <x:c r="G1448" s="144" t="str">
        <x:v>raw=0、raw=max、物理 min/max、越界/保留值、端序字节向量、pack→unpack round-trip；1457/1457 通过。</x:v>
      </x:c>
      <x:c r="H1448" s="144" t="str">
        <x:v>coem/BYD_UKE/gen_bsw/Com/Com_PBcfg.c:73042; BoschOversea_StandardCANFD_commplatform_RCR_CAN_Matrix_V4.18.2_20251104.dbc:618</x:v>
      </x:c>
    </x:row>
    <x:row r="1449" ht="72" customHeight="1">
      <x:c r="A1449" s="144" t="str">
        <x:v>Com-Signal</x:v>
      </x:c>
      <x:c r="B1449" s="144" t="str">
        <x:v>COM-SIG-Rx-0537 / Ok_lamp_hw</x:v>
      </x:c>
      <x:c r="C1449" s="144" t="str">
        <x:v>PDU=VCU_0x05A; startBit=344; length=2; byteOrder=Little; type=UINT8; factor=1; offset=0; min=0; max=3; unit=-; receivers=MPC,MRR,BSMCL,BSMCR,FCR</x:v>
      </x:c>
      <x:c r="D14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49" s="144" t="str">
        <x:v>M2</x:v>
      </x:c>
      <x:c r="F1449" s="144" t="str">
        <x:v>Signal 级可编辑配置、数据类型/缩放/端序合同、RTE 接口、边界值与 round-trip 测试。</x:v>
      </x:c>
      <x:c r="G1449" s="144" t="str">
        <x:v>raw=0、raw=max、物理 min/max、越界/保留值、端序字节向量、pack→unpack round-trip；1457/1457 通过。</x:v>
      </x:c>
      <x:c r="H1449" s="144" t="str">
        <x:v>coem/BYD_UKE/gen_bsw/Com/Com_PBcfg.c:73102; BoschOversea_StandardCANFD_commplatform_RCR_CAN_Matrix_V4.18.2_20251104.dbc:605</x:v>
      </x:c>
    </x:row>
    <x:row r="1450" ht="72" customHeight="1">
      <x:c r="A1450" s="144" t="str">
        <x:v>Com-Signal</x:v>
      </x:c>
      <x:c r="B1450" s="144" t="str">
        <x:v>COM-SIG-Rx-0538 / RL_mot_spd_S</x:v>
      </x:c>
      <x:c r="C1450" s="144" t="str">
        <x:v>PDU=VCU_0x05A; startBit=448; length=16; byteOrder=Little; type=SINT16; factor=1; offset=0; min=-32768; max=32767; unit=Nm; receivers=MPC,MRR,BSMCL,BSMCR,FCR</x:v>
      </x:c>
      <x:c r="D145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0" s="144" t="str">
        <x:v>M2</x:v>
      </x:c>
      <x:c r="F1450" s="144" t="str">
        <x:v>Signal 级可编辑配置、数据类型/缩放/端序合同、RTE 接口、边界值与 round-trip 测试。</x:v>
      </x:c>
      <x:c r="G1450" s="144" t="str">
        <x:v>raw=0、raw=max、物理 min/max、越界/保留值、端序字节向量、pack→unpack round-trip；1457/1457 通过。</x:v>
      </x:c>
      <x:c r="H1450" s="144" t="str">
        <x:v>coem/BYD_UKE/gen_bsw/Com/Com_PBcfg.c:73162; BoschOversea_StandardCANFD_commplatform_RCR_CAN_Matrix_V4.18.2_20251104.dbc:614</x:v>
      </x:c>
    </x:row>
    <x:row r="1451" ht="72" customHeight="1">
      <x:c r="A1451" s="144" t="str">
        <x:v>Com-Signal</x:v>
      </x:c>
      <x:c r="B1451" s="144" t="str">
        <x:v>COM-SIG-Rx-0539 / RL_mot_spd_efc_flg_S</x:v>
      </x:c>
      <x:c r="C1451" s="144" t="str">
        <x:v>PDU=VCU_0x05A; startBit=486; length=1; byteOrder=Little; type=UINT8; factor=1; offset=0; min=0; max=1; unit=-; receivers=MPC,MRR,BSMCL,BSMCR,FCR</x:v>
      </x:c>
      <x:c r="D14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1" s="144" t="str">
        <x:v>M2</x:v>
      </x:c>
      <x:c r="F1451" s="144" t="str">
        <x:v>Signal 级可编辑配置、数据类型/缩放/端序合同、RTE 接口、边界值与 round-trip 测试。</x:v>
      </x:c>
      <x:c r="G1451" s="144" t="str">
        <x:v>raw=0、raw=max、物理 min/max、越界/保留值、端序字节向量、pack→unpack round-trip；1457/1457 通过。</x:v>
      </x:c>
      <x:c r="H1451" s="144" t="str">
        <x:v>coem/BYD_UKE/gen_bsw/Com/Com_PBcfg.c:73222; BoschOversea_StandardCANFD_commplatform_RCR_CAN_Matrix_V4.18.2_20251104.dbc:622</x:v>
      </x:c>
    </x:row>
    <x:row r="1452" ht="72" customHeight="1">
      <x:c r="A1452" s="144" t="str">
        <x:v>Com-Signal</x:v>
      </x:c>
      <x:c r="B1452" s="144" t="str">
        <x:v>COM-SIG-Rx-0540 / RL_mot_whl_act_tq_S</x:v>
      </x:c>
      <x:c r="C1452" s="144" t="str">
        <x:v>PDU=VCU_0x05A; startBit=384; length=16; byteOrder=Little; type=SINT16; factor=1; offset=0; min=-32768; max=32767; unit=Nm; receivers=MPC,MRR,BSMCL,BSMCR,FCR</x:v>
      </x:c>
      <x:c r="D14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2" s="144" t="str">
        <x:v>M2</x:v>
      </x:c>
      <x:c r="F1452" s="144" t="str">
        <x:v>Signal 级可编辑配置、数据类型/缩放/端序合同、RTE 接口、边界值与 round-trip 测试。</x:v>
      </x:c>
      <x:c r="G1452" s="144" t="str">
        <x:v>raw=0、raw=max、物理 min/max、越界/保留值、端序字节向量、pack→unpack round-trip；1457/1457 通过。</x:v>
      </x:c>
      <x:c r="H1452" s="144" t="str">
        <x:v>coem/BYD_UKE/gen_bsw/Com/Com_PBcfg.c:73282; BoschOversea_StandardCANFD_commplatform_RCR_CAN_Matrix_V4.18.2_20251104.dbc:610</x:v>
      </x:c>
    </x:row>
    <x:row r="1453" ht="72" customHeight="1">
      <x:c r="A1453" s="144" t="str">
        <x:v>Com-Signal</x:v>
      </x:c>
      <x:c r="B1453" s="144" t="str">
        <x:v>COM-SIG-Rx-0541 / RR_mot_spd_S</x:v>
      </x:c>
      <x:c r="C1453" s="144" t="str">
        <x:v>PDU=VCU_0x05A; startBit=464; length=16; byteOrder=Little; type=SINT16; factor=1; offset=0; min=-32768; max=32767; unit=Nm; receivers=MPC,MRR,BSMCL,BSMCR,FCR</x:v>
      </x:c>
      <x:c r="D14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3" s="144" t="str">
        <x:v>M2</x:v>
      </x:c>
      <x:c r="F1453" s="144" t="str">
        <x:v>Signal 级可编辑配置、数据类型/缩放/端序合同、RTE 接口、边界值与 round-trip 测试。</x:v>
      </x:c>
      <x:c r="G1453" s="144" t="str">
        <x:v>raw=0、raw=max、物理 min/max、越界/保留值、端序字节向量、pack→unpack round-trip；1457/1457 通过。</x:v>
      </x:c>
      <x:c r="H1453" s="144" t="str">
        <x:v>coem/BYD_UKE/gen_bsw/Com/Com_PBcfg.c:73342; BoschOversea_StandardCANFD_commplatform_RCR_CAN_Matrix_V4.18.2_20251104.dbc:615</x:v>
      </x:c>
    </x:row>
    <x:row r="1454" ht="72" customHeight="1">
      <x:c r="A1454" s="144" t="str">
        <x:v>Com-Signal</x:v>
      </x:c>
      <x:c r="B1454" s="144" t="str">
        <x:v>COM-SIG-Rx-0542 / RR_mot_spd_efc_flg_S</x:v>
      </x:c>
      <x:c r="C1454" s="144" t="str">
        <x:v>PDU=VCU_0x05A; startBit=487; length=1; byteOrder=Little; type=UINT8; factor=1; offset=0; min=0; max=1; unit=-; receivers=MPC,MRR,BSMCL,BSMCR,FCR</x:v>
      </x:c>
      <x:c r="D14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4" s="144" t="str">
        <x:v>M2</x:v>
      </x:c>
      <x:c r="F1454" s="144" t="str">
        <x:v>Signal 级可编辑配置、数据类型/缩放/端序合同、RTE 接口、边界值与 round-trip 测试。</x:v>
      </x:c>
      <x:c r="G1454" s="144" t="str">
        <x:v>raw=0、raw=max、物理 min/max、越界/保留值、端序字节向量、pack→unpack round-trip；1457/1457 通过。</x:v>
      </x:c>
      <x:c r="H1454" s="144" t="str">
        <x:v>coem/BYD_UKE/gen_bsw/Com/Com_PBcfg.c:73402; BoschOversea_StandardCANFD_commplatform_RCR_CAN_Matrix_V4.18.2_20251104.dbc:623</x:v>
      </x:c>
    </x:row>
    <x:row r="1455" ht="72" customHeight="1">
      <x:c r="A1455" s="144" t="str">
        <x:v>Com-Signal</x:v>
      </x:c>
      <x:c r="B1455" s="144" t="str">
        <x:v>COM-SIG-Rx-0543 / RR_mot_whl_act_tq_S</x:v>
      </x:c>
      <x:c r="C1455" s="144" t="str">
        <x:v>PDU=VCU_0x05A; startBit=400; length=16; byteOrder=Little; type=SINT16; factor=1; offset=0; min=-32768; max=32767; unit=Nm; receivers=MPC,MRR,BSMCL,BSMCR,FCR</x:v>
      </x:c>
      <x:c r="D14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5" s="144" t="str">
        <x:v>M2</x:v>
      </x:c>
      <x:c r="F1455" s="144" t="str">
        <x:v>Signal 级可编辑配置、数据类型/缩放/端序合同、RTE 接口、边界值与 round-trip 测试。</x:v>
      </x:c>
      <x:c r="G1455" s="144" t="str">
        <x:v>raw=0、raw=max、物理 min/max、越界/保留值、端序字节向量、pack→unpack round-trip；1457/1457 通过。</x:v>
      </x:c>
      <x:c r="H1455" s="144" t="str">
        <x:v>coem/BYD_UKE/gen_bsw/Com/Com_PBcfg.c:73462; BoschOversea_StandardCANFD_commplatform_RCR_CAN_Matrix_V4.18.2_20251104.dbc:611</x:v>
      </x:c>
    </x:row>
    <x:row r="1456" ht="72" customHeight="1">
      <x:c r="A1456" s="144" t="str">
        <x:v>Com-Signal</x:v>
      </x:c>
      <x:c r="B1456" s="144" t="str">
        <x:v>COM-SIG-Rx-0544 / RR_mot_whl_act_tq_efc_flg_S</x:v>
      </x:c>
      <x:c r="C1456" s="144" t="str">
        <x:v>PDU=VCU_0x05A; startBit=483; length=1; byteOrder=Little; type=UINT8; factor=1; offset=0; min=0; max=1; unit=-; receivers=MPC,MRR,BSMCL,BSMCR,FCR</x:v>
      </x:c>
      <x:c r="D14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6" s="144" t="str">
        <x:v>M2</x:v>
      </x:c>
      <x:c r="F1456" s="144" t="str">
        <x:v>Signal 级可编辑配置、数据类型/缩放/端序合同、RTE 接口、边界值与 round-trip 测试。</x:v>
      </x:c>
      <x:c r="G1456" s="144" t="str">
        <x:v>raw=0、raw=max、物理 min/max、越界/保留值、端序字节向量、pack→unpack round-trip；1457/1457 通过。</x:v>
      </x:c>
      <x:c r="H1456" s="144" t="str">
        <x:v>coem/BYD_UKE/gen_bsw/Com/Com_PBcfg.c:73522; BoschOversea_StandardCANFD_commplatform_RCR_CAN_Matrix_V4.18.2_20251104.dbc:619</x:v>
      </x:c>
    </x:row>
    <x:row r="1457" ht="72" customHeight="1">
      <x:c r="A1457" s="144" t="str">
        <x:v>Com-Signal</x:v>
      </x:c>
      <x:c r="B1457" s="144" t="str">
        <x:v>COM-SIG-Rx-0545 / R_axis_fac_tq_hw</x:v>
      </x:c>
      <x:c r="C1457" s="144" t="str">
        <x:v>PDU=VCU_0x05A; startBit=328; length=16; byteOrder=Little; type=UINT16; factor=1; offset=-12000; min=-12000; max=12000; unit=-; receivers=MPC,MRR,BSMCL,BSMCR,FCR</x:v>
      </x:c>
      <x:c r="D145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7" s="144" t="str">
        <x:v>M2</x:v>
      </x:c>
      <x:c r="F1457" s="144" t="str">
        <x:v>Signal 级可编辑配置、数据类型/缩放/端序合同、RTE 接口、边界值与 round-trip 测试。</x:v>
      </x:c>
      <x:c r="G1457" s="144" t="str">
        <x:v>raw=0、raw=max、物理 min/max、越界/保留值、端序字节向量、pack→unpack round-trip；1457/1457 通过。</x:v>
      </x:c>
      <x:c r="H1457" s="144" t="str">
        <x:v>coem/BYD_UKE/gen_bsw/Com/Com_PBcfg.c:73582; BoschOversea_StandardCANFD_commplatform_RCR_CAN_Matrix_V4.18.2_20251104.dbc:604</x:v>
      </x:c>
    </x:row>
    <x:row r="1458" ht="72" customHeight="1">
      <x:c r="A1458" s="144" t="str">
        <x:v>Com-Signal</x:v>
      </x:c>
      <x:c r="B1458" s="144" t="str">
        <x:v>COM-SIG-Rx-0546 / R_mot_fac_tq_sts_hw</x:v>
      </x:c>
      <x:c r="C1458" s="144" t="str">
        <x:v>PDU=VCU_0x05A; startBit=255; length=1; byteOrder=Little; type=UINT8; factor=1; offset=0; min=0; max=1; unit=-; receivers=MPC,MRR,BSMCL,BSMCR,FCR</x:v>
      </x:c>
      <x:c r="D14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8" s="144" t="str">
        <x:v>M2</x:v>
      </x:c>
      <x:c r="F1458" s="144" t="str">
        <x:v>Signal 级可编辑配置、数据类型/缩放/端序合同、RTE 接口、边界值与 round-trip 测试。</x:v>
      </x:c>
      <x:c r="G1458" s="144" t="str">
        <x:v>raw=0、raw=max、物理 min/max、越界/保留值、端序字节向量、pack→unpack round-trip；1457/1457 通过。</x:v>
      </x:c>
      <x:c r="H1458" s="144" t="str">
        <x:v>coem/BYD_UKE/gen_bsw/Com/Com_PBcfg.c:73642; BoschOversea_StandardCANFD_commplatform_RCR_CAN_Matrix_V4.18.2_20251104.dbc:597</x:v>
      </x:c>
    </x:row>
    <x:row r="1459" ht="72" customHeight="1">
      <x:c r="A1459" s="144" t="str">
        <x:v>Com-Signal</x:v>
      </x:c>
      <x:c r="B1459" s="144" t="str">
        <x:v>COM-SIG-Rx-0547 / R_mot_spd_err_hw</x:v>
      </x:c>
      <x:c r="C1459" s="144" t="str">
        <x:v>PDU=VCU_0x05A; startBit=253; length=1; byteOrder=Little; type=UINT8; factor=1; offset=0; min=0; max=1; unit=-; receivers=MPC,MRR,BSMCL,BSMCR,FCR</x:v>
      </x:c>
      <x:c r="D14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59" s="144" t="str">
        <x:v>M2</x:v>
      </x:c>
      <x:c r="F1459" s="144" t="str">
        <x:v>Signal 级可编辑配置、数据类型/缩放/端序合同、RTE 接口、边界值与 round-trip 测试。</x:v>
      </x:c>
      <x:c r="G1459" s="144" t="str">
        <x:v>raw=0、raw=max、物理 min/max、越界/保留值、端序字节向量、pack→unpack round-trip；1457/1457 通过。</x:v>
      </x:c>
      <x:c r="H1459" s="144" t="str">
        <x:v>coem/BYD_UKE/gen_bsw/Com/Com_PBcfg.c:73702; BoschOversea_StandardCANFD_commplatform_RCR_CAN_Matrix_V4.18.2_20251104.dbc:595</x:v>
      </x:c>
    </x:row>
    <x:row r="1460" ht="72" customHeight="1">
      <x:c r="A1460" s="144" t="str">
        <x:v>Com-Signal</x:v>
      </x:c>
      <x:c r="B1460" s="144" t="str">
        <x:v>COM-SIG-Rx-0548 / R_mot_spd_hw</x:v>
      </x:c>
      <x:c r="C1460" s="144" t="str">
        <x:v>PDU=VCU_0x05A; startBit=280; length=16; byteOrder=Little; type=UINT16; factor=1; offset=-30000; min=-30000; max=30000; unit=-; receivers=MPC,MRR,BSMCL,BSMCR,FCR</x:v>
      </x:c>
      <x:c r="D14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0" s="144" t="str">
        <x:v>M2</x:v>
      </x:c>
      <x:c r="F1460" s="144" t="str">
        <x:v>Signal 级可编辑配置、数据类型/缩放/端序合同、RTE 接口、边界值与 round-trip 测试。</x:v>
      </x:c>
      <x:c r="G1460" s="144" t="str">
        <x:v>raw=0、raw=max、物理 min/max、越界/保留值、端序字节向量、pack→unpack round-trip；1457/1457 通过。</x:v>
      </x:c>
      <x:c r="H1460" s="144" t="str">
        <x:v>coem/BYD_UKE/gen_bsw/Com/Com_PBcfg.c:73762; BoschOversea_StandardCANFD_commplatform_RCR_CAN_Matrix_V4.18.2_20251104.dbc:600</x:v>
      </x:c>
    </x:row>
    <x:row r="1461" ht="72" customHeight="1">
      <x:c r="A1461" s="144" t="str">
        <x:v>Com-Signal</x:v>
      </x:c>
      <x:c r="B1461" s="144" t="str">
        <x:v>COM-SIG-Rx-0549 / Rnk_efc_flg_hw</x:v>
      </x:c>
      <x:c r="C1461" s="144" t="str">
        <x:v>PDU=VCU_0x05A; startBit=215; length=1; byteOrder=Little; type=UINT8; factor=1; offset=0; min=0; max=1; unit=-; receivers=MPC,MRR,BSMCL,BSMCR,FCR</x:v>
      </x:c>
      <x:c r="D14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1" s="144" t="str">
        <x:v>M2</x:v>
      </x:c>
      <x:c r="F1461" s="144" t="str">
        <x:v>Signal 级可编辑配置、数据类型/缩放/端序合同、RTE 接口、边界值与 round-trip 测试。</x:v>
      </x:c>
      <x:c r="G1461" s="144" t="str">
        <x:v>raw=0、raw=max、物理 min/max、越界/保留值、端序字节向量、pack→unpack round-trip；1457/1457 通过。</x:v>
      </x:c>
      <x:c r="H1461" s="144" t="str">
        <x:v>coem/BYD_UKE/gen_bsw/Com/Com_PBcfg.c:73822; BoschOversea_StandardCANFD_commplatform_RCR_CAN_Matrix_V4.18.2_20251104.dbc:590</x:v>
      </x:c>
    </x:row>
    <x:row r="1462" ht="72" customHeight="1">
      <x:c r="A1462" s="144" t="str">
        <x:v>Com-Signal</x:v>
      </x:c>
      <x:c r="B1462" s="144" t="str">
        <x:v>COM-SIG-Rx-0550 / Rnk_hw</x:v>
      </x:c>
      <x:c r="C1462" s="144" t="str">
        <x:v>PDU=VCU_0x05A; startBit=248; length=4; byteOrder=Little; type=UINT8; factor=1; offset=0; min=0; max=15; unit=-; receivers=MPC,MRR,BSMCL,BSMCR,FCR</x:v>
      </x:c>
      <x:c r="D14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2" s="144" t="str">
        <x:v>M2</x:v>
      </x:c>
      <x:c r="F1462" s="144" t="str">
        <x:v>Signal 级可编辑配置、数据类型/缩放/端序合同、RTE 接口、边界值与 round-trip 测试。</x:v>
      </x:c>
      <x:c r="G1462" s="144" t="str">
        <x:v>raw=0、raw=max、物理 min/max、越界/保留值、端序字节向量、pack→unpack round-trip；1457/1457 通过。</x:v>
      </x:c>
      <x:c r="H1462" s="144" t="str">
        <x:v>coem/BYD_UKE/gen_bsw/Com/Com_PBcfg.c:73882; BoschOversea_StandardCANFD_commplatform_RCR_CAN_Matrix_V4.18.2_20251104.dbc:593</x:v>
      </x:c>
    </x:row>
    <x:row r="1463" ht="72" customHeight="1">
      <x:c r="A1463" s="144" t="str">
        <x:v>Com-Signal</x:v>
      </x:c>
      <x:c r="B1463" s="144" t="str">
        <x:v>COM-SIG-Rx-0551 / VCU_AccrPedlPosnVld</x:v>
      </x:c>
      <x:c r="C1463" s="144" t="str">
        <x:v>PDU=VCU_0x05A; startBit=33; length=1; byteOrder=Little; type=UINT8; factor=1; offset=0; min=0; max=1; unit=-; receivers=MPC,MRR,BSMCL,BSMCR,FCR</x:v>
      </x:c>
      <x:c r="D14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3" s="144" t="str">
        <x:v>M2</x:v>
      </x:c>
      <x:c r="F1463" s="144" t="str">
        <x:v>Signal 级可编辑配置、数据类型/缩放/端序合同、RTE 接口、边界值与 round-trip 测试。</x:v>
      </x:c>
      <x:c r="G1463" s="144" t="str">
        <x:v>raw=0、raw=max、物理 min/max、越界/保留值、端序字节向量、pack→unpack round-trip；1457/1457 通过。</x:v>
      </x:c>
      <x:c r="H1463" s="144" t="str">
        <x:v>coem/BYD_UKE/gen_bsw/Com/Com_PBcfg.c:73942; BoschOversea_StandardCANFD_commplatform_RCR_CAN_Matrix_V4.18.2_20251104.dbc:562</x:v>
      </x:c>
    </x:row>
    <x:row r="1464" ht="72" customHeight="1">
      <x:c r="A1464" s="144" t="str">
        <x:v>Com-Signal</x:v>
      </x:c>
      <x:c r="B1464" s="144" t="str">
        <x:v>COM-SIG-Rx-0552 / VCU_ActPedlPosnVld</x:v>
      </x:c>
      <x:c r="C1464" s="144" t="str">
        <x:v>PDU=VCU_0x05A; startBit=32; length=1; byteOrder=Little; type=UINT8; factor=1; offset=0; min=0; max=1; unit=-; receivers=MPC,MRR,BSMCL,BSMCR,FCR</x:v>
      </x:c>
      <x:c r="D146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4" s="144" t="str">
        <x:v>M2</x:v>
      </x:c>
      <x:c r="F1464" s="144" t="str">
        <x:v>Signal 级可编辑配置、数据类型/缩放/端序合同、RTE 接口、边界值与 round-trip 测试。</x:v>
      </x:c>
      <x:c r="G1464" s="144" t="str">
        <x:v>raw=0、raw=max、物理 min/max、越界/保留值、端序字节向量、pack→unpack round-trip；1457/1457 通过。</x:v>
      </x:c>
      <x:c r="H1464" s="144" t="str">
        <x:v>coem/BYD_UKE/gen_bsw/Com/Com_PBcfg.c:74002; BoschOversea_StandardCANFD_commplatform_RCR_CAN_Matrix_V4.18.2_20251104.dbc:561</x:v>
      </x:c>
    </x:row>
    <x:row r="1465" ht="72" customHeight="1">
      <x:c r="A1465" s="144" t="str">
        <x:v>Com-Signal</x:v>
      </x:c>
      <x:c r="B1465" s="144" t="str">
        <x:v>COM-SIG-Rx-0553 / VCU_DriveReady</x:v>
      </x:c>
      <x:c r="C1465" s="144" t="str">
        <x:v>PDU=VCU_0x05A; startBit=346; length=2; byteOrder=Little; type=UINT8; factor=1; offset=0; min=0; max=3; unit=-; receivers=MPC,MRR,BSMCL,BSMCR,FCR</x:v>
      </x:c>
      <x:c r="D14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5" s="144" t="str">
        <x:v>M2</x:v>
      </x:c>
      <x:c r="F1465" s="144" t="str">
        <x:v>Signal 级可编辑配置、数据类型/缩放/端序合同、RTE 接口、边界值与 round-trip 测试。</x:v>
      </x:c>
      <x:c r="G1465" s="144" t="str">
        <x:v>raw=0、raw=max、物理 min/max、越界/保留值、端序字节向量、pack→unpack round-trip；1457/1457 通过。</x:v>
      </x:c>
      <x:c r="H1465" s="144" t="str">
        <x:v>coem/BYD_UKE/gen_bsw/Com/Com_PBcfg.c:74062; BoschOversea_StandardCANFD_commplatform_RCR_CAN_Matrix_V4.18.2_20251104.dbc:606</x:v>
      </x:c>
    </x:row>
    <x:row r="1466" ht="72" customHeight="1">
      <x:c r="A1466" s="144" t="str">
        <x:v>Com-Signal</x:v>
      </x:c>
      <x:c r="B1466" s="144" t="str">
        <x:v>COM-SIG-Rx-0554 / VCU_DriverTorqueDesired</x:v>
      </x:c>
      <x:c r="C1466" s="144" t="str">
        <x:v>PDU=VCU_0x05A; startBit=40; length=16; byteOrder=Little; type=SINT16; factor=1; offset=0; min=-32768; max=32767; unit=-; receivers=MPC,MRR,BSMCL,BSMCR,FCR</x:v>
      </x:c>
      <x:c r="D14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6" s="144" t="str">
        <x:v>M2</x:v>
      </x:c>
      <x:c r="F1466" s="144" t="str">
        <x:v>Signal 级可编辑配置、数据类型/缩放/端序合同、RTE 接口、边界值与 round-trip 测试。</x:v>
      </x:c>
      <x:c r="G1466" s="144" t="str">
        <x:v>raw=0、raw=max、物理 min/max、越界/保留值、端序字节向量、pack→unpack round-trip；1457/1457 通过。</x:v>
      </x:c>
      <x:c r="H1466" s="144" t="str">
        <x:v>coem/BYD_UKE/gen_bsw/Com/Com_PBcfg.c:74122; BoschOversea_StandardCANFD_commplatform_RCR_CAN_Matrix_V4.18.2_20251104.dbc:569</x:v>
      </x:c>
    </x:row>
    <x:row r="1467" ht="72" customHeight="1">
      <x:c r="A1467" s="144" t="str">
        <x:v>Com-Signal</x:v>
      </x:c>
      <x:c r="B1467" s="144" t="str">
        <x:v>COM-SIG-Rx-0555 / VCU_DrvrAccrPedlOvrdVLD</x:v>
      </x:c>
      <x:c r="C1467" s="144" t="str">
        <x:v>PDU=VCU_0x05A; startBit=35; length=1; byteOrder=Little; type=UINT8; factor=1; offset=0; min=0; max=1; unit=-; receivers=MPC,MRR,BSMCL,BSMCR,FCR</x:v>
      </x:c>
      <x:c r="D14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7" s="144" t="str">
        <x:v>M2</x:v>
      </x:c>
      <x:c r="F1467" s="144" t="str">
        <x:v>Signal 级可编辑配置、数据类型/缩放/端序合同、RTE 接口、边界值与 round-trip 测试。</x:v>
      </x:c>
      <x:c r="G1467" s="144" t="str">
        <x:v>raw=0、raw=max、物理 min/max、越界/保留值、端序字节向量、pack→unpack round-trip；1457/1457 通过。</x:v>
      </x:c>
      <x:c r="H1467" s="144" t="str">
        <x:v>coem/BYD_UKE/gen_bsw/Com/Com_PBcfg.c:74182; BoschOversea_StandardCANFD_commplatform_RCR_CAN_Matrix_V4.18.2_20251104.dbc:564</x:v>
      </x:c>
    </x:row>
    <x:row r="1468" ht="72" customHeight="1">
      <x:c r="A1468" s="144" t="str">
        <x:v>Com-Signal</x:v>
      </x:c>
      <x:c r="B1468" s="144" t="str">
        <x:v>COM-SIG-Rx-0556 / VCU_DrvrAccrPedlOvrd</x:v>
      </x:c>
      <x:c r="C1468" s="144" t="str">
        <x:v>PDU=VCU_0x05A; startBit=34; length=1; byteOrder=Little; type=UINT8; factor=1; offset=0; min=0; max=1; unit=-; receivers=MPC,MRR,BSMCL,BSMCR,FCR</x:v>
      </x:c>
      <x:c r="D14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8" s="144" t="str">
        <x:v>M2</x:v>
      </x:c>
      <x:c r="F1468" s="144" t="str">
        <x:v>Signal 级可编辑配置、数据类型/缩放/端序合同、RTE 接口、边界值与 round-trip 测试。</x:v>
      </x:c>
      <x:c r="G1468" s="144" t="str">
        <x:v>raw=0、raw=max、物理 min/max、越界/保留值、端序字节向量、pack→unpack round-trip；1457/1457 通过。</x:v>
      </x:c>
      <x:c r="H1468" s="144" t="str">
        <x:v>coem/BYD_UKE/gen_bsw/Com/Com_PBcfg.c:74242; BoschOversea_StandardCANFD_commplatform_RCR_CAN_Matrix_V4.18.2_20251104.dbc:563</x:v>
      </x:c>
    </x:row>
    <x:row r="1469" ht="72" customHeight="1">
      <x:c r="A1469" s="144" t="str">
        <x:v>Com-Signal</x:v>
      </x:c>
      <x:c r="B1469" s="144" t="str">
        <x:v>COM-SIG-Rx-0557 / VCU_ErrorFb</x:v>
      </x:c>
      <x:c r="C1469" s="144" t="str">
        <x:v>PDU=VCU_0x05A; startBit=197; length=4; byteOrder=Little; type=UINT8; factor=1; offset=0; min=0; max=15; unit=-; receivers=MPC,MRR,BSMCL,BSMCR,FCR</x:v>
      </x:c>
      <x:c r="D14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69" s="144" t="str">
        <x:v>M2</x:v>
      </x:c>
      <x:c r="F1469" s="144" t="str">
        <x:v>Signal 级可编辑配置、数据类型/缩放/端序合同、RTE 接口、边界值与 round-trip 测试。</x:v>
      </x:c>
      <x:c r="G1469" s="144" t="str">
        <x:v>raw=0、raw=max、物理 min/max、越界/保留值、端序字节向量、pack→unpack round-trip；1457/1457 通过。</x:v>
      </x:c>
      <x:c r="H1469" s="144" t="str">
        <x:v>coem/BYD_UKE/gen_bsw/Com/Com_PBcfg.c:74302; BoschOversea_StandardCANFD_commplatform_RCR_CAN_Matrix_V4.18.2_20251104.dbc:588</x:v>
      </x:c>
    </x:row>
    <x:row r="1470" ht="72" customHeight="1">
      <x:c r="A1470" s="144" t="str">
        <x:v>Com-Signal</x:v>
      </x:c>
      <x:c r="B1470" s="144" t="str">
        <x:v>COM-SIG-Rx-0558 / VCU_FrntWhlReqTqVld</x:v>
      </x:c>
      <x:c r="C1470" s="144" t="str">
        <x:v>PDU=VCU_0x05A; startBit=37; length=1; byteOrder=Little; type=UINT8; factor=1; offset=0; min=0; max=1; unit=-; receivers=MPC,MRR,BSMCL,BSMCR,FCR</x:v>
      </x:c>
      <x:c r="D147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0" s="144" t="str">
        <x:v>M2</x:v>
      </x:c>
      <x:c r="F1470" s="144" t="str">
        <x:v>Signal 级可编辑配置、数据类型/缩放/端序合同、RTE 接口、边界值与 round-trip 测试。</x:v>
      </x:c>
      <x:c r="G1470" s="144" t="str">
        <x:v>raw=0、raw=max、物理 min/max、越界/保留值、端序字节向量、pack→unpack round-trip；1457/1457 通过。</x:v>
      </x:c>
      <x:c r="H1470" s="144" t="str">
        <x:v>coem/BYD_UKE/gen_bsw/Com/Com_PBcfg.c:74362; BoschOversea_StandardCANFD_commplatform_RCR_CAN_Matrix_V4.18.2_20251104.dbc:566</x:v>
      </x:c>
    </x:row>
    <x:row r="1471" ht="72" customHeight="1">
      <x:c r="A1471" s="144" t="str">
        <x:v>Com-Signal</x:v>
      </x:c>
      <x:c r="B1471" s="144" t="str">
        <x:v>COM-SIG-Rx-0559 / VCU_FrntWhlReqTq</x:v>
      </x:c>
      <x:c r="C1471" s="144" t="str">
        <x:v>PDU=VCU_0x05A; startBit=88; length=16; byteOrder=Little; type=SINT16; factor=1; offset=0; min=-32768; max=32767; unit=-; receivers=MPC,MRR,BSMCL,BSMCR,FCR</x:v>
      </x:c>
      <x:c r="D14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1" s="144" t="str">
        <x:v>M2</x:v>
      </x:c>
      <x:c r="F1471" s="144" t="str">
        <x:v>Signal 级可编辑配置、数据类型/缩放/端序合同、RTE 接口、边界值与 round-trip 测试。</x:v>
      </x:c>
      <x:c r="G1471" s="144" t="str">
        <x:v>raw=0、raw=max、物理 min/max、越界/保留值、端序字节向量、pack→unpack round-trip；1457/1457 通过。</x:v>
      </x:c>
      <x:c r="H1471" s="144" t="str">
        <x:v>coem/BYD_UKE/gen_bsw/Com/Com_PBcfg.c:74422; BoschOversea_StandardCANFD_commplatform_RCR_CAN_Matrix_V4.18.2_20251104.dbc:572</x:v>
      </x:c>
    </x:row>
    <x:row r="1472" ht="72" customHeight="1">
      <x:c r="A1472" s="144" t="str">
        <x:v>Com-Signal</x:v>
      </x:c>
      <x:c r="B1472" s="144" t="str">
        <x:v>COM-SIG-Rx-0560 / VCU_MCUActFUnfilteredRodSpd</x:v>
      </x:c>
      <x:c r="C1472" s="144" t="str">
        <x:v>PDU=VCU_0x05A; startBit=232; length=16; byteOrder=Little; type=SINT16; factor=1; offset=0; min=-30001; max=3001; unit=rpm; receivers=MPC,MRR,BSMCL,BSMCR,FCR</x:v>
      </x:c>
      <x:c r="D14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2" s="144" t="str">
        <x:v>M2</x:v>
      </x:c>
      <x:c r="F1472" s="144" t="str">
        <x:v>Signal 级可编辑配置、数据类型/缩放/端序合同、RTE 接口、边界值与 round-trip 测试。</x:v>
      </x:c>
      <x:c r="G1472" s="144" t="str">
        <x:v>raw=0、raw=max、物理 min/max、越界/保留值、端序字节向量、pack→unpack round-trip；1457/1457 通过。</x:v>
      </x:c>
      <x:c r="H1472" s="144" t="str">
        <x:v>coem/BYD_UKE/gen_bsw/Com/Com_PBcfg.c:74482; BoschOversea_StandardCANFD_commplatform_RCR_CAN_Matrix_V4.18.2_20251104.dbc:592</x:v>
      </x:c>
    </x:row>
    <x:row r="1473" ht="72" customHeight="1">
      <x:c r="A1473" s="144" t="str">
        <x:v>Com-Signal</x:v>
      </x:c>
      <x:c r="B1473" s="144" t="str">
        <x:v>COM-SIG-Rx-0561 / VCU_MCUActRUnfilteredRodSpd</x:v>
      </x:c>
      <x:c r="C1473" s="144" t="str">
        <x:v>PDU=VCU_0x05A; startBit=216; length=16; byteOrder=Little; type=SINT16; factor=1; offset=0; min=-30001; max=3001; unit=rpm; receivers=MPC,MRR,BSMCL,BSMCR,FCR</x:v>
      </x:c>
      <x:c r="D14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3" s="144" t="str">
        <x:v>M2</x:v>
      </x:c>
      <x:c r="F1473" s="144" t="str">
        <x:v>Signal 级可编辑配置、数据类型/缩放/端序合同、RTE 接口、边界值与 round-trip 测试。</x:v>
      </x:c>
      <x:c r="G1473" s="144" t="str">
        <x:v>raw=0、raw=max、物理 min/max、越界/保留值、端序字节向量、pack→unpack round-trip；1457/1457 通过。</x:v>
      </x:c>
      <x:c r="H1473" s="144" t="str">
        <x:v>coem/BYD_UKE/gen_bsw/Com/Com_PBcfg.c:74542; BoschOversea_StandardCANFD_commplatform_RCR_CAN_Matrix_V4.18.2_20251104.dbc:591</x:v>
      </x:c>
    </x:row>
    <x:row r="1474" ht="72" customHeight="1">
      <x:c r="A1474" s="144" t="str">
        <x:v>Com-Signal</x:v>
      </x:c>
      <x:c r="B1474" s="144" t="str">
        <x:v>COM-SIG-Rx-0562 / VCU_MCUBlkSt</x:v>
      </x:c>
      <x:c r="C1474" s="144" t="str">
        <x:v>PDU=VCU_0x05A; startBit=189; length=3; byteOrder=Little; type=UINT8; factor=1; offset=0; min=0; max=7; unit=-; receivers=MPC,MRR,BSMCL,BSMCR,FCR</x:v>
      </x:c>
      <x:c r="D14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4" s="144" t="str">
        <x:v>M2</x:v>
      </x:c>
      <x:c r="F1474" s="144" t="str">
        <x:v>Signal 级可编辑配置、数据类型/缩放/端序合同、RTE 接口、边界值与 round-trip 测试。</x:v>
      </x:c>
      <x:c r="G1474" s="144" t="str">
        <x:v>raw=0、raw=max、物理 min/max、越界/保留值、端序字节向量、pack→unpack round-trip；1457/1457 通过。</x:v>
      </x:c>
      <x:c r="H1474" s="144" t="str">
        <x:v>coem/BYD_UKE/gen_bsw/Com/Com_PBcfg.c:74602; BoschOversea_StandardCANFD_commplatform_RCR_CAN_Matrix_V4.18.2_20251104.dbc:584</x:v>
      </x:c>
    </x:row>
    <x:row r="1475" ht="72" customHeight="1">
      <x:c r="A1475" s="144" t="str">
        <x:v>Com-Signal</x:v>
      </x:c>
      <x:c r="B1475" s="144" t="str">
        <x:v>COM-SIG-Rx-0563 / VCU_MCUModActvSt</x:v>
      </x:c>
      <x:c r="C1475" s="144" t="str">
        <x:v>PDU=VCU_0x05A; startBit=187; length=2; byteOrder=Little; type=UINT8; factor=1; offset=0; min=0; max=3; unit=-; receivers=MPC,MRR,BSMCL,BSMCR,FCR</x:v>
      </x:c>
      <x:c r="D14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5" s="144" t="str">
        <x:v>M2</x:v>
      </x:c>
      <x:c r="F1475" s="144" t="str">
        <x:v>Signal 级可编辑配置、数据类型/缩放/端序合同、RTE 接口、边界值与 round-trip 测试。</x:v>
      </x:c>
      <x:c r="G1475" s="144" t="str">
        <x:v>raw=0、raw=max、物理 min/max、越界/保留值、端序字节向量、pack→unpack round-trip；1457/1457 通过。</x:v>
      </x:c>
      <x:c r="H1475" s="144" t="str">
        <x:v>coem/BYD_UKE/gen_bsw/Com/Com_PBcfg.c:74662; BoschOversea_StandardCANFD_commplatform_RCR_CAN_Matrix_V4.18.2_20251104.dbc:583</x:v>
      </x:c>
    </x:row>
    <x:row r="1476" ht="72" customHeight="1">
      <x:c r="A1476" s="144" t="str">
        <x:v>Com-Signal</x:v>
      </x:c>
      <x:c r="B1476" s="144" t="str">
        <x:v>COM-SIG-Rx-0564 / VCU_MCUReqTq</x:v>
      </x:c>
      <x:c r="C1476" s="144" t="str">
        <x:v>PDU=VCU_0x05A; startBit=201; length=14; byteOrder=Little; type=SINT16; factor=1; offset=0; min=-5001; max=5001; unit=-; receivers=MPC,MRR,BSMCL,BSMCR,FCR</x:v>
      </x:c>
      <x:c r="D14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6" s="144" t="str">
        <x:v>M2</x:v>
      </x:c>
      <x:c r="F1476" s="144" t="str">
        <x:v>Signal 级可编辑配置、数据类型/缩放/端序合同、RTE 接口、边界值与 round-trip 测试。</x:v>
      </x:c>
      <x:c r="G1476" s="144" t="str">
        <x:v>raw=0、raw=max、物理 min/max、越界/保留值、端序字节向量、pack→unpack round-trip；1457/1457 通过。</x:v>
      </x:c>
      <x:c r="H1476" s="144" t="str">
        <x:v>coem/BYD_UKE/gen_bsw/Com/Com_PBcfg.c:74722; BoschOversea_StandardCANFD_commplatform_RCR_CAN_Matrix_V4.18.2_20251104.dbc:589</x:v>
      </x:c>
    </x:row>
    <x:row r="1477" ht="72" customHeight="1">
      <x:c r="A1477" s="144" t="str">
        <x:v>Com-Signal</x:v>
      </x:c>
      <x:c r="B1477" s="144" t="str">
        <x:v>COM-SIG-Rx-0565 / VCU_MCUSpdSVModFlt</x:v>
      </x:c>
      <x:c r="C1477" s="144" t="str">
        <x:v>PDU=VCU_0x05A; startBit=194; length=3; byteOrder=Little; type=UINT8; factor=1; offset=0; min=0; max=7; unit=-; receivers=MPC,MRR,BSMCL,BSMCR,FCR</x:v>
      </x:c>
      <x:c r="D14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7" s="144" t="str">
        <x:v>M2</x:v>
      </x:c>
      <x:c r="F1477" s="144" t="str">
        <x:v>Signal 级可编辑配置、数据类型/缩放/端序合同、RTE 接口、边界值与 round-trip 测试。</x:v>
      </x:c>
      <x:c r="G1477" s="144" t="str">
        <x:v>raw=0、raw=max、物理 min/max、越界/保留值、端序字节向量、pack→unpack round-trip；1457/1457 通过。</x:v>
      </x:c>
      <x:c r="H1477" s="144" t="str">
        <x:v>coem/BYD_UKE/gen_bsw/Com/Com_PBcfg.c:74782; BoschOversea_StandardCANFD_commplatform_RCR_CAN_Matrix_V4.18.2_20251104.dbc:587</x:v>
      </x:c>
    </x:row>
    <x:row r="1478" ht="72" customHeight="1">
      <x:c r="A1478" s="144" t="str">
        <x:v>Com-Signal</x:v>
      </x:c>
      <x:c r="B1478" s="144" t="str">
        <x:v>COM-SIG-Rx-0566 / VCU_MCUStandstill</x:v>
      </x:c>
      <x:c r="C1478" s="144" t="str">
        <x:v>PDU=VCU_0x05A; startBit=193; length=1; byteOrder=Little; type=UINT8; factor=1; offset=0; min=0; max=1; unit=-; receivers=MPC,MRR,BSMCL,BSMCR,FCR</x:v>
      </x:c>
      <x:c r="D14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8" s="144" t="str">
        <x:v>M2</x:v>
      </x:c>
      <x:c r="F1478" s="144" t="str">
        <x:v>Signal 级可编辑配置、数据类型/缩放/端序合同、RTE 接口、边界值与 round-trip 测试。</x:v>
      </x:c>
      <x:c r="G1478" s="144" t="str">
        <x:v>raw=0、raw=max、物理 min/max、越界/保留值、端序字节向量、pack→unpack round-trip；1457/1457 通过。</x:v>
      </x:c>
      <x:c r="H1478" s="144" t="str">
        <x:v>coem/BYD_UKE/gen_bsw/Com/Com_PBcfg.c:74842; BoschOversea_StandardCANFD_commplatform_RCR_CAN_Matrix_V4.18.2_20251104.dbc:586</x:v>
      </x:c>
    </x:row>
    <x:row r="1479" ht="72" customHeight="1">
      <x:c r="A1479" s="144" t="str">
        <x:v>Com-Signal</x:v>
      </x:c>
      <x:c r="B1479" s="144" t="str">
        <x:v>COM-SIG-Rx-0567 / VCU_MotorRegenTorqueLmtInD</x:v>
      </x:c>
      <x:c r="C1479" s="144" t="str">
        <x:v>PDU=VCU_0x05A; startBit=168; length=13; byteOrder=Little; type=SINT16; factor=1; offset=0; min=-4096; max=4095; unit=-; receivers=MPC,MRR,BSMCL,BSMCR,FCR</x:v>
      </x:c>
      <x:c r="D14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79" s="144" t="str">
        <x:v>M2</x:v>
      </x:c>
      <x:c r="F1479" s="144" t="str">
        <x:v>Signal 级可编辑配置、数据类型/缩放/端序合同、RTE 接口、边界值与 round-trip 测试。</x:v>
      </x:c>
      <x:c r="G1479" s="144" t="str">
        <x:v>raw=0、raw=max、物理 min/max、越界/保留值、端序字节向量、pack→unpack round-trip；1457/1457 通过。</x:v>
      </x:c>
      <x:c r="H1479" s="144" t="str">
        <x:v>coem/BYD_UKE/gen_bsw/Com/Com_PBcfg.c:74902; BoschOversea_StandardCANFD_commplatform_RCR_CAN_Matrix_V4.18.2_20251104.dbc:577</x:v>
      </x:c>
    </x:row>
    <x:row r="1480" ht="72" customHeight="1">
      <x:c r="A1480" s="144" t="str">
        <x:v>Com-Signal</x:v>
      </x:c>
      <x:c r="B1480" s="144" t="str">
        <x:v>COM-SIG-Rx-0568 / VCU_MotorRegenTrqLmtInDValid</x:v>
      </x:c>
      <x:c r="C1480" s="144" t="str">
        <x:v>PDU=VCU_0x05A; startBit=183; length=1; byteOrder=Little; type=UINT8; factor=1; offset=0; min=0; max=1; unit=-; receivers=MPC,MRR,BSMCL,BSMCR,FCR</x:v>
      </x:c>
      <x:c r="D14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0" s="144" t="str">
        <x:v>M2</x:v>
      </x:c>
      <x:c r="F1480" s="144" t="str">
        <x:v>Signal 级可编辑配置、数据类型/缩放/端序合同、RTE 接口、边界值与 round-trip 测试。</x:v>
      </x:c>
      <x:c r="G1480" s="144" t="str">
        <x:v>raw=0、raw=max、物理 min/max、越界/保留值、端序字节向量、pack→unpack round-trip；1457/1457 通过。</x:v>
      </x:c>
      <x:c r="H1480" s="144" t="str">
        <x:v>coem/BYD_UKE/gen_bsw/Com/Com_PBcfg.c:74962; BoschOversea_StandardCANFD_commplatform_RCR_CAN_Matrix_V4.18.2_20251104.dbc:580</x:v>
      </x:c>
    </x:row>
    <x:row r="1481" ht="72" customHeight="1">
      <x:c r="A1481" s="144" t="str">
        <x:v>Com-Signal</x:v>
      </x:c>
      <x:c r="B1481" s="144" t="str">
        <x:v>COM-SIG-Rx-0569 / VCU_OrgDriverTorqueDesired</x:v>
      </x:c>
      <x:c r="C1481" s="144" t="str">
        <x:v>PDU=VCU_0x05A; startBit=56; length=16; byteOrder=Little; type=SINT16; factor=1; offset=0; min=-32768; max=32767; unit=-; receivers=MPC,MRR,BSMCL,BSMCR,FCR</x:v>
      </x:c>
      <x:c r="D14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1" s="144" t="str">
        <x:v>M2</x:v>
      </x:c>
      <x:c r="F1481" s="144" t="str">
        <x:v>Signal 级可编辑配置、数据类型/缩放/端序合同、RTE 接口、边界值与 round-trip 测试。</x:v>
      </x:c>
      <x:c r="G1481" s="144" t="str">
        <x:v>raw=0、raw=max、物理 min/max、越界/保留值、端序字节向量、pack→unpack round-trip；1457/1457 通过。</x:v>
      </x:c>
      <x:c r="H1481" s="144" t="str">
        <x:v>coem/BYD_UKE/gen_bsw/Com/Com_PBcfg.c:75022; BoschOversea_StandardCANFD_commplatform_RCR_CAN_Matrix_V4.18.2_20251104.dbc:570</x:v>
      </x:c>
    </x:row>
    <x:row r="1482" ht="72" customHeight="1">
      <x:c r="A1482" s="144" t="str">
        <x:v>Com-Signal</x:v>
      </x:c>
      <x:c r="B1482" s="144" t="str">
        <x:v>COM-SIG-Rx-0570 / VCU_PtElecTqMaxVld</x:v>
      </x:c>
      <x:c r="C1482" s="144" t="str">
        <x:v>PDU=VCU_0x05A; startBit=182; length=1; byteOrder=Little; type=UINT8; factor=1; offset=0; min=0; max=1; unit=-; receivers=MPC,MRR,BSMCL,BSMCR,FCR</x:v>
      </x:c>
      <x:c r="D14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2" s="144" t="str">
        <x:v>M2</x:v>
      </x:c>
      <x:c r="F1482" s="144" t="str">
        <x:v>Signal 级可编辑配置、数据类型/缩放/端序合同、RTE 接口、边界值与 round-trip 测试。</x:v>
      </x:c>
      <x:c r="G1482" s="144" t="str">
        <x:v>raw=0、raw=max、物理 min/max、越界/保留值、端序字节向量、pack→unpack round-trip；1457/1457 通过。</x:v>
      </x:c>
      <x:c r="H1482" s="144" t="str">
        <x:v>coem/BYD_UKE/gen_bsw/Com/Com_PBcfg.c:75082; BoschOversea_StandardCANFD_commplatform_RCR_CAN_Matrix_V4.18.2_20251104.dbc:579</x:v>
      </x:c>
    </x:row>
    <x:row r="1483" ht="72" customHeight="1">
      <x:c r="A1483" s="144" t="str">
        <x:v>Com-Signal</x:v>
      </x:c>
      <x:c r="B1483" s="144" t="str">
        <x:v>COM-SIG-Rx-0571 / VCU_PtElecTqMax</x:v>
      </x:c>
      <x:c r="C1483" s="144" t="str">
        <x:v>PDU=VCU_0x05A; startBit=152; length=16; byteOrder=Little; type=SINT16; factor=1; offset=0; min=-32768; max=32767; unit=-; receivers=MPC,MRR,BSMCL,BSMCR,FCR</x:v>
      </x:c>
      <x:c r="D14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3" s="144" t="str">
        <x:v>M2</x:v>
      </x:c>
      <x:c r="F1483" s="144" t="str">
        <x:v>Signal 级可编辑配置、数据类型/缩放/端序合同、RTE 接口、边界值与 round-trip 测试。</x:v>
      </x:c>
      <x:c r="G1483" s="144" t="str">
        <x:v>raw=0、raw=max、物理 min/max、越界/保留值、端序字节向量、pack→unpack round-trip；1457/1457 通过。</x:v>
      </x:c>
      <x:c r="H1483" s="144" t="str">
        <x:v>coem/BYD_UKE/gen_bsw/Com/Com_PBcfg.c:75142; BoschOversea_StandardCANFD_commplatform_RCR_CAN_Matrix_V4.18.2_20251104.dbc:576</x:v>
      </x:c>
    </x:row>
    <x:row r="1484" ht="72" customHeight="1">
      <x:c r="A1484" s="144" t="str">
        <x:v>Com-Signal</x:v>
      </x:c>
      <x:c r="B1484" s="144" t="str">
        <x:v>COM-SIG-Rx-0572 / VCU_PtRgnTqMaxVld</x:v>
      </x:c>
      <x:c r="C1484" s="144" t="str">
        <x:v>PDU=VCU_0x05A; startBit=181; length=1; byteOrder=Little; type=UINT8; factor=1; offset=0; min=0; max=1; unit=-; receivers=MPC,MRR,BSMCL,BSMCR,FCR</x:v>
      </x:c>
      <x:c r="D148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4" s="144" t="str">
        <x:v>M2</x:v>
      </x:c>
      <x:c r="F1484" s="144" t="str">
        <x:v>Signal 级可编辑配置、数据类型/缩放/端序合同、RTE 接口、边界值与 round-trip 测试。</x:v>
      </x:c>
      <x:c r="G1484" s="144" t="str">
        <x:v>raw=0、raw=max、物理 min/max、越界/保留值、端序字节向量、pack→unpack round-trip；1457/1457 通过。</x:v>
      </x:c>
      <x:c r="H1484" s="144" t="str">
        <x:v>coem/BYD_UKE/gen_bsw/Com/Com_PBcfg.c:75202; BoschOversea_StandardCANFD_commplatform_RCR_CAN_Matrix_V4.18.2_20251104.dbc:578</x:v>
      </x:c>
    </x:row>
    <x:row r="1485" ht="72" customHeight="1">
      <x:c r="A1485" s="144" t="str">
        <x:v>Com-Signal</x:v>
      </x:c>
      <x:c r="B1485" s="144" t="str">
        <x:v>COM-SIG-Rx-0573 / VCU_PtRgnTqMax</x:v>
      </x:c>
      <x:c r="C1485" s="144" t="str">
        <x:v>PDU=VCU_0x05A; startBit=136; length=16; byteOrder=Little; type=SINT16; factor=1; offset=0; min=-32768; max=32767; unit=-; receivers=MPC,MRR,BSMCL,BSMCR,FCR</x:v>
      </x:c>
      <x:c r="D14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5" s="144" t="str">
        <x:v>M2</x:v>
      </x:c>
      <x:c r="F1485" s="144" t="str">
        <x:v>Signal 级可编辑配置、数据类型/缩放/端序合同、RTE 接口、边界值与 round-trip 测试。</x:v>
      </x:c>
      <x:c r="G1485" s="144" t="str">
        <x:v>raw=0、raw=max、物理 min/max、越界/保留值、端序字节向量、pack→unpack round-trip；1457/1457 通过。</x:v>
      </x:c>
      <x:c r="H1485" s="144" t="str">
        <x:v>coem/BYD_UKE/gen_bsw/Com/Com_PBcfg.c:75262; BoschOversea_StandardCANFD_commplatform_RCR_CAN_Matrix_V4.18.2_20251104.dbc:575</x:v>
      </x:c>
    </x:row>
    <x:row r="1486" ht="72" customHeight="1">
      <x:c r="A1486" s="144" t="str">
        <x:v>Com-Signal</x:v>
      </x:c>
      <x:c r="B1486" s="144" t="str">
        <x:v>COM-SIG-Rx-0574 / VCU_PtTqActvSts</x:v>
      </x:c>
      <x:c r="C1486" s="144" t="str">
        <x:v>PDU=VCU_0x05A; startBit=186; length=1; byteOrder=Little; type=UINT8; factor=1; offset=0; min=0; max=1; unit=-; receivers=MPC,MRR,BSMCL,BSMCR,FCR</x:v>
      </x:c>
      <x:c r="D14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6" s="144" t="str">
        <x:v>M2</x:v>
      </x:c>
      <x:c r="F1486" s="144" t="str">
        <x:v>Signal 级可编辑配置、数据类型/缩放/端序合同、RTE 接口、边界值与 round-trip 测试。</x:v>
      </x:c>
      <x:c r="G1486" s="144" t="str">
        <x:v>raw=0、raw=max、物理 min/max、越界/保留值、端序字节向量、pack→unpack round-trip；1457/1457 通过。</x:v>
      </x:c>
      <x:c r="H1486" s="144" t="str">
        <x:v>coem/BYD_UKE/gen_bsw/Com/Com_PBcfg.c:75322; BoschOversea_StandardCANFD_commplatform_RCR_CAN_Matrix_V4.18.2_20251104.dbc:582</x:v>
      </x:c>
    </x:row>
    <x:row r="1487" ht="72" customHeight="1">
      <x:c r="A1487" s="144" t="str">
        <x:v>Com-Signal</x:v>
      </x:c>
      <x:c r="B1487" s="144" t="str">
        <x:v>COM-SIG-Rx-0575 / VCU_PtTqAvl</x:v>
      </x:c>
      <x:c r="C1487" s="144" t="str">
        <x:v>PDU=VCU_0x05A; startBit=184; length=2; byteOrder=Little; type=UINT8; factor=1; offset=0; min=0; max=3; unit=-; receivers=MPC,MRR,BSMCL,BSMCR,FCR</x:v>
      </x:c>
      <x:c r="D14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7" s="144" t="str">
        <x:v>M2</x:v>
      </x:c>
      <x:c r="F1487" s="144" t="str">
        <x:v>Signal 级可编辑配置、数据类型/缩放/端序合同、RTE 接口、边界值与 round-trip 测试。</x:v>
      </x:c>
      <x:c r="G1487" s="144" t="str">
        <x:v>raw=0、raw=max、物理 min/max、越界/保留值、端序字节向量、pack→unpack round-trip；1457/1457 通过。</x:v>
      </x:c>
      <x:c r="H1487" s="144" t="str">
        <x:v>coem/BYD_UKE/gen_bsw/Com/Com_PBcfg.c:75382; BoschOversea_StandardCANFD_commplatform_RCR_CAN_Matrix_V4.18.2_20251104.dbc:581</x:v>
      </x:c>
    </x:row>
    <x:row r="1488" ht="72" customHeight="1">
      <x:c r="A1488" s="144" t="str">
        <x:v>Com-Signal</x:v>
      </x:c>
      <x:c r="B1488" s="144" t="str">
        <x:v>COM-SIG-Rx-0576 / VCU_ReWhlReqTqVld</x:v>
      </x:c>
      <x:c r="C1488" s="144" t="str">
        <x:v>PDU=VCU_0x05A; startBit=38; length=1; byteOrder=Little; type=UINT8; factor=1; offset=0; min=0; max=1; unit=-; receivers=MPC,MRR,BSMCL,BSMCR,FCR</x:v>
      </x:c>
      <x:c r="D14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8" s="144" t="str">
        <x:v>M2</x:v>
      </x:c>
      <x:c r="F1488" s="144" t="str">
        <x:v>Signal 级可编辑配置、数据类型/缩放/端序合同、RTE 接口、边界值与 round-trip 测试。</x:v>
      </x:c>
      <x:c r="G1488" s="144" t="str">
        <x:v>raw=0、raw=max、物理 min/max、越界/保留值、端序字节向量、pack→unpack round-trip；1457/1457 通过。</x:v>
      </x:c>
      <x:c r="H1488" s="144" t="str">
        <x:v>coem/BYD_UKE/gen_bsw/Com/Com_PBcfg.c:75442; BoschOversea_StandardCANFD_commplatform_RCR_CAN_Matrix_V4.18.2_20251104.dbc:567</x:v>
      </x:c>
    </x:row>
    <x:row r="1489" ht="72" customHeight="1">
      <x:c r="A1489" s="144" t="str">
        <x:v>Com-Signal</x:v>
      </x:c>
      <x:c r="B1489" s="144" t="str">
        <x:v>COM-SIG-Rx-0577 / VCU_ReWhlReqTq</x:v>
      </x:c>
      <x:c r="C1489" s="144" t="str">
        <x:v>PDU=VCU_0x05A; startBit=104; length=16; byteOrder=Little; type=SINT16; factor=1; offset=0; min=-32768; max=32767; unit=-; receivers=MPC,MRR,BSMCL,BSMCR,FCR</x:v>
      </x:c>
      <x:c r="D14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89" s="144" t="str">
        <x:v>M2</x:v>
      </x:c>
      <x:c r="F1489" s="144" t="str">
        <x:v>Signal 级可编辑配置、数据类型/缩放/端序合同、RTE 接口、边界值与 round-trip 测试。</x:v>
      </x:c>
      <x:c r="G1489" s="144" t="str">
        <x:v>raw=0、raw=max、物理 min/max、越界/保留值、端序字节向量、pack→unpack round-trip；1457/1457 通过。</x:v>
      </x:c>
      <x:c r="H1489" s="144" t="str">
        <x:v>coem/BYD_UKE/gen_bsw/Com/Com_PBcfg.c:75502; BoschOversea_StandardCANFD_commplatform_RCR_CAN_Matrix_V4.18.2_20251104.dbc:573</x:v>
      </x:c>
    </x:row>
    <x:row r="1490" ht="72" customHeight="1">
      <x:c r="A1490" s="144" t="str">
        <x:v>Com-Signal</x:v>
      </x:c>
      <x:c r="B1490" s="144" t="str">
        <x:v>COM-SIG-Rx-0578 / VCU_SpdSvModAvl</x:v>
      </x:c>
      <x:c r="C1490" s="144" t="str">
        <x:v>PDU=VCU_0x05A; startBit=192; length=1; byteOrder=Little; type=UINT8; factor=1; offset=0; min=0; max=1; unit=-; receivers=MPC,MRR,BSMCL,BSMCR,FCR</x:v>
      </x:c>
      <x:c r="D14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0" s="144" t="str">
        <x:v>M2</x:v>
      </x:c>
      <x:c r="F1490" s="144" t="str">
        <x:v>Signal 级可编辑配置、数据类型/缩放/端序合同、RTE 接口、边界值与 round-trip 测试。</x:v>
      </x:c>
      <x:c r="G1490" s="144" t="str">
        <x:v>raw=0、raw=max、物理 min/max、越界/保留值、端序字节向量、pack→unpack round-trip；1457/1457 通过。</x:v>
      </x:c>
      <x:c r="H1490" s="144" t="str">
        <x:v>coem/BYD_UKE/gen_bsw/Com/Com_PBcfg.c:75562; BoschOversea_StandardCANFD_commplatform_RCR_CAN_Matrix_V4.18.2_20251104.dbc:585</x:v>
      </x:c>
    </x:row>
    <x:row r="1491" ht="72" customHeight="1">
      <x:c r="A1491" s="144" t="str">
        <x:v>Com-Signal</x:v>
      </x:c>
      <x:c r="B1491" s="144" t="str">
        <x:v>COM-SIG-Rx-0579 / VCU_VehWhlActTqVld</x:v>
      </x:c>
      <x:c r="C1491" s="144" t="str">
        <x:v>PDU=VCU_0x05A; startBit=36; length=1; byteOrder=Little; type=UINT8; factor=1; offset=0; min=0; max=1; unit=-; receivers=MPC,MRR,BSMCL,BSMCR,FCR</x:v>
      </x:c>
      <x:c r="D14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1" s="144" t="str">
        <x:v>M2</x:v>
      </x:c>
      <x:c r="F1491" s="144" t="str">
        <x:v>Signal 级可编辑配置、数据类型/缩放/端序合同、RTE 接口、边界值与 round-trip 测试。</x:v>
      </x:c>
      <x:c r="G1491" s="144" t="str">
        <x:v>raw=0、raw=max、物理 min/max、越界/保留值、端序字节向量、pack→unpack round-trip；1457/1457 通过。</x:v>
      </x:c>
      <x:c r="H1491" s="144" t="str">
        <x:v>coem/BYD_UKE/gen_bsw/Com/Com_PBcfg.c:75622; BoschOversea_StandardCANFD_commplatform_RCR_CAN_Matrix_V4.18.2_20251104.dbc:565</x:v>
      </x:c>
    </x:row>
    <x:row r="1492" ht="72" customHeight="1">
      <x:c r="A1492" s="144" t="str">
        <x:v>Com-Signal</x:v>
      </x:c>
      <x:c r="B1492" s="144" t="str">
        <x:v>COM-SIG-Rx-0580 / VCU_VehWhlActTq</x:v>
      </x:c>
      <x:c r="C1492" s="144" t="str">
        <x:v>PDU=VCU_0x05A; startBit=72; length=16; byteOrder=Little; type=SINT16; factor=1; offset=0; min=-32768; max=32767; unit=-; receivers=MPC,MRR,BSMCL,BSMCR,FCR</x:v>
      </x:c>
      <x:c r="D14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2" s="144" t="str">
        <x:v>M2</x:v>
      </x:c>
      <x:c r="F1492" s="144" t="str">
        <x:v>Signal 级可编辑配置、数据类型/缩放/端序合同、RTE 接口、边界值与 round-trip 测试。</x:v>
      </x:c>
      <x:c r="G1492" s="144" t="str">
        <x:v>raw=0、raw=max、物理 min/max、越界/保留值、端序字节向量、pack→unpack round-trip；1457/1457 通过。</x:v>
      </x:c>
      <x:c r="H1492" s="144" t="str">
        <x:v>coem/BYD_UKE/gen_bsw/Com/Com_PBcfg.c:75682; BoschOversea_StandardCANFD_commplatform_RCR_CAN_Matrix_V4.18.2_20251104.dbc:571</x:v>
      </x:c>
    </x:row>
    <x:row r="1493" ht="72" customHeight="1">
      <x:c r="A1493" s="144" t="str">
        <x:v>Com-Signal</x:v>
      </x:c>
      <x:c r="B1493" s="144" t="str">
        <x:v>COM-SIG-Rx-0581 / VCU_VehWhlReqTqVld</x:v>
      </x:c>
      <x:c r="C1493" s="144" t="str">
        <x:v>PDU=VCU_0x05A; startBit=39; length=1; byteOrder=Little; type=UINT8; factor=1; offset=0; min=0; max=1; unit=-; receivers=MPC,MRR,BSMCL,BSMCR,FCR</x:v>
      </x:c>
      <x:c r="D14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3" s="144" t="str">
        <x:v>M2</x:v>
      </x:c>
      <x:c r="F1493" s="144" t="str">
        <x:v>Signal 级可编辑配置、数据类型/缩放/端序合同、RTE 接口、边界值与 round-trip 测试。</x:v>
      </x:c>
      <x:c r="G1493" s="144" t="str">
        <x:v>raw=0、raw=max、物理 min/max、越界/保留值、端序字节向量、pack→unpack round-trip；1457/1457 通过。</x:v>
      </x:c>
      <x:c r="H1493" s="144" t="str">
        <x:v>coem/BYD_UKE/gen_bsw/Com/Com_PBcfg.c:75742; BoschOversea_StandardCANFD_commplatform_RCR_CAN_Matrix_V4.18.2_20251104.dbc:568</x:v>
      </x:c>
    </x:row>
    <x:row r="1494" ht="72" customHeight="1">
      <x:c r="A1494" s="144" t="str">
        <x:v>Com-Signal</x:v>
      </x:c>
      <x:c r="B1494" s="144" t="str">
        <x:v>COM-SIG-Rx-0582 / VCU_VehWhlReqTq</x:v>
      </x:c>
      <x:c r="C1494" s="144" t="str">
        <x:v>PDU=VCU_0x05A; startBit=120; length=16; byteOrder=Little; type=SINT16; factor=1; offset=0; min=-32768; max=32767; unit=-; receivers=MPC,MRR,BSMCL,BSMCR,FCR</x:v>
      </x:c>
      <x:c r="D14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4" s="144" t="str">
        <x:v>M2</x:v>
      </x:c>
      <x:c r="F1494" s="144" t="str">
        <x:v>Signal 级可编辑配置、数据类型/缩放/端序合同、RTE 接口、边界值与 round-trip 测试。</x:v>
      </x:c>
      <x:c r="G1494" s="144" t="str">
        <x:v>raw=0、raw=max、物理 min/max、越界/保留值、端序字节向量、pack→unpack round-trip；1457/1457 通过。</x:v>
      </x:c>
      <x:c r="H1494" s="144" t="str">
        <x:v>coem/BYD_UKE/gen_bsw/Com/Com_PBcfg.c:75802; BoschOversea_StandardCANFD_commplatform_RCR_CAN_Matrix_V4.18.2_20251104.dbc:574</x:v>
      </x:c>
    </x:row>
    <x:row r="1495" ht="72" customHeight="1">
      <x:c r="A1495" s="144" t="str">
        <x:v>Com-Signal</x:v>
      </x:c>
      <x:c r="B1495" s="144" t="str">
        <x:v>COM-SIG-Rx-0583 / Virt_acce_pedl_perc_hw</x:v>
      </x:c>
      <x:c r="C1495" s="144" t="str">
        <x:v>PDU=VCU_0x05A; startBit=304; length=8; byteOrder=Little; type=UINT8; factor=1; offset=0; min=0; max=100; unit=-; receivers=MPC,MRR,BSMCL,BSMCR,FCR</x:v>
      </x:c>
      <x:c r="D149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5" s="144" t="str">
        <x:v>M2</x:v>
      </x:c>
      <x:c r="F1495" s="144" t="str">
        <x:v>Signal 级可编辑配置、数据类型/缩放/端序合同、RTE 接口、边界值与 round-trip 测试。</x:v>
      </x:c>
      <x:c r="G1495" s="144" t="str">
        <x:v>raw=0、raw=max、物理 min/max、越界/保留值、端序字节向量、pack→unpack round-trip；1457/1457 通过。</x:v>
      </x:c>
      <x:c r="H1495" s="144" t="str">
        <x:v>coem/BYD_UKE/gen_bsw/Com/Com_PBcfg.c:75862; BoschOversea_StandardCANFD_commplatform_RCR_CAN_Matrix_V4.18.2_20251104.dbc:602</x:v>
      </x:c>
    </x:row>
    <x:row r="1496" ht="72" customHeight="1">
      <x:c r="A1496" s="144" t="str">
        <x:v>Com-Signal</x:v>
      </x:c>
      <x:c r="B1496" s="144" t="str">
        <x:v>COM-SIG-Rx-0584 / STC_FAxleActvFlg_b1_S</x:v>
      </x:c>
      <x:c r="C1496" s="144" t="str">
        <x:v>PDU=VCU_0x098; startBit=91; length=1; byteOrder=Little; type=UINT8; factor=1; offset=0; min=0; max=1; unit=-; receivers=MPC,MRR,BSMCL,BSMCR,FCR</x:v>
      </x:c>
      <x:c r="D14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6" s="144" t="str">
        <x:v>M2</x:v>
      </x:c>
      <x:c r="F1496" s="144" t="str">
        <x:v>Signal 级可编辑配置、数据类型/缩放/端序合同、RTE 接口、边界值与 round-trip 测试。</x:v>
      </x:c>
      <x:c r="G1496" s="144" t="str">
        <x:v>raw=0、raw=max、物理 min/max、越界/保留值、端序字节向量、pack→unpack round-trip；1457/1457 通过。</x:v>
      </x:c>
      <x:c r="H1496" s="144" t="str">
        <x:v>coem/BYD_UKE/gen_bsw/Com/Com_PBcfg.c:75922; BoschOversea_StandardCANFD_commplatform_RCR_CAN_Matrix_V4.18.2_20251104.dbc:688</x:v>
      </x:c>
    </x:row>
    <x:row r="1497" ht="72" customHeight="1">
      <x:c r="A1497" s="144" t="str">
        <x:v>Com-Signal</x:v>
      </x:c>
      <x:c r="B1497" s="144" t="str">
        <x:v>COM-SIG-Rx-0585 / STC_RLAxleActvFlg_b1_S</x:v>
      </x:c>
      <x:c r="C1497" s="144" t="str">
        <x:v>PDU=VCU_0x098; startBit=92; length=1; byteOrder=Little; type=UINT8; factor=1; offset=0; min=0; max=1; unit=-; receivers=MPC,MRR,BSMCL,BSMCR,FCR</x:v>
      </x:c>
      <x:c r="D14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7" s="144" t="str">
        <x:v>M2</x:v>
      </x:c>
      <x:c r="F1497" s="144" t="str">
        <x:v>Signal 级可编辑配置、数据类型/缩放/端序合同、RTE 接口、边界值与 round-trip 测试。</x:v>
      </x:c>
      <x:c r="G1497" s="144" t="str">
        <x:v>raw=0、raw=max、物理 min/max、越界/保留值、端序字节向量、pack→unpack round-trip；1457/1457 通过。</x:v>
      </x:c>
      <x:c r="H1497" s="144" t="str">
        <x:v>coem/BYD_UKE/gen_bsw/Com/Com_PBcfg.c:75982; BoschOversea_StandardCANFD_commplatform_RCR_CAN_Matrix_V4.18.2_20251104.dbc:689</x:v>
      </x:c>
    </x:row>
    <x:row r="1498" ht="72" customHeight="1">
      <x:c r="A1498" s="144" t="str">
        <x:v>Com-Signal</x:v>
      </x:c>
      <x:c r="B1498" s="144" t="str">
        <x:v>COM-SIG-Rx-0586 / STC_RRAxleActvFlg_b1_S</x:v>
      </x:c>
      <x:c r="C1498" s="144" t="str">
        <x:v>PDU=VCU_0x098; startBit=93; length=1; byteOrder=Little; type=UINT8; factor=1; offset=0; min=0; max=1; unit=-; receivers=MPC,MRR,BSMCL,BSMCR,FCR</x:v>
      </x:c>
      <x:c r="D14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8" s="144" t="str">
        <x:v>M2</x:v>
      </x:c>
      <x:c r="F1498" s="144" t="str">
        <x:v>Signal 级可编辑配置、数据类型/缩放/端序合同、RTE 接口、边界值与 round-trip 测试。</x:v>
      </x:c>
      <x:c r="G1498" s="144" t="str">
        <x:v>raw=0、raw=max、物理 min/max、越界/保留值、端序字节向量、pack→unpack round-trip；1457/1457 通过。</x:v>
      </x:c>
      <x:c r="H1498" s="144" t="str">
        <x:v>coem/BYD_UKE/gen_bsw/Com/Com_PBcfg.c:76042; BoschOversea_StandardCANFD_commplatform_RCR_CAN_Matrix_V4.18.2_20251104.dbc:690</x:v>
      </x:c>
    </x:row>
    <x:row r="1499" ht="72" customHeight="1">
      <x:c r="A1499" s="144" t="str">
        <x:v>Com-Signal</x:v>
      </x:c>
      <x:c r="B1499" s="144" t="str">
        <x:v>COM-SIG-Rx-0587 / STC_VldFlg_b1_S</x:v>
      </x:c>
      <x:c r="C1499" s="144" t="str">
        <x:v>PDU=VCU_0x098; startBit=90; length=1; byteOrder=Little; type=UINT8; factor=1; offset=0; min=0; max=1; unit=-; receivers=MPC,MRR,BSMCL,BSMCR,FCR</x:v>
      </x:c>
      <x:c r="D149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499" s="144" t="str">
        <x:v>M2</x:v>
      </x:c>
      <x:c r="F1499" s="144" t="str">
        <x:v>Signal 级可编辑配置、数据类型/缩放/端序合同、RTE 接口、边界值与 round-trip 测试。</x:v>
      </x:c>
      <x:c r="G1499" s="144" t="str">
        <x:v>raw=0、raw=max、物理 min/max、越界/保留值、端序字节向量、pack→unpack round-trip；1457/1457 通过。</x:v>
      </x:c>
      <x:c r="H1499" s="144" t="str">
        <x:v>coem/BYD_UKE/gen_bsw/Com/Com_PBcfg.c:76102; BoschOversea_StandardCANFD_commplatform_RCR_CAN_Matrix_V4.18.2_20251104.dbc:687</x:v>
      </x:c>
    </x:row>
    <x:row r="1500" ht="72" customHeight="1">
      <x:c r="A1500" s="144" t="str">
        <x:v>Com-Signal</x:v>
      </x:c>
      <x:c r="B1500" s="144" t="str">
        <x:v>COM-SIG-Rx-0588 / TCS_ActvFlg_S</x:v>
      </x:c>
      <x:c r="C1500" s="144" t="str">
        <x:v>PDU=VCU_0x098; startBit=32; length=1; byteOrder=Little; type=UINT8; factor=1; offset=0; min=0; max=1; unit=-; receivers=MPC,MRR,BSMCL,BSMCR,FCR</x:v>
      </x:c>
      <x:c r="D150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0" s="144" t="str">
        <x:v>M2</x:v>
      </x:c>
      <x:c r="F1500" s="144" t="str">
        <x:v>Signal 级可编辑配置、数据类型/缩放/端序合同、RTE 接口、边界值与 round-trip 测试。</x:v>
      </x:c>
      <x:c r="G1500" s="144" t="str">
        <x:v>raw=0、raw=max、物理 min/max、越界/保留值、端序字节向量、pack→unpack round-trip；1457/1457 通过。</x:v>
      </x:c>
      <x:c r="H1500" s="144" t="str">
        <x:v>coem/BYD_UKE/gen_bsw/Com/Com_PBcfg.c:76162; BoschOversea_StandardCANFD_commplatform_RCR_CAN_Matrix_V4.18.2_20251104.dbc:685</x:v>
      </x:c>
    </x:row>
    <x:row r="1501" ht="72" customHeight="1">
      <x:c r="A1501" s="144" t="str">
        <x:v>Com-Signal</x:v>
      </x:c>
      <x:c r="B1501" s="144" t="str">
        <x:v>COM-SIG-Rx-0589 / TCS_FltFlg_S</x:v>
      </x:c>
      <x:c r="C1501" s="144" t="str">
        <x:v>PDU=VCU_0x098; startBit=33; length=1; byteOrder=Little; type=UINT8; factor=1; offset=0; min=0; max=1; unit=-; receivers=MPC,MRR,BSMCL,BSMCR,FCR</x:v>
      </x:c>
      <x:c r="D150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1" s="144" t="str">
        <x:v>M2</x:v>
      </x:c>
      <x:c r="F1501" s="144" t="str">
        <x:v>Signal 级可编辑配置、数据类型/缩放/端序合同、RTE 接口、边界值与 round-trip 测试。</x:v>
      </x:c>
      <x:c r="G1501" s="144" t="str">
        <x:v>raw=0、raw=max、物理 min/max、越界/保留值、端序字节向量、pack→unpack round-trip；1457/1457 通过。</x:v>
      </x:c>
      <x:c r="H1501" s="144" t="str">
        <x:v>coem/BYD_UKE/gen_bsw/Com/Com_PBcfg.c:76222; BoschOversea_StandardCANFD_commplatform_RCR_CAN_Matrix_V4.18.2_20251104.dbc:686</x:v>
      </x:c>
    </x:row>
    <x:row r="1502" ht="72" customHeight="1">
      <x:c r="A1502" s="144" t="str">
        <x:v>Com-Signal</x:v>
      </x:c>
      <x:c r="B1502" s="144" t="str">
        <x:v>COM-SIG-Rx-0590 / CCU_EPB_Sys_S_Valid_F_S</x:v>
      </x:c>
      <x:c r="C1502" s="144" t="str">
        <x:v>PDU=VCU_0x0FC; startBit=327; length=1; byteOrder=Little; type=UINT8; factor=1; offset=0; min=0; max=1; unit=-; receivers=MPC,MRR,BSMCL,BSMCR,FCR</x:v>
      </x:c>
      <x:c r="D150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2" s="144" t="str">
        <x:v>M2</x:v>
      </x:c>
      <x:c r="F1502" s="144" t="str">
        <x:v>Signal 级可编辑配置、数据类型/缩放/端序合同、RTE 接口、边界值与 round-trip 测试。</x:v>
      </x:c>
      <x:c r="G1502" s="144" t="str">
        <x:v>raw=0、raw=max、物理 min/max、越界/保留值、端序字节向量、pack→unpack round-trip；1457/1457 通过。</x:v>
      </x:c>
      <x:c r="H1502" s="144" t="str">
        <x:v>coem/BYD_UKE/gen_bsw/Com/Com_PBcfg.c:76282; BoschOversea_StandardCANFD_commplatform_RCR_CAN_Matrix_V4.18.2_20251104.dbc:660</x:v>
      </x:c>
    </x:row>
    <x:row r="1503" ht="72" customHeight="1">
      <x:c r="A1503" s="144" t="str">
        <x:v>Com-Signal</x:v>
      </x:c>
      <x:c r="B1503" s="144" t="str">
        <x:v>COM-SIG-Rx-0591 / CCU_EPB_System_Status_S</x:v>
      </x:c>
      <x:c r="C1503" s="144" t="str">
        <x:v>PDU=VCU_0x0FC; startBit=328; length=3; byteOrder=Little; type=UINT8; factor=1; offset=0; min=0; max=7; unit=-; receivers=MPC,MRR,BSMCL,BSMCR,FCR</x:v>
      </x:c>
      <x:c r="D150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3" s="144" t="str">
        <x:v>M2</x:v>
      </x:c>
      <x:c r="F1503" s="144" t="str">
        <x:v>Signal 级可编辑配置、数据类型/缩放/端序合同、RTE 接口、边界值与 round-trip 测试。</x:v>
      </x:c>
      <x:c r="G1503" s="144" t="str">
        <x:v>raw=0、raw=max、物理 min/max、越界/保留值、端序字节向量、pack→unpack round-trip；1457/1457 通过。</x:v>
      </x:c>
      <x:c r="H1503" s="144" t="str">
        <x:v>coem/BYD_UKE/gen_bsw/Com/Com_PBcfg.c:76342; BoschOversea_StandardCANFD_commplatform_RCR_CAN_Matrix_V4.18.2_20251104.dbc:661</x:v>
      </x:c>
    </x:row>
    <x:row r="1504" ht="72" customHeight="1">
      <x:c r="A1504" s="144" t="str">
        <x:v>Com-Signal</x:v>
      </x:c>
      <x:c r="B1504" s="144" t="str">
        <x:v>COM-SIG-Rx-0592 / CCU_IPB_ABA_Active_S</x:v>
      </x:c>
      <x:c r="C1504" s="144" t="str">
        <x:v>PDU=VCU_0x0FC; startBit=336; length=1; byteOrder=Little; type=UINT8; factor=1; offset=0; min=0; max=1; unit=-; receivers=MPC,MRR,BSMCL,BSMCR,FCR</x:v>
      </x:c>
      <x:c r="D150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4" s="144" t="str">
        <x:v>M2</x:v>
      </x:c>
      <x:c r="F1504" s="144" t="str">
        <x:v>Signal 级可编辑配置、数据类型/缩放/端序合同、RTE 接口、边界值与 round-trip 测试。</x:v>
      </x:c>
      <x:c r="G1504" s="144" t="str">
        <x:v>raw=0、raw=max、物理 min/max、越界/保留值、端序字节向量、pack→unpack round-trip；1457/1457 通过。</x:v>
      </x:c>
      <x:c r="H1504" s="144" t="str">
        <x:v>coem/BYD_UKE/gen_bsw/Com/Com_PBcfg.c:76402; BoschOversea_StandardCANFD_commplatform_RCR_CAN_Matrix_V4.18.2_20251104.dbc:664</x:v>
      </x:c>
    </x:row>
    <x:row r="1505" ht="72" customHeight="1">
      <x:c r="A1505" s="144" t="str">
        <x:v>Com-Signal</x:v>
      </x:c>
      <x:c r="B1505" s="144" t="str">
        <x:v>COM-SIG-Rx-0593 / CCU_IPB_ABA_Available_S</x:v>
      </x:c>
      <x:c r="C1505" s="144" t="str">
        <x:v>PDU=VCU_0x0FC; startBit=334; length=1; byteOrder=Little; type=UINT8; factor=1; offset=0; min=0; max=1; unit=-; receivers=MPC,MRR,BSMCL,BSMCR,FCR</x:v>
      </x:c>
      <x:c r="D150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5" s="144" t="str">
        <x:v>M2</x:v>
      </x:c>
      <x:c r="F1505" s="144" t="str">
        <x:v>Signal 级可编辑配置、数据类型/缩放/端序合同、RTE 接口、边界值与 round-trip 测试。</x:v>
      </x:c>
      <x:c r="G1505" s="144" t="str">
        <x:v>raw=0、raw=max、物理 min/max、越界/保留值、端序字节向量、pack→unpack round-trip；1457/1457 通过。</x:v>
      </x:c>
      <x:c r="H1505" s="144" t="str">
        <x:v>coem/BYD_UKE/gen_bsw/Com/Com_PBcfg.c:76462; BoschOversea_StandardCANFD_commplatform_RCR_CAN_Matrix_V4.18.2_20251104.dbc:662</x:v>
      </x:c>
    </x:row>
    <x:row r="1506" ht="72" customHeight="1">
      <x:c r="A1506" s="144" t="str">
        <x:v>Com-Signal</x:v>
      </x:c>
      <x:c r="B1506" s="144" t="str">
        <x:v>COM-SIG-Rx-0594 / CCU_IPB_ABS_Active_S</x:v>
      </x:c>
      <x:c r="C1506" s="144" t="str">
        <x:v>PDU=VCU_0x0FC; startBit=320; length=1; byteOrder=Little; type=UINT8; factor=1; offset=0; min=0; max=1; unit=-; receivers=MPC,MRR,BSMCL,BSMCR,FCR</x:v>
      </x:c>
      <x:c r="D150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6" s="144" t="str">
        <x:v>M2</x:v>
      </x:c>
      <x:c r="F1506" s="144" t="str">
        <x:v>Signal 级可编辑配置、数据类型/缩放/端序合同、RTE 接口、边界值与 round-trip 测试。</x:v>
      </x:c>
      <x:c r="G1506" s="144" t="str">
        <x:v>raw=0、raw=max、物理 min/max、越界/保留值、端序字节向量、pack→unpack round-trip；1457/1457 通过。</x:v>
      </x:c>
      <x:c r="H1506" s="144" t="str">
        <x:v>coem/BYD_UKE/gen_bsw/Com/Com_PBcfg.c:76522; BoschOversea_StandardCANFD_commplatform_RCR_CAN_Matrix_V4.18.2_20251104.dbc:654</x:v>
      </x:c>
    </x:row>
    <x:row r="1507" ht="72" customHeight="1">
      <x:c r="A1507" s="144" t="str">
        <x:v>Com-Signal</x:v>
      </x:c>
      <x:c r="B1507" s="144" t="str">
        <x:v>COM-SIG-Rx-0595 / CCU_IPB_ABS_Fault_S</x:v>
      </x:c>
      <x:c r="C1507" s="144" t="str">
        <x:v>PDU=VCU_0x0FC; startBit=321; length=1; byteOrder=Little; type=UINT8; factor=1; offset=0; min=0; max=1; unit=-; receivers=MPC,MRR,BSMCL,BSMCR,FCR</x:v>
      </x:c>
      <x:c r="D150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7" s="144" t="str">
        <x:v>M2</x:v>
      </x:c>
      <x:c r="F1507" s="144" t="str">
        <x:v>Signal 级可编辑配置、数据类型/缩放/端序合同、RTE 接口、边界值与 round-trip 测试。</x:v>
      </x:c>
      <x:c r="G1507" s="144" t="str">
        <x:v>raw=0、raw=max、物理 min/max、越界/保留值、端序字节向量、pack→unpack round-trip；1457/1457 通过。</x:v>
      </x:c>
      <x:c r="H1507" s="144" t="str">
        <x:v>coem/BYD_UKE/gen_bsw/Com/Com_PBcfg.c:76582; BoschOversea_StandardCANFD_commplatform_RCR_CAN_Matrix_V4.18.2_20251104.dbc:655</x:v>
      </x:c>
    </x:row>
    <x:row r="1508" ht="72" customHeight="1">
      <x:c r="A1508" s="144" t="str">
        <x:v>Com-Signal</x:v>
      </x:c>
      <x:c r="B1508" s="144" t="str">
        <x:v>COM-SIG-Rx-0596 / CCU_IPB_Brake_Pedaltatus_S</x:v>
      </x:c>
      <x:c r="C1508" s="144" t="str">
        <x:v>PDU=VCU_0x0FC; startBit=301; length=2; byteOrder=Little; type=UINT8; factor=1; offset=0; min=0; max=3; unit=-; receivers=MPC,MRR,BSMCL,BSMCR,FCR</x:v>
      </x:c>
      <x:c r="D150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8" s="144" t="str">
        <x:v>M2</x:v>
      </x:c>
      <x:c r="F1508" s="144" t="str">
        <x:v>Signal 级可编辑配置、数据类型/缩放/端序合同、RTE 接口、边界值与 round-trip 测试。</x:v>
      </x:c>
      <x:c r="G1508" s="144" t="str">
        <x:v>raw=0、raw=max、物理 min/max、越界/保留值、端序字节向量、pack→unpack round-trip；1457/1457 通过。</x:v>
      </x:c>
      <x:c r="H1508" s="144" t="str">
        <x:v>coem/BYD_UKE/gen_bsw/Com/Com_PBcfg.c:76642; BoschOversea_StandardCANFD_commplatform_RCR_CAN_Matrix_V4.18.2_20251104.dbc:638</x:v>
      </x:c>
    </x:row>
    <x:row r="1509" ht="72" customHeight="1">
      <x:c r="A1509" s="144" t="str">
        <x:v>Com-Signal</x:v>
      </x:c>
      <x:c r="B1509" s="144" t="str">
        <x:v>COM-SIG-Rx-0597 / CCU_IPB_BrkDrvOverride_Fault_S</x:v>
      </x:c>
      <x:c r="C1509" s="144" t="str">
        <x:v>PDU=VCU_0x0FC; startBit=313; length=1; byteOrder=Little; type=UINT8; factor=1; offset=0; min=0; max=1; unit=-; receivers=MPC,MRR,BSMCL,BSMCR,FCR</x:v>
      </x:c>
      <x:c r="D150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09" s="144" t="str">
        <x:v>M2</x:v>
      </x:c>
      <x:c r="F1509" s="144" t="str">
        <x:v>Signal 级可编辑配置、数据类型/缩放/端序合同、RTE 接口、边界值与 round-trip 测试。</x:v>
      </x:c>
      <x:c r="G1509" s="144" t="str">
        <x:v>raw=0、raw=max、物理 min/max、越界/保留值、端序字节向量、pack→unpack round-trip；1457/1457 通过。</x:v>
      </x:c>
      <x:c r="H1509" s="144" t="str">
        <x:v>coem/BYD_UKE/gen_bsw/Com/Com_PBcfg.c:76702; BoschOversea_StandardCANFD_commplatform_RCR_CAN_Matrix_V4.18.2_20251104.dbc:647</x:v>
      </x:c>
    </x:row>
    <x:row r="1510" ht="72" customHeight="1">
      <x:c r="A1510" s="144" t="str">
        <x:v>Com-Signal</x:v>
      </x:c>
      <x:c r="B1510" s="144" t="str">
        <x:v>COM-SIG-Rx-0598 / CCU_IPB_BrkDrvOverride_S</x:v>
      </x:c>
      <x:c r="C1510" s="144" t="str">
        <x:v>PDU=VCU_0x0FC; startBit=312; length=1; byteOrder=Little; type=UINT8; factor=1; offset=0; min=0; max=1; unit=-; receivers=MPC,MRR,BSMCL,BSMCR,FCR</x:v>
      </x:c>
      <x:c r="D151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0" s="144" t="str">
        <x:v>M2</x:v>
      </x:c>
      <x:c r="F1510" s="144" t="str">
        <x:v>Signal 级可编辑配置、数据类型/缩放/端序合同、RTE 接口、边界值与 round-trip 测试。</x:v>
      </x:c>
      <x:c r="G1510" s="144" t="str">
        <x:v>raw=0、raw=max、物理 min/max、越界/保留值、端序字节向量、pack→unpack round-trip；1457/1457 通过。</x:v>
      </x:c>
      <x:c r="H1510" s="144" t="str">
        <x:v>coem/BYD_UKE/gen_bsw/Com/Com_PBcfg.c:76762; BoschOversea_StandardCANFD_commplatform_RCR_CAN_Matrix_V4.18.2_20251104.dbc:646</x:v>
      </x:c>
    </x:row>
    <x:row r="1511" ht="72" customHeight="1">
      <x:c r="A1511" s="144" t="str">
        <x:v>Com-Signal</x:v>
      </x:c>
      <x:c r="B1511" s="144" t="str">
        <x:v>COM-SIG-Rx-0599 / CCU_IPB_EBD_Active_S</x:v>
      </x:c>
      <x:c r="C1511" s="144" t="str">
        <x:v>PDU=VCU_0x0FC; startBit=314; length=1; byteOrder=Little; type=UINT8; factor=1; offset=0; min=0; max=1; unit=-; receivers=MPC,MRR,BSMCL,BSMCR,FCR</x:v>
      </x:c>
      <x:c r="D151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1" s="144" t="str">
        <x:v>M2</x:v>
      </x:c>
      <x:c r="F1511" s="144" t="str">
        <x:v>Signal 级可编辑配置、数据类型/缩放/端序合同、RTE 接口、边界值与 round-trip 测试。</x:v>
      </x:c>
      <x:c r="G1511" s="144" t="str">
        <x:v>raw=0、raw=max、物理 min/max、越界/保留值、端序字节向量、pack→unpack round-trip；1457/1457 通过。</x:v>
      </x:c>
      <x:c r="H1511" s="144" t="str">
        <x:v>coem/BYD_UKE/gen_bsw/Com/Com_PBcfg.c:76822; BoschOversea_StandardCANFD_commplatform_RCR_CAN_Matrix_V4.18.2_20251104.dbc:648</x:v>
      </x:c>
    </x:row>
    <x:row r="1512" ht="72" customHeight="1">
      <x:c r="A1512" s="144" t="str">
        <x:v>Com-Signal</x:v>
      </x:c>
      <x:c r="B1512" s="144" t="str">
        <x:v>COM-SIG-Rx-0600 / CCU_IPB_EBD_Fault_S</x:v>
      </x:c>
      <x:c r="C1512" s="144" t="str">
        <x:v>PDU=VCU_0x0FC; startBit=315; length=1; byteOrder=Little; type=UINT8; factor=1; offset=0; min=0; max=1; unit=-; receivers=MPC,MRR,BSMCL,BSMCR,FCR</x:v>
      </x:c>
      <x:c r="D151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2" s="144" t="str">
        <x:v>M2</x:v>
      </x:c>
      <x:c r="F1512" s="144" t="str">
        <x:v>Signal 级可编辑配置、数据类型/缩放/端序合同、RTE 接口、边界值与 round-trip 测试。</x:v>
      </x:c>
      <x:c r="G1512" s="144" t="str">
        <x:v>raw=0、raw=max、物理 min/max、越界/保留值、端序字节向量、pack→unpack round-trip；1457/1457 通过。</x:v>
      </x:c>
      <x:c r="H1512" s="144" t="str">
        <x:v>coem/BYD_UKE/gen_bsw/Com/Com_PBcfg.c:76882; BoschOversea_StandardCANFD_commplatform_RCR_CAN_Matrix_V4.18.2_20251104.dbc:649</x:v>
      </x:c>
    </x:row>
    <x:row r="1513" ht="72" customHeight="1">
      <x:c r="A1513" s="144" t="str">
        <x:v>Com-Signal</x:v>
      </x:c>
      <x:c r="B1513" s="144" t="str">
        <x:v>COM-SIG-Rx-0601 / CCU_IPB_ECD_Temp_Off_Fault_S</x:v>
      </x:c>
      <x:c r="C1513" s="144" t="str">
        <x:v>PDU=VCU_0x0FC; startBit=307; length=1; byteOrder=Little; type=UINT8; factor=1; offset=0; min=0; max=1; unit=-; receivers=MPC,MRR,BSMCL,BSMCR,FCR</x:v>
      </x:c>
      <x:c r="D151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3" s="144" t="str">
        <x:v>M2</x:v>
      </x:c>
      <x:c r="F1513" s="144" t="str">
        <x:v>Signal 级可编辑配置、数据类型/缩放/端序合同、RTE 接口、边界值与 round-trip 测试。</x:v>
      </x:c>
      <x:c r="G1513" s="144" t="str">
        <x:v>raw=0、raw=max、物理 min/max、越界/保留值、端序字节向量、pack→unpack round-trip；1457/1457 通过。</x:v>
      </x:c>
      <x:c r="H1513" s="144" t="str">
        <x:v>coem/BYD_UKE/gen_bsw/Com/Com_PBcfg.c:76942; BoschOversea_StandardCANFD_commplatform_RCR_CAN_Matrix_V4.18.2_20251104.dbc:643</x:v>
      </x:c>
    </x:row>
    <x:row r="1514" ht="72" customHeight="1">
      <x:c r="A1514" s="144" t="str">
        <x:v>Com-Signal</x:v>
      </x:c>
      <x:c r="B1514" s="144" t="str">
        <x:v>COM-SIG-Rx-0602 / CCU_IPB_ECD_Temp_Off_S</x:v>
      </x:c>
      <x:c r="C1514" s="144" t="str">
        <x:v>PDU=VCU_0x0FC; startBit=306; length=1; byteOrder=Little; type=UINT8; factor=1; offset=0; min=0; max=1; unit=-; receivers=MPC,MRR,BSMCL,BSMCR,FCR</x:v>
      </x:c>
      <x:c r="D151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4" s="144" t="str">
        <x:v>M2</x:v>
      </x:c>
      <x:c r="F1514" s="144" t="str">
        <x:v>Signal 级可编辑配置、数据类型/缩放/端序合同、RTE 接口、边界值与 round-trip 测试。</x:v>
      </x:c>
      <x:c r="G1514" s="144" t="str">
        <x:v>raw=0、raw=max、物理 min/max、越界/保留值、端序字节向量、pack→unpack round-trip；1457/1457 通过。</x:v>
      </x:c>
      <x:c r="H1514" s="144" t="str">
        <x:v>coem/BYD_UKE/gen_bsw/Com/Com_PBcfg.c:77002; BoschOversea_StandardCANFD_commplatform_RCR_CAN_Matrix_V4.18.2_20251104.dbc:642</x:v>
      </x:c>
    </x:row>
    <x:row r="1515" ht="72" customHeight="1">
      <x:c r="A1515" s="144" t="str">
        <x:v>Com-Signal</x:v>
      </x:c>
      <x:c r="B1515" s="144" t="str">
        <x:v>COM-SIG-Rx-0603 / CCU_IPB_ESP_Active_S</x:v>
      </x:c>
      <x:c r="C1515" s="144" t="str">
        <x:v>PDU=VCU_0x0FC; startBit=316; length=1; byteOrder=Little; type=UINT8; factor=1; offset=0; min=0; max=1; unit=-; receivers=MPC,MRR,BSMCL,BSMCR,FCR</x:v>
      </x:c>
      <x:c r="D151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5" s="144" t="str">
        <x:v>M2</x:v>
      </x:c>
      <x:c r="F1515" s="144" t="str">
        <x:v>Signal 级可编辑配置、数据类型/缩放/端序合同、RTE 接口、边界值与 round-trip 测试。</x:v>
      </x:c>
      <x:c r="G1515" s="144" t="str">
        <x:v>raw=0、raw=max、物理 min/max、越界/保留值、端序字节向量、pack→unpack round-trip；1457/1457 通过。</x:v>
      </x:c>
      <x:c r="H1515" s="144" t="str">
        <x:v>coem/BYD_UKE/gen_bsw/Com/Com_PBcfg.c:77062; BoschOversea_StandardCANFD_commplatform_RCR_CAN_Matrix_V4.18.2_20251104.dbc:650</x:v>
      </x:c>
    </x:row>
    <x:row r="1516" ht="72" customHeight="1">
      <x:c r="A1516" s="144" t="str">
        <x:v>Com-Signal</x:v>
      </x:c>
      <x:c r="B1516" s="144" t="str">
        <x:v>COM-SIG-Rx-0604 / CCU_IPB_ESP_Active_Valid_Flag_S</x:v>
      </x:c>
      <x:c r="C1516" s="144" t="str">
        <x:v>PDU=VCU_0x0FC; startBit=317; length=1; byteOrder=Little; type=UINT8; factor=1; offset=0; min=0; max=1; unit=-; receivers=MPC,MRR,BSMCL,BSMCR,FCR</x:v>
      </x:c>
      <x:c r="D151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6" s="144" t="str">
        <x:v>M2</x:v>
      </x:c>
      <x:c r="F1516" s="144" t="str">
        <x:v>Signal 级可编辑配置、数据类型/缩放/端序合同、RTE 接口、边界值与 round-trip 测试。</x:v>
      </x:c>
      <x:c r="G1516" s="144" t="str">
        <x:v>raw=0、raw=max、物理 min/max、越界/保留值、端序字节向量、pack→unpack round-trip；1457/1457 通过。</x:v>
      </x:c>
      <x:c r="H1516" s="144" t="str">
        <x:v>coem/BYD_UKE/gen_bsw/Com/Com_PBcfg.c:77122; BoschOversea_StandardCANFD_commplatform_RCR_CAN_Matrix_V4.18.2_20251104.dbc:651</x:v>
      </x:c>
    </x:row>
    <x:row r="1517" ht="72" customHeight="1">
      <x:c r="A1517" s="144" t="str">
        <x:v>Com-Signal</x:v>
      </x:c>
      <x:c r="B1517" s="144" t="str">
        <x:v>COM-SIG-Rx-0605 / CCU_IPB_ESP_OFF_S</x:v>
      </x:c>
      <x:c r="C1517" s="144" t="str">
        <x:v>PDU=VCU_0x0FC; startBit=318; length=1; byteOrder=Little; type=UINT8; factor=1; offset=0; min=0; max=1; unit=-; receivers=MPC,MRR,BSMCL,BSMCR,FCR</x:v>
      </x:c>
      <x:c r="D151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7" s="144" t="str">
        <x:v>M2</x:v>
      </x:c>
      <x:c r="F1517" s="144" t="str">
        <x:v>Signal 级可编辑配置、数据类型/缩放/端序合同、RTE 接口、边界值与 round-trip 测试。</x:v>
      </x:c>
      <x:c r="G1517" s="144" t="str">
        <x:v>raw=0、raw=max、物理 min/max、越界/保留值、端序字节向量、pack→unpack round-trip；1457/1457 通过。</x:v>
      </x:c>
      <x:c r="H1517" s="144" t="str">
        <x:v>coem/BYD_UKE/gen_bsw/Com/Com_PBcfg.c:77182; BoschOversea_StandardCANFD_commplatform_RCR_CAN_Matrix_V4.18.2_20251104.dbc:652</x:v>
      </x:c>
    </x:row>
    <x:row r="1518" ht="72" customHeight="1">
      <x:c r="A1518" s="144" t="str">
        <x:v>Com-Signal</x:v>
      </x:c>
      <x:c r="B1518" s="144" t="str">
        <x:v>COM-SIG-Rx-0606 / CCU_IPB_ESP_OFF_Valid_Flag_S</x:v>
      </x:c>
      <x:c r="C1518" s="144" t="str">
        <x:v>PDU=VCU_0x0FC; startBit=319; length=1; byteOrder=Little; type=UINT8; factor=1; offset=0; min=0; max=1; unit=-; receivers=MPC,MRR,BSMCL,BSMCR,FCR</x:v>
      </x:c>
      <x:c r="D151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8" s="144" t="str">
        <x:v>M2</x:v>
      </x:c>
      <x:c r="F1518" s="144" t="str">
        <x:v>Signal 级可编辑配置、数据类型/缩放/端序合同、RTE 接口、边界值与 round-trip 测试。</x:v>
      </x:c>
      <x:c r="G1518" s="144" t="str">
        <x:v>raw=0、raw=max、物理 min/max、越界/保留值、端序字节向量、pack→unpack round-trip；1457/1457 通过。</x:v>
      </x:c>
      <x:c r="H1518" s="144" t="str">
        <x:v>coem/BYD_UKE/gen_bsw/Com/Com_PBcfg.c:77242; BoschOversea_StandardCANFD_commplatform_RCR_CAN_Matrix_V4.18.2_20251104.dbc:653</x:v>
      </x:c>
    </x:row>
    <x:row r="1519" ht="72" customHeight="1">
      <x:c r="A1519" s="144" t="str">
        <x:v>Com-Signal</x:v>
      </x:c>
      <x:c r="B1519" s="144" t="str">
        <x:v>COM-SIG-Rx-0607 / CCU_IPB_HDC_Active_S</x:v>
      </x:c>
      <x:c r="C1519" s="144" t="str">
        <x:v>PDU=VCU_0x0FC; startBit=322; length=2; byteOrder=Little; type=UINT8; factor=1; offset=0; min=0; max=3; unit=-; receivers=MPC,MRR,BSMCL,BSMCR,FCR</x:v>
      </x:c>
      <x:c r="D151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19" s="144" t="str">
        <x:v>M2</x:v>
      </x:c>
      <x:c r="F1519" s="144" t="str">
        <x:v>Signal 级可编辑配置、数据类型/缩放/端序合同、RTE 接口、边界值与 round-trip 测试。</x:v>
      </x:c>
      <x:c r="G1519" s="144" t="str">
        <x:v>raw=0、raw=max、物理 min/max、越界/保留值、端序字节向量、pack→unpack round-trip；1457/1457 通过。</x:v>
      </x:c>
      <x:c r="H1519" s="144" t="str">
        <x:v>coem/BYD_UKE/gen_bsw/Com/Com_PBcfg.c:77302; BoschOversea_StandardCANFD_commplatform_RCR_CAN_Matrix_V4.18.2_20251104.dbc:656</x:v>
      </x:c>
    </x:row>
    <x:row r="1520" ht="72" customHeight="1">
      <x:c r="A1520" s="144" t="str">
        <x:v>Com-Signal</x:v>
      </x:c>
      <x:c r="B1520" s="144" t="str">
        <x:v>COM-SIG-Rx-0608 / CCU_IPB_HDC_fault_S</x:v>
      </x:c>
      <x:c r="C1520" s="144" t="str">
        <x:v>PDU=VCU_0x0FC; startBit=324; length=1; byteOrder=Little; type=UINT8; factor=1; offset=0; min=0; max=1; unit=-; receivers=MPC,MRR,BSMCL,BSMCR,FCR</x:v>
      </x:c>
      <x:c r="D152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0" s="144" t="str">
        <x:v>M2</x:v>
      </x:c>
      <x:c r="F1520" s="144" t="str">
        <x:v>Signal 级可编辑配置、数据类型/缩放/端序合同、RTE 接口、边界值与 round-trip 测试。</x:v>
      </x:c>
      <x:c r="G1520" s="144" t="str">
        <x:v>raw=0、raw=max、物理 min/max、越界/保留值、端序字节向量、pack→unpack round-trip；1457/1457 通过。</x:v>
      </x:c>
      <x:c r="H1520" s="144" t="str">
        <x:v>coem/BYD_UKE/gen_bsw/Com/Com_PBcfg.c:77362; BoschOversea_StandardCANFD_commplatform_RCR_CAN_Matrix_V4.18.2_20251104.dbc:657</x:v>
      </x:c>
    </x:row>
    <x:row r="1521" ht="72" customHeight="1">
      <x:c r="A1521" s="144" t="str">
        <x:v>Com-Signal</x:v>
      </x:c>
      <x:c r="B1521" s="144" t="str">
        <x:v>COM-SIG-Rx-0609 / CCU_IPB_No_Brake_Force_Fault_S</x:v>
      </x:c>
      <x:c r="C1521" s="144" t="str">
        <x:v>PDU=VCU_0x0FC; startBit=305; length=1; byteOrder=Little; type=UINT8; factor=1; offset=0; min=0; max=1; unit=-; receivers=MPC,MRR,BSMCL,BSMCR,FCR</x:v>
      </x:c>
      <x:c r="D152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1" s="144" t="str">
        <x:v>M2</x:v>
      </x:c>
      <x:c r="F1521" s="144" t="str">
        <x:v>Signal 级可编辑配置、数据类型/缩放/端序合同、RTE 接口、边界值与 round-trip 测试。</x:v>
      </x:c>
      <x:c r="G1521" s="144" t="str">
        <x:v>raw=0、raw=max、物理 min/max、越界/保留值、端序字节向量、pack→unpack round-trip；1457/1457 通过。</x:v>
      </x:c>
      <x:c r="H1521" s="144" t="str">
        <x:v>coem/BYD_UKE/gen_bsw/Com/Com_PBcfg.c:77422; BoschOversea_StandardCANFD_commplatform_RCR_CAN_Matrix_V4.18.2_20251104.dbc:641</x:v>
      </x:c>
    </x:row>
    <x:row r="1522" ht="72" customHeight="1">
      <x:c r="A1522" s="144" t="str">
        <x:v>Com-Signal</x:v>
      </x:c>
      <x:c r="B1522" s="144" t="str">
        <x:v>COM-SIG-Rx-0610 / CCU_IPB_No_Brake_Force_S</x:v>
      </x:c>
      <x:c r="C1522" s="144" t="str">
        <x:v>PDU=VCU_0x0FC; startBit=304; length=1; byteOrder=Little; type=UINT8; factor=1; offset=0; min=0; max=1; unit=-; receivers=MPC,MRR,BSMCL,BSMCR,FCR</x:v>
      </x:c>
      <x:c r="D152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2" s="144" t="str">
        <x:v>M2</x:v>
      </x:c>
      <x:c r="F1522" s="144" t="str">
        <x:v>Signal 级可编辑配置、数据类型/缩放/端序合同、RTE 接口、边界值与 round-trip 测试。</x:v>
      </x:c>
      <x:c r="G1522" s="144" t="str">
        <x:v>raw=0、raw=max、物理 min/max、越界/保留值、端序字节向量、pack→unpack round-trip；1457/1457 通过。</x:v>
      </x:c>
      <x:c r="H1522" s="144" t="str">
        <x:v>coem/BYD_UKE/gen_bsw/Com/Com_PBcfg.c:77482; BoschOversea_StandardCANFD_commplatform_RCR_CAN_Matrix_V4.18.2_20251104.dbc:640</x:v>
      </x:c>
    </x:row>
    <x:row r="1523" ht="72" customHeight="1">
      <x:c r="A1523" s="144" t="str">
        <x:v>Com-Signal</x:v>
      </x:c>
      <x:c r="B1523" s="144" t="str">
        <x:v>COM-SIG-Rx-0611 / CCU_IPB_Prefill_Active_S</x:v>
      </x:c>
      <x:c r="C1523" s="144" t="str">
        <x:v>PDU=VCU_0x0FC; startBit=338; length=1; byteOrder=Little; type=UINT8; factor=1; offset=0; min=0; max=1; unit=-; receivers=MPC,MRR,BSMCL,BSMCR,FCR</x:v>
      </x:c>
      <x:c r="D152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3" s="144" t="str">
        <x:v>M2</x:v>
      </x:c>
      <x:c r="F1523" s="144" t="str">
        <x:v>Signal 级可编辑配置、数据类型/缩放/端序合同、RTE 接口、边界值与 round-trip 测试。</x:v>
      </x:c>
      <x:c r="G1523" s="144" t="str">
        <x:v>raw=0、raw=max、物理 min/max、越界/保留值、端序字节向量、pack→unpack round-trip；1457/1457 通过。</x:v>
      </x:c>
      <x:c r="H1523" s="144" t="str">
        <x:v>coem/BYD_UKE/gen_bsw/Com/Com_PBcfg.c:77542; BoschOversea_StandardCANFD_commplatform_RCR_CAN_Matrix_V4.18.2_20251104.dbc:665</x:v>
      </x:c>
    </x:row>
    <x:row r="1524" ht="72" customHeight="1">
      <x:c r="A1524" s="144" t="str">
        <x:v>Com-Signal</x:v>
      </x:c>
      <x:c r="B1524" s="144" t="str">
        <x:v>COM-SIG-Rx-0612 / CCU_IPB_Prefill_Available_S</x:v>
      </x:c>
      <x:c r="C1524" s="144" t="str">
        <x:v>PDU=VCU_0x0FC; startBit=340; length=1; byteOrder=Little; type=UINT8; factor=1; offset=0; min=0; max=1; unit=-; receivers=MPC,MRR,BSMCL,BSMCR,FCR</x:v>
      </x:c>
      <x:c r="D152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4" s="144" t="str">
        <x:v>M2</x:v>
      </x:c>
      <x:c r="F1524" s="144" t="str">
        <x:v>Signal 级可编辑配置、数据类型/缩放/端序合同、RTE 接口、边界值与 round-trip 测试。</x:v>
      </x:c>
      <x:c r="G1524" s="144" t="str">
        <x:v>raw=0、raw=max、物理 min/max、越界/保留值、端序字节向量、pack→unpack round-trip；1457/1457 通过。</x:v>
      </x:c>
      <x:c r="H1524" s="144" t="str">
        <x:v>coem/BYD_UKE/gen_bsw/Com/Com_PBcfg.c:77602; BoschOversea_StandardCANFD_commplatform_RCR_CAN_Matrix_V4.18.2_20251104.dbc:666</x:v>
      </x:c>
    </x:row>
    <x:row r="1525" ht="72" customHeight="1">
      <x:c r="A1525" s="144" t="str">
        <x:v>Com-Signal</x:v>
      </x:c>
      <x:c r="B1525" s="144" t="str">
        <x:v>COM-SIG-Rx-0613 / CCU_IPB_VDC_Active_S</x:v>
      </x:c>
      <x:c r="C1525" s="144" t="str">
        <x:v>PDU=VCU_0x0FC; startBit=325; length=1; byteOrder=Little; type=UINT8; factor=1; offset=0; min=0; max=1; unit=-; receivers=MPC,MRR,BSMCL,BSMCR,FCR</x:v>
      </x:c>
      <x:c r="D152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5" s="144" t="str">
        <x:v>M2</x:v>
      </x:c>
      <x:c r="F1525" s="144" t="str">
        <x:v>Signal 级可编辑配置、数据类型/缩放/端序合同、RTE 接口、边界值与 round-trip 测试。</x:v>
      </x:c>
      <x:c r="G1525" s="144" t="str">
        <x:v>raw=0、raw=max、物理 min/max、越界/保留值、端序字节向量、pack→unpack round-trip；1457/1457 通过。</x:v>
      </x:c>
      <x:c r="H1525" s="144" t="str">
        <x:v>coem/BYD_UKE/gen_bsw/Com/Com_PBcfg.c:77662; BoschOversea_StandardCANFD_commplatform_RCR_CAN_Matrix_V4.18.2_20251104.dbc:658</x:v>
      </x:c>
    </x:row>
    <x:row r="1526" ht="72" customHeight="1">
      <x:c r="A1526" s="144" t="str">
        <x:v>Com-Signal</x:v>
      </x:c>
      <x:c r="B1526" s="144" t="str">
        <x:v>COM-SIG-Rx-0614 / CCU_IPB_VDC_Fault_S</x:v>
      </x:c>
      <x:c r="C1526" s="144" t="str">
        <x:v>PDU=VCU_0x0FC; startBit=326; length=1; byteOrder=Little; type=UINT8; factor=1; offset=0; min=0; max=1; unit=-; receivers=MPC,MRR,BSMCL,BSMCR,FCR</x:v>
      </x:c>
      <x:c r="D152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6" s="144" t="str">
        <x:v>M2</x:v>
      </x:c>
      <x:c r="F1526" s="144" t="str">
        <x:v>Signal 级可编辑配置、数据类型/缩放/端序合同、RTE 接口、边界值与 round-trip 测试。</x:v>
      </x:c>
      <x:c r="G1526" s="144" t="str">
        <x:v>raw=0、raw=max、物理 min/max、越界/保留值、端序字节向量、pack→unpack round-trip；1457/1457 通过。</x:v>
      </x:c>
      <x:c r="H1526" s="144" t="str">
        <x:v>coem/BYD_UKE/gen_bsw/Com/Com_PBcfg.c:77722; BoschOversea_StandardCANFD_commplatform_RCR_CAN_Matrix_V4.18.2_20251104.dbc:659</x:v>
      </x:c>
    </x:row>
    <x:row r="1527" ht="72" customHeight="1">
      <x:c r="A1527" s="144" t="str">
        <x:v>Com-Signal</x:v>
      </x:c>
      <x:c r="B1527" s="144" t="str">
        <x:v>COM-SIG-Rx-0615 / CCU_IPBystemtatus_S</x:v>
      </x:c>
      <x:c r="C1527" s="144" t="str">
        <x:v>PDU=VCU_0x0FC; startBit=308; length=3; byteOrder=Little; type=UINT8; factor=1; offset=0; min=0; max=7; unit=-; receivers=MPC,MRR,BSMCL,BSMCR,FCR</x:v>
      </x:c>
      <x:c r="D152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7" s="144" t="str">
        <x:v>M2</x:v>
      </x:c>
      <x:c r="F1527" s="144" t="str">
        <x:v>Signal 级可编辑配置、数据类型/缩放/端序合同、RTE 接口、边界值与 round-trip 测试。</x:v>
      </x:c>
      <x:c r="G1527" s="144" t="str">
        <x:v>raw=0、raw=max、物理 min/max、越界/保留值、端序字节向量、pack→unpack round-trip；1457/1457 通过。</x:v>
      </x:c>
      <x:c r="H1527" s="144" t="str">
        <x:v>coem/BYD_UKE/gen_bsw/Com/Com_PBcfg.c:77782; BoschOversea_StandardCANFD_commplatform_RCR_CAN_Matrix_V4.18.2_20251104.dbc:644</x:v>
      </x:c>
    </x:row>
    <x:row r="1528" ht="72" customHeight="1">
      <x:c r="A1528" s="144" t="str">
        <x:v>Com-Signal</x:v>
      </x:c>
      <x:c r="B1528" s="144" t="str">
        <x:v>COM-SIG-Rx-0616 / CCU_IPBystemtatus_efc_flg_S</x:v>
      </x:c>
      <x:c r="C1528" s="144" t="str">
        <x:v>PDU=VCU_0x0FC; startBit=311; length=1; byteOrder=Little; type=UINT8; factor=1; offset=0; min=0; max=1; unit=-; receivers=MPC,MRR,BSMCL,BSMCR,FCR</x:v>
      </x:c>
      <x:c r="D152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8" s="144" t="str">
        <x:v>M2</x:v>
      </x:c>
      <x:c r="F1528" s="144" t="str">
        <x:v>Signal 级可编辑配置、数据类型/缩放/端序合同、RTE 接口、边界值与 round-trip 测试。</x:v>
      </x:c>
      <x:c r="G1528" s="144" t="str">
        <x:v>raw=0、raw=max、物理 min/max、越界/保留值、端序字节向量、pack→unpack round-trip；1457/1457 通过。</x:v>
      </x:c>
      <x:c r="H1528" s="144" t="str">
        <x:v>coem/BYD_UKE/gen_bsw/Com/Com_PBcfg.c:77842; BoschOversea_StandardCANFD_commplatform_RCR_CAN_Matrix_V4.18.2_20251104.dbc:645</x:v>
      </x:c>
    </x:row>
    <x:row r="1529" ht="72" customHeight="1">
      <x:c r="A1529" s="144" t="str">
        <x:v>Com-Signal</x:v>
      </x:c>
      <x:c r="B1529" s="144" t="str">
        <x:v>COM-SIG-Rx-0617 / CCU_SAS_Failure_Stats_OK</x:v>
      </x:c>
      <x:c r="C1529" s="144" t="str">
        <x:v>PDU=VCU_0x0FC; startBit=364; length=1; byteOrder=Little; type=UINT8; factor=1; offset=0; min=0; max=1; unit=-; receivers=MPC,MRR,BSMCL,BSMCR,FCR</x:v>
      </x:c>
      <x:c r="D152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29" s="144" t="str">
        <x:v>M2</x:v>
      </x:c>
      <x:c r="F1529" s="144" t="str">
        <x:v>Signal 级可编辑配置、数据类型/缩放/端序合同、RTE 接口、边界值与 round-trip 测试。</x:v>
      </x:c>
      <x:c r="G1529" s="144" t="str">
        <x:v>raw=0、raw=max、物理 min/max、越界/保留值、端序字节向量、pack→unpack round-trip；1457/1457 通过。</x:v>
      </x:c>
      <x:c r="H1529" s="144" t="str">
        <x:v>coem/BYD_UKE/gen_bsw/Com/Com_PBcfg.c:77902; BoschOversea_StandardCANFD_commplatform_RCR_CAN_Matrix_V4.18.2_20251104.dbc:671</x:v>
      </x:c>
    </x:row>
    <x:row r="1530" ht="72" customHeight="1">
      <x:c r="A1530" s="144" t="str">
        <x:v>Com-Signal</x:v>
      </x:c>
      <x:c r="B1530" s="144" t="str">
        <x:v>COM-SIG-Rx-0618 / CCU_SAS_Sensor_Calibration_Stats</x:v>
      </x:c>
      <x:c r="C1530" s="144" t="str">
        <x:v>PDU=VCU_0x0FC; startBit=365; length=1; byteOrder=Little; type=UINT8; factor=1; offset=0; min=0; max=1; unit=-; receivers=MPC,MRR,BSMCL,BSMCR,FCR</x:v>
      </x:c>
      <x:c r="D153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0" s="144" t="str">
        <x:v>M2</x:v>
      </x:c>
      <x:c r="F1530" s="144" t="str">
        <x:v>Signal 级可编辑配置、数据类型/缩放/端序合同、RTE 接口、边界值与 round-trip 测试。</x:v>
      </x:c>
      <x:c r="G1530" s="144" t="str">
        <x:v>raw=0、raw=max、物理 min/max、越界/保留值、端序字节向量、pack→unpack round-trip；1457/1457 通过。</x:v>
      </x:c>
      <x:c r="H1530" s="144" t="str">
        <x:v>coem/BYD_UKE/gen_bsw/Com/Com_PBcfg.c:77962; BoschOversea_StandardCANFD_commplatform_RCR_CAN_Matrix_V4.18.2_20251104.dbc:672</x:v>
      </x:c>
    </x:row>
    <x:row r="1531" ht="72" customHeight="1">
      <x:c r="A1531" s="144" t="str">
        <x:v>Com-Signal</x:v>
      </x:c>
      <x:c r="B1531" s="144" t="str">
        <x:v>COM-SIG-Rx-0619 / CCU_SAS_Steering_Wheel_Angle</x:v>
      </x:c>
      <x:c r="C1531" s="144" t="str">
        <x:v>PDU=VCU_0x0FC; startBit=368; length=16; byteOrder=Little; type=SINT16; factor=0.1; offset=0; min=-3276.8; max=3276.7; unit=��; receivers=MPC,MRR,BSMCL,BSMCR,FCR</x:v>
      </x:c>
      <x:c r="D153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1" s="144" t="str">
        <x:v>M2</x:v>
      </x:c>
      <x:c r="F1531" s="144" t="str">
        <x:v>Signal 级可编辑配置、数据类型/缩放/端序合同、RTE 接口、边界值与 round-trip 测试。</x:v>
      </x:c>
      <x:c r="G1531" s="144" t="str">
        <x:v>raw=0、raw=max、物理 min/max、越界/保留值、端序字节向量、pack→unpack round-trip；1457/1457 通过。</x:v>
      </x:c>
      <x:c r="H1531" s="144" t="str">
        <x:v>coem/BYD_UKE/gen_bsw/Com/Com_PBcfg.c:78022; BoschOversea_StandardCANFD_commplatform_RCR_CAN_Matrix_V4.18.2_20251104.dbc:675</x:v>
      </x:c>
    </x:row>
    <x:row r="1532" ht="72" customHeight="1">
      <x:c r="A1532" s="144" t="str">
        <x:v>Com-Signal</x:v>
      </x:c>
      <x:c r="B1532" s="144" t="str">
        <x:v>COM-SIG-Rx-0620 / CCU_SAS_TRIM_TrimmingStats</x:v>
      </x:c>
      <x:c r="C1532" s="144" t="str">
        <x:v>PDU=VCU_0x0FC; startBit=366; length=1; byteOrder=Little; type=UINT8; factor=1; offset=0; min=0; max=1; unit=-; receivers=MPC,MRR,BSMCL,BSMCR,FCR</x:v>
      </x:c>
      <x:c r="D153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2" s="144" t="str">
        <x:v>M2</x:v>
      </x:c>
      <x:c r="F1532" s="144" t="str">
        <x:v>Signal 级可编辑配置、数据类型/缩放/端序合同、RTE 接口、边界值与 round-trip 测试。</x:v>
      </x:c>
      <x:c r="G1532" s="144" t="str">
        <x:v>raw=0、raw=max、物理 min/max、越界/保留值、端序字节向量、pack→unpack round-trip；1457/1457 通过。</x:v>
      </x:c>
      <x:c r="H1532" s="144" t="str">
        <x:v>coem/BYD_UKE/gen_bsw/Com/Com_PBcfg.c:78082; BoschOversea_StandardCANFD_commplatform_RCR_CAN_Matrix_V4.18.2_20251104.dbc:673</x:v>
      </x:c>
    </x:row>
    <x:row r="1533" ht="72" customHeight="1">
      <x:c r="A1533" s="144" t="str">
        <x:v>Com-Signal</x:v>
      </x:c>
      <x:c r="B1533" s="144" t="str">
        <x:v>COM-SIG-Rx-0621 / CCU_S_StrngWhlTorqVD_S1</x:v>
      </x:c>
      <x:c r="C1533" s="144" t="str">
        <x:v>PDU=VCU_0x0FC; startBit=352; length=12; byteOrder=Little; type=SINT16; factor=0.01; offset=0; min=-12.5; max=12.5; unit=Nm; receivers=MPC,MRR,BSMCL,BSMCR,FCR</x:v>
      </x:c>
      <x:c r="D153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3" s="144" t="str">
        <x:v>M2</x:v>
      </x:c>
      <x:c r="F1533" s="144" t="str">
        <x:v>Signal 级可编辑配置、数据类型/缩放/端序合同、RTE 接口、边界值与 round-trip 测试。</x:v>
      </x:c>
      <x:c r="G1533" s="144" t="str">
        <x:v>raw=0、raw=max、物理 min/max、越界/保留值、端序字节向量、pack→unpack round-trip；1457/1457 通过。</x:v>
      </x:c>
      <x:c r="H1533" s="144" t="str">
        <x:v>coem/BYD_UKE/gen_bsw/Com/Com_PBcfg.c:78142; BoschOversea_StandardCANFD_commplatform_RCR_CAN_Matrix_V4.18.2_20251104.dbc:670</x:v>
      </x:c>
    </x:row>
    <x:row r="1534" ht="72" customHeight="1">
      <x:c r="A1534" s="144" t="str">
        <x:v>Com-Signal</x:v>
      </x:c>
      <x:c r="B1534" s="144" t="str">
        <x:v>COM-SIG-Rx-0622 / CCU_Steering_StrngWhlTorqVD_S</x:v>
      </x:c>
      <x:c r="C1534" s="144" t="str">
        <x:v>PDU=VCU_0x0FC; startBit=335; length=1; byteOrder=Little; type=UINT8; factor=1; offset=0; min=0; max=1; unit=-; receivers=MPC,MRR,BSMCL,BSMCR,FCR</x:v>
      </x:c>
      <x:c r="D153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4" s="144" t="str">
        <x:v>M2</x:v>
      </x:c>
      <x:c r="F1534" s="144" t="str">
        <x:v>Signal 级可编辑配置、数据类型/缩放/端序合同、RTE 接口、边界值与 round-trip 测试。</x:v>
      </x:c>
      <x:c r="G1534" s="144" t="str">
        <x:v>raw=0、raw=max、物理 min/max、越界/保留值、端序字节向量、pack→unpack round-trip；1457/1457 通过。</x:v>
      </x:c>
      <x:c r="H1534" s="144" t="str">
        <x:v>coem/BYD_UKE/gen_bsw/Com/Com_PBcfg.c:78202; BoschOversea_StandardCANFD_commplatform_RCR_CAN_Matrix_V4.18.2_20251104.dbc:663</x:v>
      </x:c>
    </x:row>
    <x:row r="1535" ht="72" customHeight="1">
      <x:c r="A1535" s="144" t="str">
        <x:v>Com-Signal</x:v>
      </x:c>
      <x:c r="B1535" s="144" t="str">
        <x:v>COM-SIG-Rx-0623 / Checksum_0FC_S</x:v>
      </x:c>
      <x:c r="C1535" s="144" t="str">
        <x:v>PDU=VCU_0x0FC; startBit=0; length=16; byteOrder=Little; type=UINT16; factor=1; offset=0; min=0; max=65535; unit=-; receivers=MPC,MRR,BSMCL,BSMCR,FCR</x:v>
      </x:c>
      <x:c r="D153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5" s="144" t="str">
        <x:v>M2</x:v>
      </x:c>
      <x:c r="F1535" s="144" t="str">
        <x:v>Signal 级可编辑配置、数据类型/缩放/端序合同、RTE 接口、边界值与 round-trip 测试。</x:v>
      </x:c>
      <x:c r="G1535" s="144" t="str">
        <x:v>raw=0、raw=max、物理 min/max、越界/保留值、端序字节向量、pack→unpack round-trip；1457/1457 通过。</x:v>
      </x:c>
      <x:c r="H1535" s="144" t="str">
        <x:v>coem/BYD_UKE/gen_bsw/Com/Com_PBcfg.c:78262; BoschOversea_StandardCANFD_commplatform_RCR_CAN_Matrix_V4.18.2_20251104.dbc:626</x:v>
      </x:c>
    </x:row>
    <x:row r="1536" ht="72" customHeight="1">
      <x:c r="A1536" s="144" t="str">
        <x:v>Com-Signal</x:v>
      </x:c>
      <x:c r="B1536" s="144" t="str">
        <x:v>COM-SIG-Rx-0624 / Counter_0FC_S</x:v>
      </x:c>
      <x:c r="C1536" s="144" t="str">
        <x:v>PDU=VCU_0x0FC; startBit=16; length=16; byteOrder=Little; type=UINT16; factor=1; offset=0; min=0; max=65535; unit=-; receivers=MPC,MRR,BSMCL,BSMCR,FCR</x:v>
      </x:c>
      <x:c r="D153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6" s="144" t="str">
        <x:v>M2</x:v>
      </x:c>
      <x:c r="F1536" s="144" t="str">
        <x:v>Signal 级可编辑配置、数据类型/缩放/端序合同、RTE 接口、边界值与 round-trip 测试。</x:v>
      </x:c>
      <x:c r="G1536" s="144" t="str">
        <x:v>raw=0、raw=max、物理 min/max、越界/保留值、端序字节向量、pack→unpack round-trip；1457/1457 通过。</x:v>
      </x:c>
      <x:c r="H1536" s="144" t="str">
        <x:v>coem/BYD_UKE/gen_bsw/Com/Com_PBcfg.c:78322; BoschOversea_StandardCANFD_commplatform_RCR_CAN_Matrix_V4.18.2_20251104.dbc:627</x:v>
      </x:c>
    </x:row>
    <x:row r="1537" ht="72" customHeight="1">
      <x:c r="A1537" s="144" t="str">
        <x:v>Com-Signal</x:v>
      </x:c>
      <x:c r="B1537" s="144" t="str">
        <x:v>COM-SIG-Rx-0625 / Ecp_2st_ctrl_duty_S</x:v>
      </x:c>
      <x:c r="C1537" s="144" t="str">
        <x:v>PDU=VCU_0x0FC; startBit=392; length=8; byteOrder=Little; type=UINT8; factor=1; offset=0; min=0; max=100; unit=-; receivers=MPC,MRR,BSMCL,BSMCR,FCR</x:v>
      </x:c>
      <x:c r="D153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7" s="144" t="str">
        <x:v>M2</x:v>
      </x:c>
      <x:c r="F1537" s="144" t="str">
        <x:v>Signal 级可编辑配置、数据类型/缩放/端序合同、RTE 接口、边界值与 round-trip 测试。</x:v>
      </x:c>
      <x:c r="G1537" s="144" t="str">
        <x:v>raw=0、raw=max、物理 min/max、越界/保留值、端序字节向量、pack→unpack round-trip；1457/1457 通过。</x:v>
      </x:c>
      <x:c r="H1537" s="144" t="str">
        <x:v>coem/BYD_UKE/gen_bsw/Com/Com_PBcfg.c:78382; BoschOversea_StandardCANFD_commplatform_RCR_CAN_Matrix_V4.18.2_20251104.dbc:676</x:v>
      </x:c>
    </x:row>
    <x:row r="1538" ht="72" customHeight="1">
      <x:c r="A1538" s="144" t="str">
        <x:v>Com-Signal</x:v>
      </x:c>
      <x:c r="B1538" s="144" t="str">
        <x:v>COM-SIG-Rx-0626 / Ecp_fb_duty_S</x:v>
      </x:c>
      <x:c r="C1538" s="144" t="str">
        <x:v>PDU=VCU_0x0FC; startBit=344; length=8; byteOrder=Little; type=UINT8; factor=1; offset=0; min=0; max=100; unit=%; receivers=MPC,MRR,BSMCL,BSMCR,FCR</x:v>
      </x:c>
      <x:c r="D153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8" s="144" t="str">
        <x:v>M2</x:v>
      </x:c>
      <x:c r="F1538" s="144" t="str">
        <x:v>Signal 级可编辑配置、数据类型/缩放/端序合同、RTE 接口、边界值与 round-trip 测试。</x:v>
      </x:c>
      <x:c r="G1538" s="144" t="str">
        <x:v>raw=0、raw=max、物理 min/max、越界/保留值、端序字节向量、pack→unpack round-trip；1457/1457 通过。</x:v>
      </x:c>
      <x:c r="H1538" s="144" t="str">
        <x:v>coem/BYD_UKE/gen_bsw/Com/Com_PBcfg.c:78442; BoschOversea_StandardCANFD_commplatform_RCR_CAN_Matrix_V4.18.2_20251104.dbc:669</x:v>
      </x:c>
    </x:row>
    <x:row r="1539" ht="72" customHeight="1">
      <x:c r="A1539" s="144" t="str">
        <x:v>Com-Signal</x:v>
      </x:c>
      <x:c r="B1539" s="144" t="str">
        <x:v>COM-SIG-Rx-0627 / Ecp_sat_S</x:v>
      </x:c>
      <x:c r="C1539" s="144" t="str">
        <x:v>PDU=VCU_0x0FC; startBit=343; length=1; byteOrder=Little; type=UINT8; factor=1; offset=0; min=0; max=1; unit=-; receivers=MPC,MRR,BSMCL,BSMCR,FCR</x:v>
      </x:c>
      <x:c r="D153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39" s="144" t="str">
        <x:v>M2</x:v>
      </x:c>
      <x:c r="F1539" s="144" t="str">
        <x:v>Signal 级可编辑配置、数据类型/缩放/端序合同、RTE 接口、边界值与 round-trip 测试。</x:v>
      </x:c>
      <x:c r="G1539" s="144" t="str">
        <x:v>raw=0、raw=max、物理 min/max、越界/保留值、端序字节向量、pack→unpack round-trip；1457/1457 通过。</x:v>
      </x:c>
      <x:c r="H1539" s="144" t="str">
        <x:v>coem/BYD_UKE/gen_bsw/Com/Com_PBcfg.c:78502; BoschOversea_StandardCANFD_commplatform_RCR_CAN_Matrix_V4.18.2_20251104.dbc:668</x:v>
      </x:c>
    </x:row>
    <x:row r="1540" ht="72" customHeight="1">
      <x:c r="A1540" s="144" t="str">
        <x:v>Com-Signal</x:v>
      </x:c>
      <x:c r="B1540" s="144" t="str">
        <x:v>COM-SIG-Rx-0628 / Epb_swt_sat_efc_flg</x:v>
      </x:c>
      <x:c r="C1540" s="144" t="str">
        <x:v>PDU=VCU_0x0FC; startBit=402; length=1; byteOrder=Little; type=UINT8; factor=1; offset=0; min=0; max=1; unit=-; receivers=MPC,MRR,BSMCL,BSMCR,FCR</x:v>
      </x:c>
      <x:c r="D154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0" s="144" t="str">
        <x:v>M2</x:v>
      </x:c>
      <x:c r="F1540" s="144" t="str">
        <x:v>Signal 级可编辑配置、数据类型/缩放/端序合同、RTE 接口、边界值与 round-trip 测试。</x:v>
      </x:c>
      <x:c r="G1540" s="144" t="str">
        <x:v>raw=0、raw=max、物理 min/max、越界/保留值、端序字节向量、pack→unpack round-trip；1457/1457 通过。</x:v>
      </x:c>
      <x:c r="H1540" s="144" t="str">
        <x:v>coem/BYD_UKE/gen_bsw/Com/Com_PBcfg.c:78562; BoschOversea_StandardCANFD_commplatform_RCR_CAN_Matrix_V4.18.2_20251104.dbc:678</x:v>
      </x:c>
    </x:row>
    <x:row r="1541" ht="72" customHeight="1">
      <x:c r="A1541" s="144" t="str">
        <x:v>Com-Signal</x:v>
      </x:c>
      <x:c r="B1541" s="144" t="str">
        <x:v>COM-SIG-Rx-0629 / ExtremeMooseFunctionControlState</x:v>
      </x:c>
      <x:c r="C1541" s="144" t="str">
        <x:v>PDU=VCU_0x0FC; startBit=469; length=3; byteOrder=Little; type=UINT8; factor=1; offset=0; min=0; max=7; unit=-; receivers=MPC,MRR,BSMCL,BSMCR,FCR</x:v>
      </x:c>
      <x:c r="D154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1" s="144" t="str">
        <x:v>M2</x:v>
      </x:c>
      <x:c r="F1541" s="144" t="str">
        <x:v>Signal 级可编辑配置、数据类型/缩放/端序合同、RTE 接口、边界值与 round-trip 测试。</x:v>
      </x:c>
      <x:c r="G1541" s="144" t="str">
        <x:v>raw=0、raw=max、物理 min/max、越界/保留值、端序字节向量、pack→unpack round-trip；1457/1457 通过。</x:v>
      </x:c>
      <x:c r="H1541" s="144" t="str">
        <x:v>coem/BYD_UKE/gen_bsw/Com/Com_PBcfg.c:78622; BoschOversea_StandardCANFD_commplatform_RCR_CAN_Matrix_V4.18.2_20251104.dbc:681</x:v>
      </x:c>
    </x:row>
    <x:row r="1542" ht="72" customHeight="1">
      <x:c r="A1542" s="144" t="str">
        <x:v>Com-Signal</x:v>
      </x:c>
      <x:c r="B1542" s="144" t="str">
        <x:v>COM-SIG-Rx-0630 / Ipb_FL_whl_spd_efc_flg_S</x:v>
      </x:c>
      <x:c r="C1542" s="144" t="str">
        <x:v>PDU=VCU_0x0FC; startBit=284; length=1; byteOrder=Little; type=UINT8; factor=1; offset=0; min=0; max=1; unit=-; receivers=MPC,MRR,BSMCL,BSMCR,FCR</x:v>
      </x:c>
      <x:c r="D154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2" s="144" t="str">
        <x:v>M2</x:v>
      </x:c>
      <x:c r="F1542" s="144" t="str">
        <x:v>Signal 级可编辑配置、数据类型/缩放/端序合同、RTE 接口、边界值与 round-trip 测试。</x:v>
      </x:c>
      <x:c r="G1542" s="144" t="str">
        <x:v>raw=0、raw=max、物理 min/max、越界/保留值、端序字节向量、pack→unpack round-trip；1457/1457 通过。</x:v>
      </x:c>
      <x:c r="H1542" s="144" t="str">
        <x:v>coem/BYD_UKE/gen_bsw/Com/Com_PBcfg.c:78682; BoschOversea_StandardCANFD_commplatform_RCR_CAN_Matrix_V4.18.2_20251104.dbc:632</x:v>
      </x:c>
    </x:row>
    <x:row r="1543" ht="72" customHeight="1">
      <x:c r="A1543" s="144" t="str">
        <x:v>Com-Signal</x:v>
      </x:c>
      <x:c r="B1543" s="144" t="str">
        <x:v>COM-SIG-Rx-0631 / Ipb_FR_whl_spd_efc_flg_S</x:v>
      </x:c>
      <x:c r="C1543" s="144" t="str">
        <x:v>PDU=VCU_0x0FC; startBit=285; length=1; byteOrder=Little; type=UINT8; factor=1; offset=0; min=0; max=1; unit=-; receivers=MPC,MRR,BSMCL,BSMCR,FCR</x:v>
      </x:c>
      <x:c r="D154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3" s="144" t="str">
        <x:v>M2</x:v>
      </x:c>
      <x:c r="F1543" s="144" t="str">
        <x:v>Signal 级可编辑配置、数据类型/缩放/端序合同、RTE 接口、边界值与 round-trip 测试。</x:v>
      </x:c>
      <x:c r="G1543" s="144" t="str">
        <x:v>raw=0、raw=max、物理 min/max、越界/保留值、端序字节向量、pack→unpack round-trip；1457/1457 通过。</x:v>
      </x:c>
      <x:c r="H1543" s="144" t="str">
        <x:v>coem/BYD_UKE/gen_bsw/Com/Com_PBcfg.c:78742; BoschOversea_StandardCANFD_commplatform_RCR_CAN_Matrix_V4.18.2_20251104.dbc:633</x:v>
      </x:c>
    </x:row>
    <x:row r="1544" ht="72" customHeight="1">
      <x:c r="A1544" s="144" t="str">
        <x:v>Com-Signal</x:v>
      </x:c>
      <x:c r="B1544" s="144" t="str">
        <x:v>COM-SIG-Rx-0632 / Ipb_RL_whl_spd_efc_flg_S</x:v>
      </x:c>
      <x:c r="C1544" s="144" t="str">
        <x:v>PDU=VCU_0x0FC; startBit=286; length=1; byteOrder=Little; type=UINT8; factor=1; offset=0; min=0; max=1; unit=-; receivers=MPC,MRR,BSMCL,BSMCR,FCR</x:v>
      </x:c>
      <x:c r="D154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4" s="144" t="str">
        <x:v>M2</x:v>
      </x:c>
      <x:c r="F1544" s="144" t="str">
        <x:v>Signal 级可编辑配置、数据类型/缩放/端序合同、RTE 接口、边界值与 round-trip 测试。</x:v>
      </x:c>
      <x:c r="G1544" s="144" t="str">
        <x:v>raw=0、raw=max、物理 min/max、越界/保留值、端序字节向量、pack→unpack round-trip；1457/1457 通过。</x:v>
      </x:c>
      <x:c r="H1544" s="144" t="str">
        <x:v>coem/BYD_UKE/gen_bsw/Com/Com_PBcfg.c:78802; BoschOversea_StandardCANFD_commplatform_RCR_CAN_Matrix_V4.18.2_20251104.dbc:634</x:v>
      </x:c>
    </x:row>
    <x:row r="1545" ht="72" customHeight="1">
      <x:c r="A1545" s="144" t="str">
        <x:v>Com-Signal</x:v>
      </x:c>
      <x:c r="B1545" s="144" t="str">
        <x:v>COM-SIG-Rx-0633 / Ipb_RR_whl_spd_efc_flg_S</x:v>
      </x:c>
      <x:c r="C1545" s="144" t="str">
        <x:v>PDU=VCU_0x0FC; startBit=287; length=1; byteOrder=Little; type=UINT8; factor=1; offset=0; min=0; max=1; unit=-; receivers=MPC,MRR,BSMCL,BSMCR,FCR</x:v>
      </x:c>
      <x:c r="D154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5" s="144" t="str">
        <x:v>M2</x:v>
      </x:c>
      <x:c r="F1545" s="144" t="str">
        <x:v>Signal 级可编辑配置、数据类型/缩放/端序合同、RTE 接口、边界值与 round-trip 测试。</x:v>
      </x:c>
      <x:c r="G1545" s="144" t="str">
        <x:v>raw=0、raw=max、物理 min/max、越界/保留值、端序字节向量、pack→unpack round-trip；1457/1457 通过。</x:v>
      </x:c>
      <x:c r="H1545" s="144" t="str">
        <x:v>coem/BYD_UKE/gen_bsw/Com/Com_PBcfg.c:78862; BoschOversea_StandardCANFD_commplatform_RCR_CAN_Matrix_V4.18.2_20251104.dbc:635</x:v>
      </x:c>
    </x:row>
    <x:row r="1546" ht="72" customHeight="1">
      <x:c r="A1546" s="144" t="str">
        <x:v>Com-Signal</x:v>
      </x:c>
      <x:c r="B1546" s="144" t="str">
        <x:v>COM-SIG-Rx-0634 / Ipb_brk_pedl_sat_S</x:v>
      </x:c>
      <x:c r="C1546" s="144" t="str">
        <x:v>PDU=VCU_0x0FC; startBit=303; length=1; byteOrder=Little; type=UINT8; factor=1; offset=0; min=0; max=1; unit=-; receivers=MPC,MRR,BSMCL,BSMCR,FCR</x:v>
      </x:c>
      <x:c r="D154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6" s="144" t="str">
        <x:v>M2</x:v>
      </x:c>
      <x:c r="F1546" s="144" t="str">
        <x:v>Signal 级可编辑配置、数据类型/缩放/端序合同、RTE 接口、边界值与 round-trip 测试。</x:v>
      </x:c>
      <x:c r="G1546" s="144" t="str">
        <x:v>raw=0、raw=max、物理 min/max、越界/保留值、端序字节向量、pack→unpack round-trip；1457/1457 通过。</x:v>
      </x:c>
      <x:c r="H1546" s="144" t="str">
        <x:v>coem/BYD_UKE/gen_bsw/Com/Com_PBcfg.c:78922; BoschOversea_StandardCANFD_commplatform_RCR_CAN_Matrix_V4.18.2_20251104.dbc:639</x:v>
      </x:c>
    </x:row>
    <x:row r="1547" ht="72" customHeight="1">
      <x:c r="A1547" s="144" t="str">
        <x:v>Com-Signal</x:v>
      </x:c>
      <x:c r="B1547" s="144" t="str">
        <x:v>COM-SIG-Rx-0635 / Ipb_cdp_fcn_atv</x:v>
      </x:c>
      <x:c r="C1547" s="144" t="str">
        <x:v>PDU=VCU_0x0FC; startBit=403; length=1; byteOrder=Little; type=UINT8; factor=1; offset=0; min=0; max=1; unit=-; receivers=MPC,MRR,BSMCL,BSMCR,FCR</x:v>
      </x:c>
      <x:c r="D154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7" s="144" t="str">
        <x:v>M2</x:v>
      </x:c>
      <x:c r="F1547" s="144" t="str">
        <x:v>Signal 级可编辑配置、数据类型/缩放/端序合同、RTE 接口、边界值与 round-trip 测试。</x:v>
      </x:c>
      <x:c r="G1547" s="144" t="str">
        <x:v>raw=0、raw=max、物理 min/max、越界/保留值、端序字节向量、pack→unpack round-trip；1457/1457 通过。</x:v>
      </x:c>
      <x:c r="H1547" s="144" t="str">
        <x:v>coem/BYD_UKE/gen_bsw/Com/Com_PBcfg.c:78982; BoschOversea_StandardCANFD_commplatform_RCR_CAN_Matrix_V4.18.2_20251104.dbc:679</x:v>
      </x:c>
    </x:row>
    <x:row r="1548" ht="72" customHeight="1">
      <x:c r="A1548" s="144" t="str">
        <x:v>Com-Signal</x:v>
      </x:c>
      <x:c r="B1548" s="144" t="str">
        <x:v>COM-SIG-Rx-0636 / Ipb_whl_spd_FL_S</x:v>
      </x:c>
      <x:c r="C1548" s="144" t="str">
        <x:v>PDU=VCU_0x0FC; startBit=236; length=12; byteOrder=Little; type=UINT16; factor=0.06875; offset=0; min=0; max=281.4625; unit=km/h; receivers=MPC,MRR,BSMCL,BSMCR,FCR</x:v>
      </x:c>
      <x:c r="D154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8" s="144" t="str">
        <x:v>M2</x:v>
      </x:c>
      <x:c r="F1548" s="144" t="str">
        <x:v>Signal 级可编辑配置、数据类型/缩放/端序合同、RTE 接口、边界值与 round-trip 测试。</x:v>
      </x:c>
      <x:c r="G1548" s="144" t="str">
        <x:v>raw=0、raw=max、物理 min/max、越界/保留值、端序字节向量、pack→unpack round-trip；1457/1457 通过。</x:v>
      </x:c>
      <x:c r="H1548" s="144" t="str">
        <x:v>coem/BYD_UKE/gen_bsw/Com/Com_PBcfg.c:79042; BoschOversea_StandardCANFD_commplatform_RCR_CAN_Matrix_V4.18.2_20251104.dbc:628</x:v>
      </x:c>
    </x:row>
    <x:row r="1549" ht="72" customHeight="1">
      <x:c r="A1549" s="144" t="str">
        <x:v>Com-Signal</x:v>
      </x:c>
      <x:c r="B1549" s="144" t="str">
        <x:v>COM-SIG-Rx-0637 / Ipb_whl_spd_FR_S</x:v>
      </x:c>
      <x:c r="C1549" s="144" t="str">
        <x:v>PDU=VCU_0x0FC; startBit=248; length=12; byteOrder=Little; type=UINT16; factor=0.06875; offset=0; min=0; max=281.4625; unit=km/h; receivers=MPC,MRR,BSMCL,BSMCR,FCR</x:v>
      </x:c>
      <x:c r="D154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49" s="144" t="str">
        <x:v>M2</x:v>
      </x:c>
      <x:c r="F1549" s="144" t="str">
        <x:v>Signal 级可编辑配置、数据类型/缩放/端序合同、RTE 接口、边界值与 round-trip 测试。</x:v>
      </x:c>
      <x:c r="G1549" s="144" t="str">
        <x:v>raw=0、raw=max、物理 min/max、越界/保留值、端序字节向量、pack→unpack round-trip；1457/1457 通过。</x:v>
      </x:c>
      <x:c r="H1549" s="144" t="str">
        <x:v>coem/BYD_UKE/gen_bsw/Com/Com_PBcfg.c:79102; BoschOversea_StandardCANFD_commplatform_RCR_CAN_Matrix_V4.18.2_20251104.dbc:629</x:v>
      </x:c>
    </x:row>
    <x:row r="1550" ht="72" customHeight="1">
      <x:c r="A1550" s="144" t="str">
        <x:v>Com-Signal</x:v>
      </x:c>
      <x:c r="B1550" s="144" t="str">
        <x:v>COM-SIG-Rx-0638 / Ipb_whl_spd_RL_S</x:v>
      </x:c>
      <x:c r="C1550" s="144" t="str">
        <x:v>PDU=VCU_0x0FC; startBit=260; length=12; byteOrder=Little; type=UINT16; factor=0.06875; offset=0; min=0; max=281.4625; unit=km/h; receivers=MPC,MRR,BSMCL,BSMCR,FCR</x:v>
      </x:c>
      <x:c r="D155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0" s="144" t="str">
        <x:v>M2</x:v>
      </x:c>
      <x:c r="F1550" s="144" t="str">
        <x:v>Signal 级可编辑配置、数据类型/缩放/端序合同、RTE 接口、边界值与 round-trip 测试。</x:v>
      </x:c>
      <x:c r="G1550" s="144" t="str">
        <x:v>raw=0、raw=max、物理 min/max、越界/保留值、端序字节向量、pack→unpack round-trip；1457/1457 通过。</x:v>
      </x:c>
      <x:c r="H1550" s="144" t="str">
        <x:v>coem/BYD_UKE/gen_bsw/Com/Com_PBcfg.c:79162; BoschOversea_StandardCANFD_commplatform_RCR_CAN_Matrix_V4.18.2_20251104.dbc:630</x:v>
      </x:c>
    </x:row>
    <x:row r="1551" ht="72" customHeight="1">
      <x:c r="A1551" s="144" t="str">
        <x:v>Com-Signal</x:v>
      </x:c>
      <x:c r="B1551" s="144" t="str">
        <x:v>COM-SIG-Rx-0639 / Ipb_whl_spd_RR_S</x:v>
      </x:c>
      <x:c r="C1551" s="144" t="str">
        <x:v>PDU=VCU_0x0FC; startBit=272; length=12; byteOrder=Little; type=UINT16; factor=0.06875; offset=0; min=0; max=281.4625; unit=km/h; receivers=MPC,MRR,BSMCL,BSMCR,FCR</x:v>
      </x:c>
      <x:c r="D155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1" s="144" t="str">
        <x:v>M2</x:v>
      </x:c>
      <x:c r="F1551" s="144" t="str">
        <x:v>Signal 级可编辑配置、数据类型/缩放/端序合同、RTE 接口、边界值与 round-trip 测试。</x:v>
      </x:c>
      <x:c r="G1551" s="144" t="str">
        <x:v>raw=0、raw=max、物理 min/max、越界/保留值、端序字节向量、pack→unpack round-trip；1457/1457 通过。</x:v>
      </x:c>
      <x:c r="H1551" s="144" t="str">
        <x:v>coem/BYD_UKE/gen_bsw/Com/Com_PBcfg.c:79222; BoschOversea_StandardCANFD_commplatform_RCR_CAN_Matrix_V4.18.2_20251104.dbc:631</x:v>
      </x:c>
    </x:row>
    <x:row r="1552" ht="72" customHeight="1">
      <x:c r="A1552" s="144" t="str">
        <x:v>Com-Signal</x:v>
      </x:c>
      <x:c r="B1552" s="144" t="str">
        <x:v>COM-SIG-Rx-0640 / VCU_PkgMotion_type_mode_Echo</x:v>
      </x:c>
      <x:c r="C1552" s="144" t="str">
        <x:v>PDU=VCU_0x0FC; startBit=487; length=2; byteOrder=Little; type=UINT8; factor=1; offset=0; min=0; max=3; unit=-; receivers=MPC,MRR,BSMCL,BSMCR,FCR</x:v>
      </x:c>
      <x:c r="D155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2" s="144" t="str">
        <x:v>M2</x:v>
      </x:c>
      <x:c r="F1552" s="144" t="str">
        <x:v>Signal 级可编辑配置、数据类型/缩放/端序合同、RTE 接口、边界值与 round-trip 测试。</x:v>
      </x:c>
      <x:c r="G1552" s="144" t="str">
        <x:v>raw=0、raw=max、物理 min/max、越界/保留值、端序字节向量、pack→unpack round-trip；1457/1457 通过。</x:v>
      </x:c>
      <x:c r="H1552" s="144" t="str">
        <x:v>coem/BYD_UKE/gen_bsw/Com/Com_PBcfg.c:79282; BoschOversea_StandardCANFD_commplatform_RCR_CAN_Matrix_V4.18.2_20251104.dbc:682</x:v>
      </x:c>
    </x:row>
    <x:row r="1553" ht="72" customHeight="1">
      <x:c r="A1553" s="144" t="str">
        <x:v>Com-Signal</x:v>
      </x:c>
      <x:c r="B1553" s="144" t="str">
        <x:v>COM-SIG-Rx-0641 / Veh_spd_S</x:v>
      </x:c>
      <x:c r="C1553" s="144" t="str">
        <x:v>PDU=VCU_0x0FC; startBit=288; length=12; byteOrder=Little; type=UINT16; factor=0.06875; offset=0; min=0; max=281.4625; unit=km/h; receivers=MPC,MRR,BSMCL,BSMCR,FCR</x:v>
      </x:c>
      <x:c r="D155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3" s="144" t="str">
        <x:v>M2</x:v>
      </x:c>
      <x:c r="F1553" s="144" t="str">
        <x:v>Signal 级可编辑配置、数据类型/缩放/端序合同、RTE 接口、边界值与 round-trip 测试。</x:v>
      </x:c>
      <x:c r="G1553" s="144" t="str">
        <x:v>raw=0、raw=max、物理 min/max、越界/保留值、端序字节向量、pack→unpack round-trip；1457/1457 通过。</x:v>
      </x:c>
      <x:c r="H1553" s="144" t="str">
        <x:v>coem/BYD_UKE/gen_bsw/Com/Com_PBcfg.c:79342; BoschOversea_StandardCANFD_commplatform_RCR_CAN_Matrix_V4.18.2_20251104.dbc:636</x:v>
      </x:c>
    </x:row>
    <x:row r="1554" ht="72" customHeight="1">
      <x:c r="A1554" s="144" t="str">
        <x:v>Com-Signal</x:v>
      </x:c>
      <x:c r="B1554" s="144" t="str">
        <x:v>COM-SIG-Rx-0642 / Veh_spd_efc_flg_S</x:v>
      </x:c>
      <x:c r="C1554" s="144" t="str">
        <x:v>PDU=VCU_0x0FC; startBit=300; length=1; byteOrder=Little; type=UINT8; factor=1; offset=0; min=0; max=1; unit=-; receivers=MPC,MRR,BSMCL,BSMCR,FCR</x:v>
      </x:c>
      <x:c r="D155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4" s="144" t="str">
        <x:v>M2</x:v>
      </x:c>
      <x:c r="F1554" s="144" t="str">
        <x:v>Signal 级可编辑配置、数据类型/缩放/端序合同、RTE 接口、边界值与 round-trip 测试。</x:v>
      </x:c>
      <x:c r="G1554" s="144" t="str">
        <x:v>raw=0、raw=max、物理 min/max、越界/保留值、端序字节向量、pack→unpack round-trip；1457/1457 通过。</x:v>
      </x:c>
      <x:c r="H1554" s="144" t="str">
        <x:v>coem/BYD_UKE/gen_bsw/Com/Com_PBcfg.c:79402; BoschOversea_StandardCANFD_commplatform_RCR_CAN_Matrix_V4.18.2_20251104.dbc:637</x:v>
      </x:c>
    </x:row>
    <x:row r="1555" ht="72" customHeight="1">
      <x:c r="A1555" s="144" t="str">
        <x:v>Com-Signal</x:v>
      </x:c>
      <x:c r="B1555" s="144" t="str">
        <x:v>COM-SIG-Rx-0643 / VehicleBlock_S</x:v>
      </x:c>
      <x:c r="C1555" s="144" t="str">
        <x:v>PDU=VCU_0x0FC; startBit=342; length=1; byteOrder=Little; type=UINT8; factor=1; offset=0; min=0; max=1; unit=-; receivers=MPC,MRR,BSMCL,BSMCR,FCR</x:v>
      </x:c>
      <x:c r="D155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5" s="144" t="str">
        <x:v>M2</x:v>
      </x:c>
      <x:c r="F1555" s="144" t="str">
        <x:v>Signal 级可编辑配置、数据类型/缩放/端序合同、RTE 接口、边界值与 round-trip 测试。</x:v>
      </x:c>
      <x:c r="G1555" s="144" t="str">
        <x:v>raw=0、raw=max、物理 min/max、越界/保留值、端序字节向量、pack→unpack round-trip；1457/1457 通过。</x:v>
      </x:c>
      <x:c r="H1555" s="144" t="str">
        <x:v>coem/BYD_UKE/gen_bsw/Com/Com_PBcfg.c:79462; BoschOversea_StandardCANFD_commplatform_RCR_CAN_Matrix_V4.18.2_20251104.dbc:667</x:v>
      </x:c>
    </x:row>
    <x:row r="1556" ht="72" customHeight="1">
      <x:c r="A1556" s="144" t="str">
        <x:v>Com-Signal</x:v>
      </x:c>
      <x:c r="B1556" s="144" t="str">
        <x:v>COM-SIG-Rx-0644 / cp_2st_sat_S</x:v>
      </x:c>
      <x:c r="C1556" s="144" t="str">
        <x:v>PDU=VCU_0x0FC; startBit=367; length=1; byteOrder=Little; type=UINT8; factor=1; offset=0; min=0; max=1; unit=-; receivers=MPC,MRR,BSMCL,BSMCR,FCR</x:v>
      </x:c>
      <x:c r="D155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6" s="144" t="str">
        <x:v>M2</x:v>
      </x:c>
      <x:c r="F1556" s="144" t="str">
        <x:v>Signal 级可编辑配置、数据类型/缩放/端序合同、RTE 接口、边界值与 round-trip 测试。</x:v>
      </x:c>
      <x:c r="G1556" s="144" t="str">
        <x:v>raw=0、raw=max、物理 min/max、越界/保留值、端序字节向量、pack→unpack round-trip；1457/1457 通过。</x:v>
      </x:c>
      <x:c r="H1556" s="144" t="str">
        <x:v>coem/BYD_UKE/gen_bsw/Com/Com_PBcfg.c:79522; BoschOversea_StandardCANFD_commplatform_RCR_CAN_Matrix_V4.18.2_20251104.dbc:674</x:v>
      </x:c>
    </x:row>
    <x:row r="1557" ht="72" customHeight="1">
      <x:c r="A1557" s="144" t="str">
        <x:v>Com-Signal</x:v>
      </x:c>
      <x:c r="B1557" s="144" t="str">
        <x:v>COM-SIG-Rx-0645 / pb_cdp_fcn_atv_eff_flg</x:v>
      </x:c>
      <x:c r="C1557" s="144" t="str">
        <x:v>PDU=VCU_0x0FC; startBit=404; length=1; byteOrder=Little; type=UINT8; factor=1; offset=0; min=0; max=1; unit=-; receivers=MPC,MRR,BSMCL,BSMCR,FCR</x:v>
      </x:c>
      <x:c r="D155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7" s="144" t="str">
        <x:v>M2</x:v>
      </x:c>
      <x:c r="F1557" s="144" t="str">
        <x:v>Signal 级可编辑配置、数据类型/缩放/端序合同、RTE 接口、边界值与 round-trip 测试。</x:v>
      </x:c>
      <x:c r="G1557" s="144" t="str">
        <x:v>raw=0、raw=max、物理 min/max、越界/保留值、端序字节向量、pack→unpack round-trip；1457/1457 通过。</x:v>
      </x:c>
      <x:c r="H1557" s="144" t="str">
        <x:v>coem/BYD_UKE/gen_bsw/Com/Com_PBcfg.c:79582; BoschOversea_StandardCANFD_commplatform_RCR_CAN_Matrix_V4.18.2_20251104.dbc:680</x:v>
      </x:c>
    </x:row>
    <x:row r="1558" ht="72" customHeight="1">
      <x:c r="A1558" s="144" t="str">
        <x:v>Com-Signal</x:v>
      </x:c>
      <x:c r="B1558" s="144" t="str">
        <x:v>COM-SIG-Rx-0646 / pb_swt_sat</x:v>
      </x:c>
      <x:c r="C1558" s="144" t="str">
        <x:v>PDU=VCU_0x0FC; startBit=400; length=2; byteOrder=Little; type=UINT8; factor=1; offset=0; min=0; max=3; unit=-; receivers=MPC,MRR,BSMCL,BSMCR,FCR</x:v>
      </x:c>
      <x:c r="D155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8" s="144" t="str">
        <x:v>M2</x:v>
      </x:c>
      <x:c r="F1558" s="144" t="str">
        <x:v>Signal 级可编辑配置、数据类型/缩放/端序合同、RTE 接口、边界值与 round-trip 测试。</x:v>
      </x:c>
      <x:c r="G1558" s="144" t="str">
        <x:v>raw=0、raw=max、物理 min/max、越界/保留值、端序字节向量、pack→unpack round-trip；1457/1457 通过。</x:v>
      </x:c>
      <x:c r="H1558" s="144" t="str">
        <x:v>coem/BYD_UKE/gen_bsw/Com/Com_PBcfg.c:79642; BoschOversea_StandardCANFD_commplatform_RCR_CAN_Matrix_V4.18.2_20251104.dbc:677</x:v>
      </x:c>
    </x:row>
    <x:row r="1559" ht="72" customHeight="1">
      <x:c r="A1559" s="144" t="str">
        <x:v>Com-Signal</x:v>
      </x:c>
      <x:c r="B1559" s="144" t="str">
        <x:v>COM-SIG-Rx-0647 / CCU_torque_status</x:v>
      </x:c>
      <x:c r="C1559" s="144" t="str">
        <x:v>PDU=VCU_0x1A8; startBit=36; length=1; byteOrder=Little; type=UINT8; factor=1; offset=0; min=0; max=1; unit=-; receivers=MPC,MRR,BSMCL,BSMCR,FCR</x:v>
      </x:c>
      <x:c r="D155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59" s="144" t="str">
        <x:v>M2</x:v>
      </x:c>
      <x:c r="F1559" s="144" t="str">
        <x:v>Signal 级可编辑配置、数据类型/缩放/端序合同、RTE 接口、边界值与 round-trip 测试。</x:v>
      </x:c>
      <x:c r="G1559" s="144" t="str">
        <x:v>raw=0、raw=max、物理 min/max、越界/保留值、端序字节向量、pack→unpack round-trip；1457/1457 通过。</x:v>
      </x:c>
      <x:c r="H1559" s="144" t="str">
        <x:v>coem/BYD_UKE/gen_bsw/Com/Com_PBcfg.c:79702; BoschOversea_StandardCANFD_commplatform_RCR_CAN_Matrix_V4.18.2_20251104.dbc:554</x:v>
      </x:c>
    </x:row>
    <x:row r="1560" ht="72" customHeight="1">
      <x:c r="A1560" s="144" t="str">
        <x:v>Com-Signal</x:v>
      </x:c>
      <x:c r="B1560" s="144" t="str">
        <x:v>COM-SIG-Rx-0648 / Checksum_1A8_S</x:v>
      </x:c>
      <x:c r="C1560" s="144" t="str">
        <x:v>PDU=VCU_0x1A8; startBit=496; length=16; byteOrder=Little; type=UINT16; factor=1; offset=0; min=0; max=65535; unit=-; receivers=MPC,MRR,BSMCL,BSMCR,FCR</x:v>
      </x:c>
      <x:c r="D156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0" s="144" t="str">
        <x:v>M2</x:v>
      </x:c>
      <x:c r="F1560" s="144" t="str">
        <x:v>Signal 级可编辑配置、数据类型/缩放/端序合同、RTE 接口、边界值与 round-trip 测试。</x:v>
      </x:c>
      <x:c r="G1560" s="144" t="str">
        <x:v>raw=0、raw=max、物理 min/max、越界/保留值、端序字节向量、pack→unpack round-trip；1457/1457 通过。</x:v>
      </x:c>
      <x:c r="H1560" s="144" t="str">
        <x:v>coem/BYD_UKE/gen_bsw/Com/Com_PBcfg.c:79762; BoschOversea_StandardCANFD_commplatform_RCR_CAN_Matrix_V4.18.2_20251104.dbc:556</x:v>
      </x:c>
    </x:row>
    <x:row r="1561" ht="72" customHeight="1">
      <x:c r="A1561" s="144" t="str">
        <x:v>Com-Signal</x:v>
      </x:c>
      <x:c r="B1561" s="144" t="str">
        <x:v>COM-SIG-Rx-0649 / Ovrd_flg_S</x:v>
      </x:c>
      <x:c r="C1561" s="144" t="str">
        <x:v>PDU=VCU_0x1A8; startBit=18; length=1; byteOrder=Little; type=UINT8; factor=1; offset=0; min=0; max=1; unit=-; receivers=MPC,MRR,BSMCL,BSMCR,FCR</x:v>
      </x:c>
      <x:c r="D156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1" s="144" t="str">
        <x:v>M2</x:v>
      </x:c>
      <x:c r="F1561" s="144" t="str">
        <x:v>Signal 级可编辑配置、数据类型/缩放/端序合同、RTE 接口、边界值与 round-trip 测试。</x:v>
      </x:c>
      <x:c r="G1561" s="144" t="str">
        <x:v>raw=0、raw=max、物理 min/max、越界/保留值、端序字节向量、pack→unpack round-trip；1457/1457 通过。</x:v>
      </x:c>
      <x:c r="H1561" s="144" t="str">
        <x:v>coem/BYD_UKE/gen_bsw/Com/Com_PBcfg.c:79822; BoschOversea_StandardCANFD_commplatform_RCR_CAN_Matrix_V4.18.2_20251104.dbc:538</x:v>
      </x:c>
    </x:row>
    <x:row r="1562" ht="72" customHeight="1">
      <x:c r="A1562" s="144" t="str">
        <x:v>Com-Signal</x:v>
      </x:c>
      <x:c r="B1562" s="144" t="str">
        <x:v>COM-SIG-Rx-0650 / RollingCounter_PDC_1A8_S</x:v>
      </x:c>
      <x:c r="C1562" s="144" t="str">
        <x:v>PDU=VCU_0x1A8; startBit=480; length=16; byteOrder=Little; type=UINT16; factor=1; offset=0; min=0; max=65535; unit=-; receivers=MPC,MRR,BSMCL,BSMCR,FCR</x:v>
      </x:c>
      <x:c r="D156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2" s="144" t="str">
        <x:v>M2</x:v>
      </x:c>
      <x:c r="F1562" s="144" t="str">
        <x:v>Signal 级可编辑配置、数据类型/缩放/端序合同、RTE 接口、边界值与 round-trip 测试。</x:v>
      </x:c>
      <x:c r="G1562" s="144" t="str">
        <x:v>raw=0、raw=max、物理 min/max、越界/保留值、端序字节向量、pack→unpack round-trip；1457/1457 通过。</x:v>
      </x:c>
      <x:c r="H1562" s="144" t="str">
        <x:v>coem/BYD_UKE/gen_bsw/Com/Com_PBcfg.c:79882; BoschOversea_StandardCANFD_commplatform_RCR_CAN_Matrix_V4.18.2_20251104.dbc:555</x:v>
      </x:c>
    </x:row>
    <x:row r="1563" ht="72" customHeight="1">
      <x:c r="A1563" s="144" t="str">
        <x:v>Com-Signal</x:v>
      </x:c>
      <x:c r="B1563" s="144" t="str">
        <x:v>COM-SIG-Rx-0651 / VCU_AEB_Available_S</x:v>
      </x:c>
      <x:c r="C1563" s="144" t="str">
        <x:v>PDU=VCU_0x1A8; startBit=21; length=1; byteOrder=Little; type=UINT8; factor=1; offset=0; min=0; max=1; unit=-; receivers=MPC,MRR,BSMCL,BSMCR,FCR</x:v>
      </x:c>
      <x:c r="D156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3" s="144" t="str">
        <x:v>M2</x:v>
      </x:c>
      <x:c r="F1563" s="144" t="str">
        <x:v>Signal 级可编辑配置、数据类型/缩放/端序合同、RTE 接口、边界值与 round-trip 测试。</x:v>
      </x:c>
      <x:c r="G1563" s="144" t="str">
        <x:v>raw=0、raw=max、物理 min/max、越界/保留值、端序字节向量、pack→unpack round-trip；1457/1457 通过。</x:v>
      </x:c>
      <x:c r="H1563" s="144" t="str">
        <x:v>coem/BYD_UKE/gen_bsw/Com/Com_PBcfg.c:79942; BoschOversea_StandardCANFD_commplatform_RCR_CAN_Matrix_V4.18.2_20251104.dbc:541</x:v>
      </x:c>
    </x:row>
    <x:row r="1564" ht="72" customHeight="1">
      <x:c r="A1564" s="144" t="str">
        <x:v>Com-Signal</x:v>
      </x:c>
      <x:c r="B1564" s="144" t="str">
        <x:v>COM-SIG-Rx-0652 / VCU_AEB_Dec_Active_S</x:v>
      </x:c>
      <x:c r="C1564" s="144" t="str">
        <x:v>PDU=VCU_0x1A8; startBit=22; length=1; byteOrder=Little; type=UINT8; factor=1; offset=0; min=0; max=1; unit=-; receivers=MPC,MRR,BSMCL,BSMCR,FCR</x:v>
      </x:c>
      <x:c r="D156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4" s="144" t="str">
        <x:v>M2</x:v>
      </x:c>
      <x:c r="F1564" s="144" t="str">
        <x:v>Signal 级可编辑配置、数据类型/缩放/端序合同、RTE 接口、边界值与 round-trip 测试。</x:v>
      </x:c>
      <x:c r="G1564" s="144" t="str">
        <x:v>raw=0、raw=max、物理 min/max、越界/保留值、端序字节向量、pack→unpack round-trip；1457/1457 通过。</x:v>
      </x:c>
      <x:c r="H1564" s="144" t="str">
        <x:v>coem/BYD_UKE/gen_bsw/Com/Com_PBcfg.c:80002; BoschOversea_StandardCANFD_commplatform_RCR_CAN_Matrix_V4.18.2_20251104.dbc:542</x:v>
      </x:c>
    </x:row>
    <x:row r="1565" ht="72" customHeight="1">
      <x:c r="A1565" s="144" t="str">
        <x:v>Com-Signal</x:v>
      </x:c>
      <x:c r="B1565" s="144" t="str">
        <x:v>COM-SIG-Rx-0653 / VCU_AWB_Active_S</x:v>
      </x:c>
      <x:c r="C1565" s="144" t="str">
        <x:v>PDU=VCU_0x1A8; startBit=24; length=1; byteOrder=Little; type=UINT8; factor=1; offset=0; min=0; max=1; unit=-; receivers=MPC,MRR,BSMCL,BSMCR,FCR</x:v>
      </x:c>
      <x:c r="D156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5" s="144" t="str">
        <x:v>M2</x:v>
      </x:c>
      <x:c r="F1565" s="144" t="str">
        <x:v>Signal 级可编辑配置、数据类型/缩放/端序合同、RTE 接口、边界值与 round-trip 测试。</x:v>
      </x:c>
      <x:c r="G1565" s="144" t="str">
        <x:v>raw=0、raw=max、物理 min/max、越界/保留值、端序字节向量、pack→unpack round-trip；1457/1457 通过。</x:v>
      </x:c>
      <x:c r="H1565" s="144" t="str">
        <x:v>coem/BYD_UKE/gen_bsw/Com/Com_PBcfg.c:80062; BoschOversea_StandardCANFD_commplatform_RCR_CAN_Matrix_V4.18.2_20251104.dbc:544</x:v>
      </x:c>
    </x:row>
    <x:row r="1566" ht="72" customHeight="1">
      <x:c r="A1566" s="144" t="str">
        <x:v>Com-Signal</x:v>
      </x:c>
      <x:c r="B1566" s="144" t="str">
        <x:v>COM-SIG-Rx-0654 / VCU_AWB_Available_S</x:v>
      </x:c>
      <x:c r="C1566" s="144" t="str">
        <x:v>PDU=VCU_0x1A8; startBit=23; length=1; byteOrder=Little; type=UINT8; factor=1; offset=0; min=0; max=1; unit=-; receivers=MPC,MRR,BSMCL,BSMCR,FCR</x:v>
      </x:c>
      <x:c r="D156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6" s="144" t="str">
        <x:v>M2</x:v>
      </x:c>
      <x:c r="F1566" s="144" t="str">
        <x:v>Signal 级可编辑配置、数据类型/缩放/端序合同、RTE 接口、边界值与 round-trip 测试。</x:v>
      </x:c>
      <x:c r="G1566" s="144" t="str">
        <x:v>raw=0、raw=max、物理 min/max、越界/保留值、端序字节向量、pack→unpack round-trip；1457/1457 通过。</x:v>
      </x:c>
      <x:c r="H1566" s="144" t="str">
        <x:v>coem/BYD_UKE/gen_bsw/Com/Com_PBcfg.c:80122; BoschOversea_StandardCANFD_commplatform_RCR_CAN_Matrix_V4.18.2_20251104.dbc:543</x:v>
      </x:c>
    </x:row>
    <x:row r="1567" ht="72" customHeight="1">
      <x:c r="A1567" s="144" t="str">
        <x:v>Com-Signal</x:v>
      </x:c>
      <x:c r="B1567" s="144" t="str">
        <x:v>COM-SIG-Rx-0655 / VCU_CDD_Active_S</x:v>
      </x:c>
      <x:c r="C1567" s="144" t="str">
        <x:v>PDU=VCU_0x1A8; startBit=29; length=1; byteOrder=Little; type=UINT8; factor=1; offset=0; min=0; max=1; unit=-; receivers=MPC,MRR,BSMCL,BSMCR,FCR</x:v>
      </x:c>
      <x:c r="D156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7" s="144" t="str">
        <x:v>M2</x:v>
      </x:c>
      <x:c r="F1567" s="144" t="str">
        <x:v>Signal 级可编辑配置、数据类型/缩放/端序合同、RTE 接口、边界值与 round-trip 测试。</x:v>
      </x:c>
      <x:c r="G1567" s="144" t="str">
        <x:v>raw=0、raw=max、物理 min/max、越界/保留值、端序字节向量、pack→unpack round-trip；1457/1457 通过。</x:v>
      </x:c>
      <x:c r="H1567" s="144" t="str">
        <x:v>coem/BYD_UKE/gen_bsw/Com/Com_PBcfg.c:80182; BoschOversea_StandardCANFD_commplatform_RCR_CAN_Matrix_V4.18.2_20251104.dbc:549</x:v>
      </x:c>
    </x:row>
    <x:row r="1568" ht="72" customHeight="1">
      <x:c r="A1568" s="144" t="str">
        <x:v>Com-Signal</x:v>
      </x:c>
      <x:c r="B1568" s="144" t="str">
        <x:v>COM-SIG-Rx-0656 / VCU_CDD_Available_S</x:v>
      </x:c>
      <x:c r="C1568" s="144" t="str">
        <x:v>PDU=VCU_0x1A8; startBit=28; length=1; byteOrder=Little; type=UINT8; factor=1; offset=0; min=0; max=1; unit=-; receivers=MPC,MRR,BSMCL,BSMCR,FCR</x:v>
      </x:c>
      <x:c r="D156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8" s="144" t="str">
        <x:v>M2</x:v>
      </x:c>
      <x:c r="F1568" s="144" t="str">
        <x:v>Signal 级可编辑配置、数据类型/缩放/端序合同、RTE 接口、边界值与 round-trip 测试。</x:v>
      </x:c>
      <x:c r="G1568" s="144" t="str">
        <x:v>raw=0、raw=max、物理 min/max、越界/保留值、端序字节向量、pack→unpack round-trip；1457/1457 通过。</x:v>
      </x:c>
      <x:c r="H1568" s="144" t="str">
        <x:v>coem/BYD_UKE/gen_bsw/Com/Com_PBcfg.c:80242; BoschOversea_StandardCANFD_commplatform_RCR_CAN_Matrix_V4.18.2_20251104.dbc:548</x:v>
      </x:c>
    </x:row>
    <x:row r="1569" ht="72" customHeight="1">
      <x:c r="A1569" s="144" t="str">
        <x:v>Com-Signal</x:v>
      </x:c>
      <x:c r="B1569" s="144" t="str">
        <x:v>COM-SIG-Rx-0657 / VCU_CDD_Fail_S</x:v>
      </x:c>
      <x:c r="C1569" s="144" t="str">
        <x:v>PDU=VCU_0x1A8; startBit=30; length=1; byteOrder=Little; type=UINT8; factor=1; offset=0; min=0; max=1; unit=-; receivers=MPC,MRR,BSMCL,BSMCR,FCR</x:v>
      </x:c>
      <x:c r="D156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69" s="144" t="str">
        <x:v>M2</x:v>
      </x:c>
      <x:c r="F1569" s="144" t="str">
        <x:v>Signal 级可编辑配置、数据类型/缩放/端序合同、RTE 接口、边界值与 round-trip 测试。</x:v>
      </x:c>
      <x:c r="G1569" s="144" t="str">
        <x:v>raw=0、raw=max、物理 min/max、越界/保留值、端序字节向量、pack→unpack round-trip；1457/1457 通过。</x:v>
      </x:c>
      <x:c r="H1569" s="144" t="str">
        <x:v>coem/BYD_UKE/gen_bsw/Com/Com_PBcfg.c:80302; BoschOversea_StandardCANFD_commplatform_RCR_CAN_Matrix_V4.18.2_20251104.dbc:550</x:v>
      </x:c>
    </x:row>
    <x:row r="1570" ht="72" customHeight="1">
      <x:c r="A1570" s="144" t="str">
        <x:v>Com-Signal</x:v>
      </x:c>
      <x:c r="B1570" s="144" t="str">
        <x:v>COM-SIG-Rx-0658 / VCU_RCTB_Active_S</x:v>
      </x:c>
      <x:c r="C1570" s="144" t="str">
        <x:v>PDU=VCU_0x1A8; startBit=20; length=1; byteOrder=Little; type=UINT8; factor=1; offset=0; min=0; max=1; unit=-; receivers=MPC,MRR,BSMCL,BSMCR,FCR</x:v>
      </x:c>
      <x:c r="D157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0" s="144" t="str">
        <x:v>M2</x:v>
      </x:c>
      <x:c r="F1570" s="144" t="str">
        <x:v>Signal 级可编辑配置、数据类型/缩放/端序合同、RTE 接口、边界值与 round-trip 测试。</x:v>
      </x:c>
      <x:c r="G1570" s="144" t="str">
        <x:v>raw=0、raw=max、物理 min/max、越界/保留值、端序字节向量、pack→unpack round-trip；1457/1457 通过。</x:v>
      </x:c>
      <x:c r="H1570" s="144" t="str">
        <x:v>coem/BYD_UKE/gen_bsw/Com/Com_PBcfg.c:80362; BoschOversea_StandardCANFD_commplatform_RCR_CAN_Matrix_V4.18.2_20251104.dbc:540</x:v>
      </x:c>
    </x:row>
    <x:row r="1571" ht="72" customHeight="1">
      <x:c r="A1571" s="144" t="str">
        <x:v>Com-Signal</x:v>
      </x:c>
      <x:c r="B1571" s="144" t="str">
        <x:v>COM-SIG-Rx-0659 / VCU_RCTB_Available_S</x:v>
      </x:c>
      <x:c r="C1571" s="144" t="str">
        <x:v>PDU=VCU_0x1A8; startBit=19; length=1; byteOrder=Little; type=UINT8; factor=1; offset=0; min=0; max=1; unit=-; receivers=MPC,MRR,BSMCL,BSMCR,FCR</x:v>
      </x:c>
      <x:c r="D157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1" s="144" t="str">
        <x:v>M2</x:v>
      </x:c>
      <x:c r="F1571" s="144" t="str">
        <x:v>Signal 级可编辑配置、数据类型/缩放/端序合同、RTE 接口、边界值与 round-trip 测试。</x:v>
      </x:c>
      <x:c r="G1571" s="144" t="str">
        <x:v>raw=0、raw=max、物理 min/max、越界/保留值、端序字节向量、pack→unpack round-trip；1457/1457 通过。</x:v>
      </x:c>
      <x:c r="H1571" s="144" t="str">
        <x:v>coem/BYD_UKE/gen_bsw/Com/Com_PBcfg.c:80422; BoschOversea_StandardCANFD_commplatform_RCR_CAN_Matrix_V4.18.2_20251104.dbc:539</x:v>
      </x:c>
    </x:row>
    <x:row r="1572" ht="72" customHeight="1">
      <x:c r="A1572" s="144" t="str">
        <x:v>Com-Signal</x:v>
      </x:c>
      <x:c r="B1572" s="144" t="str">
        <x:v>COM-SIG-Rx-0660 / VCU_System_Status_S</x:v>
      </x:c>
      <x:c r="C1572" s="144" t="str">
        <x:v>PDU=VCU_0x1A8; startBit=31; length=3; byteOrder=Little; type=UINT8; factor=1; offset=0; min=0; max=7; unit=-; receivers=MPC,MRR,BSMCL,BSMCR,FCR</x:v>
      </x:c>
      <x:c r="D157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2" s="144" t="str">
        <x:v>M2</x:v>
      </x:c>
      <x:c r="F1572" s="144" t="str">
        <x:v>Signal 级可编辑配置、数据类型/缩放/端序合同、RTE 接口、边界值与 round-trip 测试。</x:v>
      </x:c>
      <x:c r="G1572" s="144" t="str">
        <x:v>raw=0、raw=max、物理 min/max、越界/保留值、端序字节向量、pack→unpack round-trip；1457/1457 通过。</x:v>
      </x:c>
      <x:c r="H1572" s="144" t="str">
        <x:v>coem/BYD_UKE/gen_bsw/Com/Com_PBcfg.c:80482; BoschOversea_StandardCANFD_commplatform_RCR_CAN_Matrix_V4.18.2_20251104.dbc:551</x:v>
      </x:c>
    </x:row>
    <x:row r="1573" ht="72" customHeight="1">
      <x:c r="A1573" s="144" t="str">
        <x:v>Com-Signal</x:v>
      </x:c>
      <x:c r="B1573" s="144" t="str">
        <x:v>COM-SIG-Rx-0661 / VCU_VLC_Active_S</x:v>
      </x:c>
      <x:c r="C1573" s="144" t="str">
        <x:v>PDU=VCU_0x1A8; startBit=26; length=1; byteOrder=Little; type=UINT8; factor=1; offset=0; min=0; max=1; unit=-; receivers=MPC,MRR,BSMCL,BSMCR,FCR</x:v>
      </x:c>
      <x:c r="D157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3" s="144" t="str">
        <x:v>M2</x:v>
      </x:c>
      <x:c r="F1573" s="144" t="str">
        <x:v>Signal 级可编辑配置、数据类型/缩放/端序合同、RTE 接口、边界值与 round-trip 测试。</x:v>
      </x:c>
      <x:c r="G1573" s="144" t="str">
        <x:v>raw=0、raw=max、物理 min/max、越界/保留值、端序字节向量、pack→unpack round-trip；1457/1457 通过。</x:v>
      </x:c>
      <x:c r="H1573" s="144" t="str">
        <x:v>coem/BYD_UKE/gen_bsw/Com/Com_PBcfg.c:80542; BoschOversea_StandardCANFD_commplatform_RCR_CAN_Matrix_V4.18.2_20251104.dbc:546</x:v>
      </x:c>
    </x:row>
    <x:row r="1574" ht="72" customHeight="1">
      <x:c r="A1574" s="144" t="str">
        <x:v>Com-Signal</x:v>
      </x:c>
      <x:c r="B1574" s="144" t="str">
        <x:v>COM-SIG-Rx-0662 / VCU_VLC_Available_S</x:v>
      </x:c>
      <x:c r="C1574" s="144" t="str">
        <x:v>PDU=VCU_0x1A8; startBit=25; length=1; byteOrder=Little; type=UINT8; factor=1; offset=0; min=0; max=1; unit=-; receivers=MPC,MRR,BSMCL,BSMCR,FCR</x:v>
      </x:c>
      <x:c r="D157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4" s="144" t="str">
        <x:v>M2</x:v>
      </x:c>
      <x:c r="F1574" s="144" t="str">
        <x:v>Signal 级可编辑配置、数据类型/缩放/端序合同、RTE 接口、边界值与 round-trip 测试。</x:v>
      </x:c>
      <x:c r="G1574" s="144" t="str">
        <x:v>raw=0、raw=max、物理 min/max、越界/保留值、端序字节向量、pack→unpack round-trip；1457/1457 通过。</x:v>
      </x:c>
      <x:c r="H1574" s="144" t="str">
        <x:v>coem/BYD_UKE/gen_bsw/Com/Com_PBcfg.c:80602; BoschOversea_StandardCANFD_commplatform_RCR_CAN_Matrix_V4.18.2_20251104.dbc:545</x:v>
      </x:c>
    </x:row>
    <x:row r="1575" ht="72" customHeight="1">
      <x:c r="A1575" s="144" t="str">
        <x:v>Com-Signal</x:v>
      </x:c>
      <x:c r="B1575" s="144" t="str">
        <x:v>COM-SIG-Rx-0663 / VCU_VLC_Fail_S</x:v>
      </x:c>
      <x:c r="C1575" s="144" t="str">
        <x:v>PDU=VCU_0x1A8; startBit=27; length=1; byteOrder=Little; type=UINT8; factor=1; offset=0; min=0; max=1; unit=-; receivers=MPC,MRR,BSMCL,BSMCR,FCR</x:v>
      </x:c>
      <x:c r="D157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5" s="144" t="str">
        <x:v>M2</x:v>
      </x:c>
      <x:c r="F1575" s="144" t="str">
        <x:v>Signal 级可编辑配置、数据类型/缩放/端序合同、RTE 接口、边界值与 round-trip 测试。</x:v>
      </x:c>
      <x:c r="G1575" s="144" t="str">
        <x:v>raw=0、raw=max、物理 min/max、越界/保留值、端序字节向量、pack→unpack round-trip；1457/1457 通过。</x:v>
      </x:c>
      <x:c r="H1575" s="144" t="str">
        <x:v>coem/BYD_UKE/gen_bsw/Com/Com_PBcfg.c:80662; BoschOversea_StandardCANFD_commplatform_RCR_CAN_Matrix_V4.18.2_20251104.dbc:547</x:v>
      </x:c>
    </x:row>
    <x:row r="1576" ht="72" customHeight="1">
      <x:c r="A1576" s="144" t="str">
        <x:v>Com-Signal</x:v>
      </x:c>
      <x:c r="B1576" s="144" t="str">
        <x:v>COM-SIG-Rx-0664 / Vehicle_Hold_Active</x:v>
      </x:c>
      <x:c r="C1576" s="144" t="str">
        <x:v>PDU=VCU_0x1A8; startBit=34; length=1; byteOrder=Little; type=UINT8; factor=1; offset=0; min=0; max=1; unit=-; receivers=MPC,MRR,BSMCL,BSMCR,FCR</x:v>
      </x:c>
      <x:c r="D157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6" s="144" t="str">
        <x:v>M2</x:v>
      </x:c>
      <x:c r="F1576" s="144" t="str">
        <x:v>Signal 级可编辑配置、数据类型/缩放/端序合同、RTE 接口、边界值与 round-trip 测试。</x:v>
      </x:c>
      <x:c r="G1576" s="144" t="str">
        <x:v>raw=0、raw=max、物理 min/max、越界/保留值、端序字节向量、pack→unpack round-trip；1457/1457 通过。</x:v>
      </x:c>
      <x:c r="H1576" s="144" t="str">
        <x:v>coem/BYD_UKE/gen_bsw/Com/Com_PBcfg.c:80722; BoschOversea_StandardCANFD_commplatform_RCR_CAN_Matrix_V4.18.2_20251104.dbc:552</x:v>
      </x:c>
    </x:row>
    <x:row r="1577" ht="72" customHeight="1">
      <x:c r="A1577" s="144" t="str">
        <x:v>Com-Signal</x:v>
      </x:c>
      <x:c r="B1577" s="144" t="str">
        <x:v>COM-SIG-Rx-0665 / hydrabrake_valid</x:v>
      </x:c>
      <x:c r="C1577" s="144" t="str">
        <x:v>PDU=VCU_0x1A8; startBit=35; length=1; byteOrder=Little; type=UINT8; factor=1; offset=0; min=0; max=1; unit=-; receivers=MPC,MRR,BSMCL,BSMCR,FCR</x:v>
      </x:c>
      <x:c r="D157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7" s="144" t="str">
        <x:v>M2</x:v>
      </x:c>
      <x:c r="F1577" s="144" t="str">
        <x:v>Signal 级可编辑配置、数据类型/缩放/端序合同、RTE 接口、边界值与 round-trip 测试。</x:v>
      </x:c>
      <x:c r="G1577" s="144" t="str">
        <x:v>raw=0、raw=max、物理 min/max、越界/保留值、端序字节向量、pack→unpack round-trip；1457/1457 通过。</x:v>
      </x:c>
      <x:c r="H1577" s="144" t="str">
        <x:v>coem/BYD_UKE/gen_bsw/Com/Com_PBcfg.c:80782; BoschOversea_StandardCANFD_commplatform_RCR_CAN_Matrix_V4.18.2_20251104.dbc:553</x:v>
      </x:c>
    </x:row>
    <x:row r="1578" ht="72" customHeight="1">
      <x:c r="A1578" s="144" t="str">
        <x:v>Com-Signal</x:v>
      </x:c>
      <x:c r="B1578" s="144" t="str">
        <x:v>COM-SIG-Rx-0666 / TireChain_fcn_Active_flg_S</x:v>
      </x:c>
      <x:c r="C1578" s="144" t="str">
        <x:v>PDU=VCU_0x240; startBit=11; length=1; byteOrder=Little; type=UINT8; factor=1; offset=0; min=0; max=1; unit=-; receivers=Left_BCM_L1,Left_BCM_L2_L3,Left_BCM_L4,MPC,ADS,MRR,BSMCL,BSMCR,FCR,APA</x:v>
      </x:c>
      <x:c r="D157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8" s="144" t="str">
        <x:v>M2</x:v>
      </x:c>
      <x:c r="F1578" s="144" t="str">
        <x:v>Signal 级可编辑配置、数据类型/缩放/端序合同、RTE 接口、边界值与 round-trip 测试。</x:v>
      </x:c>
      <x:c r="G1578" s="144" t="str">
        <x:v>raw=0、raw=max、物理 min/max、越界/保留值、端序字节向量、pack→unpack round-trip；1457/1457 通过。</x:v>
      </x:c>
      <x:c r="H1578" s="144" t="str">
        <x:v>coem/BYD_UKE/gen_bsw/Com/Com_PBcfg.c:80842; BoschOversea_StandardCANFD_commplatform_RCR_CAN_Matrix_V4.18.2_20251104.dbc:379</x:v>
      </x:c>
    </x:row>
    <x:row r="1579" ht="72" customHeight="1">
      <x:c r="A1579" s="144" t="str">
        <x:v>Com-Signal</x:v>
      </x:c>
      <x:c r="B1579" s="144" t="str">
        <x:v>COM-SIG-Rx-0667 / VCU_Practice_Road_Mode_S</x:v>
      </x:c>
      <x:c r="C1579" s="144" t="str">
        <x:v>PDU=VCU_0x240; startBit=43; length=3; byteOrder=Little; type=UINT8; factor=1; offset=0; min=0; max=7; unit=-; receivers=Left_BCM_L1,Left_BCM_L2_L3,Left_BCM_L4,Media,IPB,EPS,MPC,ADS,MRR,BSMCL,BSMCR,APA</x:v>
      </x:c>
      <x:c r="D157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79" s="144" t="str">
        <x:v>M2</x:v>
      </x:c>
      <x:c r="F1579" s="144" t="str">
        <x:v>Signal 级可编辑配置、数据类型/缩放/端序合同、RTE 接口、边界值与 round-trip 测试。</x:v>
      </x:c>
      <x:c r="G1579" s="144" t="str">
        <x:v>raw=0、raw=max、物理 min/max、越界/保留值、端序字节向量、pack→unpack round-trip；1457/1457 通过。</x:v>
      </x:c>
      <x:c r="H1579" s="144" t="str">
        <x:v>coem/BYD_UKE/gen_bsw/Com/Com_PBcfg.c:80902; BoschOversea_StandardCANFD_commplatform_RCR_CAN_Matrix_V4.18.2_20251104.dbc:380</x:v>
      </x:c>
    </x:row>
    <x:row r="1580" ht="72" customHeight="1">
      <x:c r="A1580" s="144" t="str">
        <x:v>Com-Signal</x:v>
      </x:c>
      <x:c r="B1580" s="144" t="str">
        <x:v>COM-SIG-Rx-0668 / Acceleration_Pedal_depth_error_S</x:v>
      </x:c>
      <x:c r="C1580" s="144" t="str">
        <x:v>PDU=VCU_0x242; startBit=36; length=1; byteOrder=Little; type=UINT8; factor=1; offset=0; min=0; max=1; unit=-; receivers=MPC,MRR,BSMCL,BSMCR,FCR</x:v>
      </x:c>
      <x:c r="D158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0" s="144" t="str">
        <x:v>M2</x:v>
      </x:c>
      <x:c r="F1580" s="144" t="str">
        <x:v>Signal 级可编辑配置、数据类型/缩放/端序合同、RTE 接口、边界值与 round-trip 测试。</x:v>
      </x:c>
      <x:c r="G1580" s="144" t="str">
        <x:v>raw=0、raw=max、物理 min/max、越界/保留值、端序字节向量、pack→unpack round-trip；1457/1457 通过。</x:v>
      </x:c>
      <x:c r="H1580" s="144" t="str">
        <x:v>coem/BYD_UKE/gen_bsw/Com/Com_PBcfg.c:80962; BoschOversea_StandardCANFD_commplatform_RCR_CAN_Matrix_V4.18.2_20251104.dbc:514</x:v>
      </x:c>
    </x:row>
    <x:row r="1581" ht="72" customHeight="1">
      <x:c r="A1581" s="144" t="str">
        <x:v>Com-Signal</x:v>
      </x:c>
      <x:c r="B1581" s="144" t="str">
        <x:v>COM-SIG-Rx-0669 / Alive_counter242_S</x:v>
      </x:c>
      <x:c r="C1581" s="144" t="str">
        <x:v>PDU=VCU_0x242; startBit=52; length=4; byteOrder=Little; type=UINT8; factor=1; offset=0; min=0; max=15; unit=-; receivers=MPC,MRR,BSMCL,BSMCR,FCR</x:v>
      </x:c>
      <x:c r="D158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1" s="144" t="str">
        <x:v>M2</x:v>
      </x:c>
      <x:c r="F1581" s="144" t="str">
        <x:v>Signal 级可编辑配置、数据类型/缩放/端序合同、RTE 接口、边界值与 round-trip 测试。</x:v>
      </x:c>
      <x:c r="G1581" s="144" t="str">
        <x:v>raw=0、raw=max、物理 min/max、越界/保留值、端序字节向量、pack→unpack round-trip；1457/1457 通过。</x:v>
      </x:c>
      <x:c r="H1581" s="144" t="str">
        <x:v>coem/BYD_UKE/gen_bsw/Com/Com_PBcfg.c:81022; BoschOversea_StandardCANFD_commplatform_RCR_CAN_Matrix_V4.18.2_20251104.dbc:516</x:v>
      </x:c>
    </x:row>
    <x:row r="1582" ht="72" customHeight="1">
      <x:c r="A1582" s="144" t="str">
        <x:v>Com-Signal</x:v>
      </x:c>
      <x:c r="B1582" s="144" t="str">
        <x:v>COM-SIG-Rx-0670 / Checksum242_S</x:v>
      </x:c>
      <x:c r="C1582" s="144" t="str">
        <x:v>PDU=VCU_0x242; startBit=56; length=8; byteOrder=Little; type=UINT8; factor=1; offset=0; min=0; max=255; unit=-; receivers=MPC,MRR,BSMCL,BSMCR,FCR</x:v>
      </x:c>
      <x:c r="D158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2" s="144" t="str">
        <x:v>M2</x:v>
      </x:c>
      <x:c r="F1582" s="144" t="str">
        <x:v>Signal 级可编辑配置、数据类型/缩放/端序合同、RTE 接口、边界值与 round-trip 测试。</x:v>
      </x:c>
      <x:c r="G1582" s="144" t="str">
        <x:v>raw=0、raw=max、物理 min/max、越界/保留值、端序字节向量、pack→unpack round-trip；1457/1457 通过。</x:v>
      </x:c>
      <x:c r="H1582" s="144" t="str">
        <x:v>coem/BYD_UKE/gen_bsw/Com/Com_PBcfg.c:81082; BoschOversea_StandardCANFD_commplatform_RCR_CAN_Matrix_V4.18.2_20251104.dbc:517</x:v>
      </x:c>
    </x:row>
    <x:row r="1583" ht="72" customHeight="1">
      <x:c r="A1583" s="144" t="str">
        <x:v>Com-Signal</x:v>
      </x:c>
      <x:c r="B1583" s="144" t="str">
        <x:v>COM-SIG-Rx-0671 / VCU_Driver_VLC_Request_Torque_S</x:v>
      </x:c>
      <x:c r="C1583" s="144" t="str">
        <x:v>PDU=VCU_0x242; startBit=33; length=1; byteOrder=Little; type=UINT8; factor=1; offset=0; min=0; max=1; unit=-; receivers=MPC,MRR,BSMCL,BSMCR,FCR</x:v>
      </x:c>
      <x:c r="D158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3" s="144" t="str">
        <x:v>M2</x:v>
      </x:c>
      <x:c r="F1583" s="144" t="str">
        <x:v>Signal 级可编辑配置、数据类型/缩放/端序合同、RTE 接口、边界值与 round-trip 测试。</x:v>
      </x:c>
      <x:c r="G1583" s="144" t="str">
        <x:v>raw=0、raw=max、物理 min/max、越界/保留值、端序字节向量、pack→unpack round-trip；1457/1457 通过。</x:v>
      </x:c>
      <x:c r="H1583" s="144" t="str">
        <x:v>coem/BYD_UKE/gen_bsw/Com/Com_PBcfg.c:81142; BoschOversea_StandardCANFD_commplatform_RCR_CAN_Matrix_V4.18.2_20251104.dbc:513</x:v>
      </x:c>
    </x:row>
    <x:row r="1584" ht="72" customHeight="1">
      <x:c r="A1584" s="144" t="str">
        <x:v>Com-Signal</x:v>
      </x:c>
      <x:c r="B1584" s="144" t="str">
        <x:v>COM-SIG-Rx-0672 / trailer_mode_Active_flg_S</x:v>
      </x:c>
      <x:c r="C1584" s="144" t="str">
        <x:v>PDU=VCU_0x242; startBit=39; length=1; byteOrder=Little; type=UINT8; factor=1; offset=0; min=0; max=1; unit=-; receivers=MPC,MRR,BSMCL,BSMCR,FCR</x:v>
      </x:c>
      <x:c r="D158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4" s="144" t="str">
        <x:v>M2</x:v>
      </x:c>
      <x:c r="F1584" s="144" t="str">
        <x:v>Signal 级可编辑配置、数据类型/缩放/端序合同、RTE 接口、边界值与 round-trip 测试。</x:v>
      </x:c>
      <x:c r="G1584" s="144" t="str">
        <x:v>raw=0、raw=max、物理 min/max、越界/保留值、端序字节向量、pack→unpack round-trip；1457/1457 通过。</x:v>
      </x:c>
      <x:c r="H1584" s="144" t="str">
        <x:v>coem/BYD_UKE/gen_bsw/Com/Com_PBcfg.c:81202; BoschOversea_StandardCANFD_commplatform_RCR_CAN_Matrix_V4.18.2_20251104.dbc:515</x:v>
      </x:c>
    </x:row>
    <x:row r="1585" ht="72" customHeight="1">
      <x:c r="A1585" s="144" t="str">
        <x:v>Com-Signal</x:v>
      </x:c>
      <x:c r="B1585" s="144" t="str">
        <x:v>COM-SIG-Rx-0673 / TAB_Ctrl_Sts</x:v>
      </x:c>
      <x:c r="C1585" s="144" t="str">
        <x:v>PDU=VCU_0x28A; startBit=504; length=2; byteOrder=Little; type=UINT8; factor=1; offset=0; min=0; max=3; unit=-; receivers=MPC,MRR,BSMCL,BSMCR,FCR</x:v>
      </x:c>
      <x:c r="D1585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5" s="144" t="str">
        <x:v>M2</x:v>
      </x:c>
      <x:c r="F1585" s="144" t="str">
        <x:v>Signal 级可编辑配置、数据类型/缩放/端序合同、RTE 接口、边界值与 round-trip 测试。</x:v>
      </x:c>
      <x:c r="G1585" s="144" t="str">
        <x:v>raw=0、raw=max、物理 min/max、越界/保留值、端序字节向量、pack→unpack round-trip；1457/1457 通过。</x:v>
      </x:c>
      <x:c r="H1585" s="144" t="str">
        <x:v>coem/BYD_UKE/gen_bsw/Com/Com_PBcfg.c:81262; BoschOversea_StandardCANFD_commplatform_RCR_CAN_Matrix_V4.18.2_20251104.dbc:520</x:v>
      </x:c>
    </x:row>
    <x:row r="1586" ht="72" customHeight="1">
      <x:c r="A1586" s="144" t="str">
        <x:v>Com-Signal</x:v>
      </x:c>
      <x:c r="B1586" s="144" t="str">
        <x:v>COM-SIG-Rx-0674 / Checksum341_S</x:v>
      </x:c>
      <x:c r="C1586" s="144" t="str">
        <x:v>PDU=VCU_0x341; startBit=56; length=8; byteOrder=Little; type=UINT8; factor=1; offset=0; min=0; max=255; unit=-; receivers=Left_BCM_L1,Left_BCM_L2_L3,Left_BCM_L4,BMS,ADS,MRR,BSMCL,BSMCR,FCR,APA</x:v>
      </x:c>
      <x:c r="D158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6" s="144" t="str">
        <x:v>M2</x:v>
      </x:c>
      <x:c r="F1586" s="144" t="str">
        <x:v>Signal 级可编辑配置、数据类型/缩放/端序合同、RTE 接口、边界值与 round-trip 测试。</x:v>
      </x:c>
      <x:c r="G1586" s="144" t="str">
        <x:v>raw=0、raw=max、物理 min/max、越界/保留值、端序字节向量、pack→unpack round-trip；1457/1457 通过。</x:v>
      </x:c>
      <x:c r="H1586" s="144" t="str">
        <x:v>coem/BYD_UKE/gen_bsw/Com/Com_PBcfg.c:81322; BoschOversea_StandardCANFD_commplatform_RCR_CAN_Matrix_V4.18.2_20251104.dbc:727</x:v>
      </x:c>
    </x:row>
    <x:row r="1587" ht="72" customHeight="1">
      <x:c r="A1587" s="144" t="str">
        <x:v>Com-Signal</x:v>
      </x:c>
      <x:c r="B1587" s="144" t="str">
        <x:v>COM-SIG-Rx-0675 / VCU_READY_Indicator_Light_S</x:v>
      </x:c>
      <x:c r="C1587" s="144" t="str">
        <x:v>PDU=VCU_0x341; startBit=8; length=2; byteOrder=Little; type=UINT8; factor=1; offset=0; min=0; max=3; unit=-; receivers=Left_BCM_L1,Left_BCM_L2_L3,Left_BCM_L4,Right_BCM,Rear_BCM,Media,LTE4G,ALS,LBMS,SCPA,SCU,BMS,DCOBC,EPS,ADS,MRR,BSMCL,BSMCR,FCR,APA</x:v>
      </x:c>
      <x:c r="D158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7" s="144" t="str">
        <x:v>M2</x:v>
      </x:c>
      <x:c r="F1587" s="144" t="str">
        <x:v>Signal 级可编辑配置、数据类型/缩放/端序合同、RTE 接口、边界值与 round-trip 测试。</x:v>
      </x:c>
      <x:c r="G1587" s="144" t="str">
        <x:v>raw=0、raw=max、物理 min/max、越界/保留值、端序字节向量、pack→unpack round-trip；1457/1457 通过。</x:v>
      </x:c>
      <x:c r="H1587" s="144" t="str">
        <x:v>coem/BYD_UKE/gen_bsw/Com/Com_PBcfg.c:81382; BoschOversea_StandardCANFD_commplatform_RCR_CAN_Matrix_V4.18.2_20251104.dbc:726</x:v>
      </x:c>
    </x:row>
    <x:row r="1588" ht="72" customHeight="1">
      <x:c r="A1588" s="144" t="str">
        <x:v>Com-Signal</x:v>
      </x:c>
      <x:c r="B1588" s="144" t="str">
        <x:v>COM-SIG-Rx-0676 / VCU_Tortoise_lamp_S</x:v>
      </x:c>
      <x:c r="C1588" s="144" t="str">
        <x:v>PDU=VCU_0x341; startBit=4; length=2; byteOrder=Little; type=UINT8; factor=1; offset=0; min=0; max=3; unit=-; receivers=Left_BCM_L1,Left_BCM_L2_L3,Left_BCM_L4,Right_BCM,Rear_BCM,Media,LTE4G,ALS,LBMS,SCPA,SCU,BMS,DCOBC,EPS,MPC,ADS,MRR,BSMCL,BSMCR,FCR,APA</x:v>
      </x:c>
      <x:c r="D158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8" s="144" t="str">
        <x:v>M2</x:v>
      </x:c>
      <x:c r="F1588" s="144" t="str">
        <x:v>Signal 级可编辑配置、数据类型/缩放/端序合同、RTE 接口、边界值与 round-trip 测试。</x:v>
      </x:c>
      <x:c r="G1588" s="144" t="str">
        <x:v>raw=0、raw=max、物理 min/max、越界/保留值、端序字节向量、pack→unpack round-trip；1457/1457 通过。</x:v>
      </x:c>
      <x:c r="H1588" s="144" t="str">
        <x:v>coem/BYD_UKE/gen_bsw/Com/Com_PBcfg.c:81442; BoschOversea_StandardCANFD_commplatform_RCR_CAN_Matrix_V4.18.2_20251104.dbc:725</x:v>
      </x:c>
    </x:row>
    <x:row r="1589" ht="72" customHeight="1">
      <x:c r="A1589" s="144" t="str">
        <x:v>Com-Signal</x:v>
      </x:c>
      <x:c r="B1589" s="144" t="str">
        <x:v>COM-SIG-Rx-0677 / Actual_Gear_Status_342_S</x:v>
      </x:c>
      <x:c r="C1589" s="144" t="str">
        <x:v>PDU=VCU_0x342; startBit=28; length=1; byteOrder=Little; type=UINT8; factor=1; offset=0; min=0; max=1; unit=-; receivers=Left_BCM_L1,Left_BCM_L2_L3,Left_BCM_L4,Right_BCM,Rear_BCM,Media,LTE4G,AVAS,PSDL,PSDR,ALS,IPB,MPC,ADS,MRR,BSMCL,BSMCR,APA</x:v>
      </x:c>
      <x:c r="D1589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89" s="144" t="str">
        <x:v>M2</x:v>
      </x:c>
      <x:c r="F1589" s="144" t="str">
        <x:v>Signal 级可编辑配置、数据类型/缩放/端序合同、RTE 接口、边界值与 round-trip 测试。</x:v>
      </x:c>
      <x:c r="G1589" s="144" t="str">
        <x:v>raw=0、raw=max、物理 min/max、越界/保留值、端序字节向量、pack→unpack round-trip；1457/1457 通过。</x:v>
      </x:c>
      <x:c r="H1589" s="144" t="str">
        <x:v>coem/BYD_UKE/gen_bsw/Com/Com_PBcfg.c:81502; BoschOversea_StandardCANFD_commplatform_RCR_CAN_Matrix_V4.18.2_20251104.dbc:125</x:v>
      </x:c>
    </x:row>
    <x:row r="1590" ht="72" customHeight="1">
      <x:c r="A1590" s="144" t="str">
        <x:v>Com-Signal</x:v>
      </x:c>
      <x:c r="B1590" s="144" t="str">
        <x:v>COM-SIG-Rx-0678 / Checksum342_S</x:v>
      </x:c>
      <x:c r="C1590" s="144" t="str">
        <x:v>PDU=VCU_0x342; startBit=56; length=8; byteOrder=Little; type=UINT8; factor=1; offset=0; min=0; max=255; unit=-; receivers=Left_BCM_L1,Left_BCM_L2_L3,Left_BCM_L4,Media,FMCU,RMCU,BSG,IPB,MPC,ADS,MRR,BSMCL,BSMCR,APA</x:v>
      </x:c>
      <x:c r="D1590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0" s="144" t="str">
        <x:v>M2</x:v>
      </x:c>
      <x:c r="F1590" s="144" t="str">
        <x:v>Signal 级可编辑配置、数据类型/缩放/端序合同、RTE 接口、边界值与 round-trip 测试。</x:v>
      </x:c>
      <x:c r="G1590" s="144" t="str">
        <x:v>raw=0、raw=max、物理 min/max、越界/保留值、端序字节向量、pack→unpack round-trip；1457/1457 通过。</x:v>
      </x:c>
      <x:c r="H1590" s="144" t="str">
        <x:v>coem/BYD_UKE/gen_bsw/Com/Com_PBcfg.c:81562; BoschOversea_StandardCANFD_commplatform_RCR_CAN_Matrix_V4.18.2_20251104.dbc:127</x:v>
      </x:c>
    </x:row>
    <x:row r="1591" ht="72" customHeight="1">
      <x:c r="A1591" s="144" t="str">
        <x:v>Com-Signal</x:v>
      </x:c>
      <x:c r="B1591" s="144" t="str">
        <x:v>COM-SIG-Rx-0679 / Rolling_Counter_342_S</x:v>
      </x:c>
      <x:c r="C1591" s="144" t="str">
        <x:v>PDU=VCU_0x342; startBit=52; length=4; byteOrder=Little; type=UINT8; factor=1; offset=0; min=0; max=15; unit=-; receivers=Left_BCM_L1,Left_BCM_L2_L3,Left_BCM_L4,FMCU,RMCU,BSG,IPB,MPC,ADS,MRR,BSMCL,BSMCR,APA</x:v>
      </x:c>
      <x:c r="D1591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1" s="144" t="str">
        <x:v>M2</x:v>
      </x:c>
      <x:c r="F1591" s="144" t="str">
        <x:v>Signal 级可编辑配置、数据类型/缩放/端序合同、RTE 接口、边界值与 round-trip 测试。</x:v>
      </x:c>
      <x:c r="G1591" s="144" t="str">
        <x:v>raw=0、raw=max、物理 min/max、越界/保留值、端序字节向量、pack→unpack round-trip；1457/1457 通过。</x:v>
      </x:c>
      <x:c r="H1591" s="144" t="str">
        <x:v>coem/BYD_UKE/gen_bsw/Com/Com_PBcfg.c:81622; BoschOversea_StandardCANFD_commplatform_RCR_CAN_Matrix_V4.18.2_20251104.dbc:126</x:v>
      </x:c>
    </x:row>
    <x:row r="1592" ht="72" customHeight="1">
      <x:c r="A1592" s="144" t="str">
        <x:v>Com-Signal</x:v>
      </x:c>
      <x:c r="B1592" s="144" t="str">
        <x:v>COM-SIG-Rx-0680 / VCU_Accelerograph_Depth_S</x:v>
      </x:c>
      <x:c r="C1592" s="144" t="str">
        <x:v>PDU=VCU_0x342; startBit=0; length=8; byteOrder=Little; type=UINT8; factor=1; offset=0; min=0; max=100; unit=%; receivers=Left_BCM_L1,Left_BCM_L2_L3,Left_BCM_L4,Media,LTE4G,IPB,SRS,MPC,ADS,MRR,BSMCL,BSMCR,APA</x:v>
      </x:c>
      <x:c r="D1592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2" s="144" t="str">
        <x:v>M2</x:v>
      </x:c>
      <x:c r="F1592" s="144" t="str">
        <x:v>Signal 级可编辑配置、数据类型/缩放/端序合同、RTE 接口、边界值与 round-trip 测试。</x:v>
      </x:c>
      <x:c r="G1592" s="144" t="str">
        <x:v>raw=0、raw=max、物理 min/max、越界/保留值、端序字节向量、pack→unpack round-trip；1457/1457 通过。</x:v>
      </x:c>
      <x:c r="H1592" s="144" t="str">
        <x:v>coem/BYD_UKE/gen_bsw/Com/Com_PBcfg.c:81682; BoschOversea_StandardCANFD_commplatform_RCR_CAN_Matrix_V4.18.2_20251104.dbc:122</x:v>
      </x:c>
    </x:row>
    <x:row r="1593" ht="72" customHeight="1">
      <x:c r="A1593" s="144" t="str">
        <x:v>Com-Signal</x:v>
      </x:c>
      <x:c r="B1593" s="144" t="str">
        <x:v>COM-SIG-Rx-0681 / VCU_Acelrogra_Dpth_Virtual_Val_S</x:v>
      </x:c>
      <x:c r="C1593" s="144" t="str">
        <x:v>PDU=VCU_0x342; startBit=16; length=1; byteOrder=Little; type=UINT8; factor=1; offset=0; min=0; max=1; unit=-; receivers=Media,IPB,SRS,MPC,ADS,MRR,BSMCL,BSMCR,APA</x:v>
      </x:c>
      <x:c r="D1593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3" s="144" t="str">
        <x:v>M2</x:v>
      </x:c>
      <x:c r="F1593" s="144" t="str">
        <x:v>Signal 级可编辑配置、数据类型/缩放/端序合同、RTE 接口、边界值与 round-trip 测试。</x:v>
      </x:c>
      <x:c r="G1593" s="144" t="str">
        <x:v>raw=0、raw=max、物理 min/max、越界/保留值、端序字节向量、pack→unpack round-trip；1457/1457 通过。</x:v>
      </x:c>
      <x:c r="H1593" s="144" t="str">
        <x:v>coem/BYD_UKE/gen_bsw/Com/Com_PBcfg.c:81742; BoschOversea_StandardCANFD_commplatform_RCR_CAN_Matrix_V4.18.2_20251104.dbc:123</x:v>
      </x:c>
    </x:row>
    <x:row r="1594" ht="72" customHeight="1">
      <x:c r="A1594" s="144" t="str">
        <x:v>Com-Signal</x:v>
      </x:c>
      <x:c r="B1594" s="144" t="str">
        <x:v>COM-SIG-Rx-0682 / VCU_Goal_Gear_S</x:v>
      </x:c>
      <x:c r="C1594" s="144" t="str">
        <x:v>PDU=VCU_0x342; startBit=24; length=4; byteOrder=Little; type=UINT8; factor=1; offset=0; min=0; max=15; unit=-; receivers=Left_BCM_L1,Left_BCM_L2_L3,Left_BCM_L4,Right_BCM,Rear_BCM,Media,LTE4G,AVAS,PSDL,PSDR,ALS,IPB,MPC,ADS,MRR,BSMCL,BSMCR,APA</x:v>
      </x:c>
      <x:c r="D1594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4" s="144" t="str">
        <x:v>M2</x:v>
      </x:c>
      <x:c r="F1594" s="144" t="str">
        <x:v>Signal 级可编辑配置、数据类型/缩放/端序合同、RTE 接口、边界值与 round-trip 测试。</x:v>
      </x:c>
      <x:c r="G1594" s="144" t="str">
        <x:v>raw=0、raw=max、物理 min/max、越界/保留值、端序字节向量、pack→unpack round-trip；1457/1457 通过。</x:v>
      </x:c>
      <x:c r="H1594" s="144" t="str">
        <x:v>coem/BYD_UKE/gen_bsw/Com/Com_PBcfg.c:81802; BoschOversea_StandardCANFD_commplatform_RCR_CAN_Matrix_V4.18.2_20251104.dbc:124</x:v>
      </x:c>
    </x:row>
    <x:row r="1595" ht="72" customHeight="1">
      <x:c r="A1595" s="144" t="str">
        <x:v>Com-Signal</x:v>
      </x:c>
      <x:c r="B1595" s="144" t="str">
        <x:v>COM-SIG-Rx-0683 / VCU_Vehicle_Run_Mode_S</x:v>
      </x:c>
      <x:c r="C1595" s="144" t="str">
        <x:v>PDU=VCU_0x342; startBit=20; length=2; byteOrder=Little; type=UINT8; factor=1（Com原始值）; offset=0（Com原始值）; min=按位宽/类型; max=按位宽/类型; unit=-; receivers=-</x:v>
      </x:c>
      <x:c r="D1595" s="144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595" s="144" t="str">
        <x:v>M2</x:v>
      </x:c>
      <x:c r="F1595" s="144" t="str">
        <x:v>Signal 级可编辑配置、数据类型/缩放/端序合同、RTE 接口、边界值与 round-trip 测试。</x:v>
      </x:c>
      <x:c r="G1595" s="144" t="str">
        <x:v>raw=0、raw=max、物理 min/max、越界/保留值、端序字节向量、pack→unpack round-trip；1457/1457 通过。</x:v>
      </x:c>
      <x:c r="H1595" s="144" t="str">
        <x:v>coem/BYD_UKE/gen_bsw/Com/Com_PBcfg.c:81862</x:v>
      </x:c>
    </x:row>
    <x:row r="1596" ht="72" customHeight="1">
      <x:c r="A1596" s="144" t="str">
        <x:v>Com-Signal</x:v>
      </x:c>
      <x:c r="B1596" s="144" t="str">
        <x:v>COM-SIG-Rx-0684 / Act_drv_mod</x:v>
      </x:c>
      <x:c r="C1596" s="144" t="str">
        <x:v>PDU=VCU_0x4BE; startBit=0; length=8; byteOrder=Little; type=UINT8; factor=1; offset=0; min=0; max=255; unit=-; receivers=MPC,MRR,BSMCL,BSMCR,FCR</x:v>
      </x:c>
      <x:c r="D1596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6" s="144" t="str">
        <x:v>M2</x:v>
      </x:c>
      <x:c r="F1596" s="144" t="str">
        <x:v>Signal 级可编辑配置、数据类型/缩放/端序合同、RTE 接口、边界值与 round-trip 测试。</x:v>
      </x:c>
      <x:c r="G1596" s="144" t="str">
        <x:v>raw=0、raw=max、物理 min/max、越界/保留值、端序字节向量、pack→unpack round-trip；1457/1457 通过。</x:v>
      </x:c>
      <x:c r="H1596" s="144" t="str">
        <x:v>coem/BYD_UKE/gen_bsw/Com/Com_PBcfg.c:81922; BoschOversea_StandardCANFD_commplatform_RCR_CAN_Matrix_V4.18.2_20251104.dbc:383</x:v>
      </x:c>
    </x:row>
    <x:row r="1597" ht="72" customHeight="1">
      <x:c r="A1597" s="144" t="str">
        <x:v>Com-Signal</x:v>
      </x:c>
      <x:c r="B1597" s="144" t="str">
        <x:v>COM-SIG-Rx-0685 / Crp_mod_lamp_disp_cmd</x:v>
      </x:c>
      <x:c r="C1597" s="144" t="str">
        <x:v>PDU=VCU_0x4BE; startBit=47; length=2; byteOrder=Little; type=UINT8; factor=1; offset=0; min=0; max=3; unit=-; receivers=MPC,MRR,BSMCL,BSMCR,FCR</x:v>
      </x:c>
      <x:c r="D1597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7" s="144" t="str">
        <x:v>M2</x:v>
      </x:c>
      <x:c r="F1597" s="144" t="str">
        <x:v>Signal 级可编辑配置、数据类型/缩放/端序合同、RTE 接口、边界值与 round-trip 测试。</x:v>
      </x:c>
      <x:c r="G1597" s="144" t="str">
        <x:v>raw=0、raw=max、物理 min/max、越界/保留值、端序字节向量、pack→unpack round-trip；1457/1457 通过。</x:v>
      </x:c>
      <x:c r="H1597" s="144" t="str">
        <x:v>coem/BYD_UKE/gen_bsw/Com/Com_PBcfg.c:81982; BoschOversea_StandardCANFD_commplatform_RCR_CAN_Matrix_V4.18.2_20251104.dbc:385</x:v>
      </x:c>
    </x:row>
    <x:row r="1598" ht="72" customHeight="1">
      <x:c r="A1598" s="144" t="str">
        <x:v>Com-Signal</x:v>
      </x:c>
      <x:c r="B1598" s="144" t="str">
        <x:v>COM-SIG-Rx-0686 / Tar_drv_mod_S</x:v>
      </x:c>
      <x:c r="C1598" s="144" t="str">
        <x:v>PDU=VCU_0x4BE; startBit=8; length=8; byteOrder=Little; type=UINT8; factor=1; offset=0; min=0; max=255; unit=-; receivers=MPC,MRR,BSMCL,BSMCR,FCR</x:v>
      </x:c>
      <x:c r="D1598" s="144" t="str">
        <x:v>输入：PDU 原始 bit；输出：解包后的信号值/无效状态。边界：位宽、端序、signedness、物理范围、invalid/reserved/timeout 行为须由东软自有配置实现。物理量来源口径=DBC精确匹配。</x:v>
      </x:c>
      <x:c r="E1598" s="144" t="str">
        <x:v>M2</x:v>
      </x:c>
      <x:c r="F1598" s="144" t="str">
        <x:v>Signal 级可编辑配置、数据类型/缩放/端序合同、RTE 接口、边界值与 round-trip 测试。</x:v>
      </x:c>
      <x:c r="G1598" s="144" t="str">
        <x:v>raw=0、raw=max、物理 min/max、越界/保留值、端序字节向量、pack→unpack round-trip；1457/1457 通过。</x:v>
      </x:c>
      <x:c r="H1598" s="144" t="str">
        <x:v>coem/BYD_UKE/gen_bsw/Com/Com_PBcfg.c:82042; BoschOversea_StandardCANFD_commplatform_RCR_CAN_Matrix_V4.18.2_20251104.dbc:384</x:v>
      </x:c>
    </x:row>
    <x:row r="1599" ht="72" customHeight="1">
      <x:c r="A1599" s="144" t="str">
        <x:v>OS-Task</x:v>
      </x:c>
      <x:c r="B1599" s="144" t="str">
        <x:v>OS-TASK-00 / OsTask_ASW_100ms</x:v>
      </x:c>
      <x:c r="C1599" s="144" t="str">
        <x:v>type=BCC2; priority=5; activations=10; stackBudget=UNDEFINED; location=CODE_OSTASK_ASW_100MS</x:v>
      </x:c>
      <x:c r="D1599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599" s="144" t="str">
        <x:v>M1/M2</x:v>
      </x:c>
      <x:c r="F1599" s="144" t="str">
        <x:v>东软自有 OS 配置、Task→Runnable/资源/事件映射、WCET/stack/jitter 预算和 trace。</x:v>
      </x:c>
      <x:c r="G1599" s="144" t="str">
        <x:v>100% Task 激活源可追溯；周期/优先级实测一致；最坏负载无丢激活/栈溢出；stack 高水位留批准裕量。</x:v>
      </x:c>
      <x:c r="H1599" s="144" t="str">
        <x:v>coem/BYD_UKE/tools/RTA_CAR/gen/os/Configuration Summary.txt:326</x:v>
      </x:c>
    </x:row>
    <x:row r="1600" ht="72" customHeight="1">
      <x:c r="A1600" s="144" t="str">
        <x:v>OS-Task</x:v>
      </x:c>
      <x:c r="B1600" s="144" t="str">
        <x:v>OS-TASK-01 / OsTask_Trigger66ms</x:v>
      </x:c>
      <x:c r="C1600" s="144" t="str">
        <x:v>type=BCC2; priority=6; activations=10; stackBudget=UNDEFINED; location=CODE_OSTASK_TRIGGER66MS</x:v>
      </x:c>
      <x:c r="D1600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0" s="144" t="str">
        <x:v>M1/M2</x:v>
      </x:c>
      <x:c r="F1600" s="144" t="str">
        <x:v>东软自有 OS 配置、Task→Runnable/资源/事件映射、WCET/stack/jitter 预算和 trace。</x:v>
      </x:c>
      <x:c r="G1600" s="144" t="str">
        <x:v>100% Task 激活源可追溯；周期/优先级实测一致；最坏负载无丢激活/栈溢出；stack 高水位留批准裕量。</x:v>
      </x:c>
      <x:c r="H1600" s="144" t="str">
        <x:v>coem/BYD_UKE/tools/RTA_CAR/gen/os/Configuration Summary.txt:338</x:v>
      </x:c>
    </x:row>
    <x:row r="1601" ht="72" customHeight="1">
      <x:c r="A1601" s="144" t="str">
        <x:v>OS-Task</x:v>
      </x:c>
      <x:c r="B1601" s="144" t="str">
        <x:v>OS-TASK-02 / OsTask_ASW_10ms</x:v>
      </x:c>
      <x:c r="C1601" s="144" t="str">
        <x:v>type=BCC2; priority=10; activations=10; stackBudget=UNDEFINED; location=CODE_OSTASK_ASW_10MS</x:v>
      </x:c>
      <x:c r="D1601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1" s="144" t="str">
        <x:v>M1/M2</x:v>
      </x:c>
      <x:c r="F1601" s="144" t="str">
        <x:v>东软自有 OS 配置、Task→Runnable/资源/事件映射、WCET/stack/jitter 预算和 trace。</x:v>
      </x:c>
      <x:c r="G1601" s="144" t="str">
        <x:v>100% Task 激活源可追溯；周期/优先级实测一致；最坏负载无丢激活/栈溢出；stack 高水位留批准裕量。</x:v>
      </x:c>
      <x:c r="H1601" s="144" t="str">
        <x:v>coem/BYD_UKE/tools/RTA_CAR/gen/os/Configuration Summary.txt:350</x:v>
      </x:c>
    </x:row>
    <x:row r="1602" ht="72" customHeight="1">
      <x:c r="A1602" s="144" t="str">
        <x:v>OS-Task</x:v>
      </x:c>
      <x:c r="B1602" s="144" t="str">
        <x:v>OS-TASK-03 / OsTask_BSW_SwcRequest</x:v>
      </x:c>
      <x:c r="C1602" s="144" t="str">
        <x:v>type=BCC2; priority=15; activations=10; stackBudget=UNDEFINED; location=CODE_OSTASK_BSW_SWCREQUEST</x:v>
      </x:c>
      <x:c r="D1602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2" s="144" t="str">
        <x:v>M1/M2</x:v>
      </x:c>
      <x:c r="F1602" s="144" t="str">
        <x:v>东软自有 OS 配置、Task→Runnable/资源/事件映射、WCET/stack/jitter 预算和 trace。</x:v>
      </x:c>
      <x:c r="G1602" s="144" t="str">
        <x:v>100% Task 激活源可追溯；周期/优先级实测一致；最坏负载无丢激活/栈溢出；stack 高水位留批准裕量。</x:v>
      </x:c>
      <x:c r="H1602" s="144" t="str">
        <x:v>coem/BYD_UKE/tools/RTA_CAR/gen/os/Configuration Summary.txt:362</x:v>
      </x:c>
    </x:row>
    <x:row r="1603" ht="72" customHeight="1">
      <x:c r="A1603" s="144" t="str">
        <x:v>OS-Task</x:v>
      </x:c>
      <x:c r="B1603" s="144" t="str">
        <x:v>OS-TASK-04 / OsTask_ASW_20ms</x:v>
      </x:c>
      <x:c r="C1603" s="144" t="str">
        <x:v>type=BCC2; priority=20; activations=10; stackBudget=UNDEFINED; location=CODE_OSTASK_ASW_20MS</x:v>
      </x:c>
      <x:c r="D1603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3" s="144" t="str">
        <x:v>M1/M2</x:v>
      </x:c>
      <x:c r="F1603" s="144" t="str">
        <x:v>东软自有 OS 配置、Task→Runnable/资源/事件映射、WCET/stack/jitter 预算和 trace。</x:v>
      </x:c>
      <x:c r="G1603" s="144" t="str">
        <x:v>100% Task 激活源可追溯；周期/优先级实测一致；最坏负载无丢激活/栈溢出；stack 高水位留批准裕量。</x:v>
      </x:c>
      <x:c r="H1603" s="144" t="str">
        <x:v>coem/BYD_UKE/tools/RTA_CAR/gen/os/Configuration Summary.txt:374</x:v>
      </x:c>
    </x:row>
    <x:row r="1604" ht="72" customHeight="1">
      <x:c r="A1604" s="144" t="str">
        <x:v>OS-Task</x:v>
      </x:c>
      <x:c r="B1604" s="144" t="str">
        <x:v>OS-TASK-05 / OsTask_BSW_10ms</x:v>
      </x:c>
      <x:c r="C1604" s="144" t="str">
        <x:v>type=BCC2; priority=30; activations=10; stackBudget=UNDEFINED; location=CODE_OSTASK_BSW_10MS</x:v>
      </x:c>
      <x:c r="D1604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4" s="144" t="str">
        <x:v>M1/M2</x:v>
      </x:c>
      <x:c r="F1604" s="144" t="str">
        <x:v>东软自有 OS 配置、Task→Runnable/资源/事件映射、WCET/stack/jitter 预算和 trace。</x:v>
      </x:c>
      <x:c r="G1604" s="144" t="str">
        <x:v>100% Task 激活源可追溯；周期/优先级实测一致；最坏负载无丢激活/栈溢出；stack 高水位留批准裕量。</x:v>
      </x:c>
      <x:c r="H1604" s="144" t="str">
        <x:v>coem/BYD_UKE/tools/RTA_CAR/gen/os/Configuration Summary.txt:386</x:v>
      </x:c>
    </x:row>
    <x:row r="1605" ht="72" customHeight="1">
      <x:c r="A1605" s="144" t="str">
        <x:v>OS-Task</x:v>
      </x:c>
      <x:c r="B1605" s="144" t="str">
        <x:v>OS-TASK-06 / OsTask_MmWaveCtrl</x:v>
      </x:c>
      <x:c r="C1605" s="144" t="str">
        <x:v>type=BCC2; priority=50; activations=10; stackBudget=UNDEFINED; location=CODE_OSTASK_MMWAVECTRL</x:v>
      </x:c>
      <x:c r="D1605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5" s="144" t="str">
        <x:v>M1/M2</x:v>
      </x:c>
      <x:c r="F1605" s="144" t="str">
        <x:v>东软自有 OS 配置、Task→Runnable/资源/事件映射、WCET/stack/jitter 预算和 trace。</x:v>
      </x:c>
      <x:c r="G1605" s="144" t="str">
        <x:v>100% Task 激活源可追溯；周期/优先级实测一致；最坏负载无丢激活/栈溢出；stack 高水位留批准裕量。</x:v>
      </x:c>
      <x:c r="H1605" s="144" t="str">
        <x:v>coem/BYD_UKE/tools/RTA_CAR/gen/os/Configuration Summary.txt:398</x:v>
      </x:c>
    </x:row>
    <x:row r="1606" ht="72" customHeight="1">
      <x:c r="A1606" s="144" t="str">
        <x:v>OS-Task</x:v>
      </x:c>
      <x:c r="B1606" s="144" t="str">
        <x:v>OS-TASK-07 / OsTask_DPM</x:v>
      </x:c>
      <x:c r="C1606" s="144" t="str">
        <x:v>type=BCC2; priority=55; activations=10; stackBudget=UNDEFINED; location=CODE_OSTASK_DPM</x:v>
      </x:c>
      <x:c r="D1606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6" s="144" t="str">
        <x:v>M1/M2</x:v>
      </x:c>
      <x:c r="F1606" s="144" t="str">
        <x:v>东软自有 OS 配置、Task→Runnable/资源/事件映射、WCET/stack/jitter 预算和 trace。</x:v>
      </x:c>
      <x:c r="G1606" s="144" t="str">
        <x:v>100% Task 激活源可追溯；周期/优先级实测一致；最坏负载无丢激活/栈溢出；stack 高水位留批准裕量。</x:v>
      </x:c>
      <x:c r="H1606" s="144" t="str">
        <x:v>coem/BYD_UKE/tools/RTA_CAR/gen/os/Configuration Summary.txt:410</x:v>
      </x:c>
    </x:row>
    <x:row r="1607" ht="72" customHeight="1">
      <x:c r="A1607" s="144" t="str">
        <x:v>OS-Task</x:v>
      </x:c>
      <x:c r="B1607" s="144" t="str">
        <x:v>OS-TASK-08 / OsTask_ECU_Startup</x:v>
      </x:c>
      <x:c r="C1607" s="144" t="str">
        <x:v>type=BCC2; priority=60; activations=10; stackBudget=UNDEFINED; location=CODE_OSTASK_ECU_STARTUP</x:v>
      </x:c>
      <x:c r="D1607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7" s="144" t="str">
        <x:v>M1/M2</x:v>
      </x:c>
      <x:c r="F1607" s="144" t="str">
        <x:v>东软自有 OS 配置、Task→Runnable/资源/事件映射、WCET/stack/jitter 预算和 trace。</x:v>
      </x:c>
      <x:c r="G1607" s="144" t="str">
        <x:v>100% Task 激活源可追溯；周期/优先级实测一致；最坏负载无丢激活/栈溢出；stack 高水位留批准裕量。</x:v>
      </x:c>
      <x:c r="H1607" s="144" t="str">
        <x:v>coem/BYD_UKE/tools/RTA_CAR/gen/os/Configuration Summary.txt:422</x:v>
      </x:c>
    </x:row>
    <x:row r="1608" ht="72" customHeight="1">
      <x:c r="A1608" s="144" t="str">
        <x:v>OS-Task</x:v>
      </x:c>
      <x:c r="B1608" s="144" t="str">
        <x:v>OS-TASK-09 / OsTask_TriggerWave</x:v>
      </x:c>
      <x:c r="C1608" s="144" t="str">
        <x:v>type=BCC2; priority=70; activations=10; stackBudget=UNDEFINED; location=CODE_OSTASK_TRIGGERWAVE</x:v>
      </x:c>
      <x:c r="D1608" s="144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8" s="144" t="str">
        <x:v>M1/M2</x:v>
      </x:c>
      <x:c r="F1608" s="144" t="str">
        <x:v>东软自有 OS 配置、Task→Runnable/资源/事件映射、WCET/stack/jitter 预算和 trace。</x:v>
      </x:c>
      <x:c r="G1608" s="144" t="str">
        <x:v>100% Task 激活源可追溯；周期/优先级实测一致；最坏负载无丢激活/栈溢出；stack 高水位留批准裕量。</x:v>
      </x:c>
      <x:c r="H1608" s="144" t="str">
        <x:v>coem/BYD_UKE/tools/RTA_CAR/gen/os/Configuration Summary.txt:434</x:v>
      </x:c>
    </x:row>
    <x:row r="1609" ht="72" customHeight="1">
      <x:c r="A1609" s="144" t="str">
        <x:v>OS-ISR</x:v>
      </x:c>
      <x:c r="B1609" s="144" t="str">
        <x:v>OS-ISR-01 / OsTrap_DataAbort</x:v>
      </x:c>
      <x:c r="C1609" s="144" t="str">
        <x:v>category=Cat1; priority=17; vector=CPU Data abort; stackBudget=512</x:v>
      </x:c>
      <x:c r="D1609" s="144" t="str">
        <x:v>输入：硬件中断；输出：清中断、驱动通知/Counter/Task 激活。边界：中断风暴、嵌套、丢中断、未清 pending、执行超时必须验证。</x:v>
      </x:c>
      <x:c r="E1609" s="144" t="str">
        <x:v>M1/M2</x:v>
      </x:c>
      <x:c r="F1609" s="144" t="str">
        <x:v>中断向量/类别/优先级/栈/Owner/触发频率矩阵与故障处理。</x:v>
      </x:c>
      <x:c r="G1609" s="144" t="str">
        <x:v>逐 ISR 注入、优先级/嵌套、最大频率、禁用恢复；无死锁、丢中断或栈越界。</x:v>
      </x:c>
      <x:c r="H1609" s="144" t="str">
        <x:v>coem/BYD_UKE/tools/RTA_CAR/gen/os/Configuration Summary.txt:146</x:v>
      </x:c>
    </x:row>
    <x:row r="1610" ht="72" customHeight="1">
      <x:c r="A1610" s="144" t="str">
        <x:v>OS-ISR</x:v>
      </x:c>
      <x:c r="B1610" s="144" t="str">
        <x:v>OS-ISR-02 / OsTrap_PrefetchAbort</x:v>
      </x:c>
      <x:c r="C1610" s="144" t="str">
        <x:v>category=Cat1; priority=17; vector=CPU Prefetch abort; stackBudget=512</x:v>
      </x:c>
      <x:c r="D1610" s="144" t="str">
        <x:v>输入：硬件中断；输出：清中断、驱动通知/Counter/Task 激活。边界：中断风暴、嵌套、丢中断、未清 pending、执行超时必须验证。</x:v>
      </x:c>
      <x:c r="E1610" s="144" t="str">
        <x:v>M1/M2</x:v>
      </x:c>
      <x:c r="F1610" s="144" t="str">
        <x:v>中断向量/类别/优先级/栈/Owner/触发频率矩阵与故障处理。</x:v>
      </x:c>
      <x:c r="G1610" s="144" t="str">
        <x:v>逐 ISR 注入、优先级/嵌套、最大频率、禁用恢复；无死锁、丢中断或栈越界。</x:v>
      </x:c>
      <x:c r="H1610" s="144" t="str">
        <x:v>coem/BYD_UKE/tools/RTA_CAR/gen/os/Configuration Summary.txt:153</x:v>
      </x:c>
    </x:row>
    <x:row r="1611" ht="72" customHeight="1">
      <x:c r="A1611" s="144" t="str">
        <x:v>OS-ISR</x:v>
      </x:c>
      <x:c r="B1611" s="144" t="str">
        <x:v>OS-ISR-03 / OsTrap_UndefInstruction</x:v>
      </x:c>
      <x:c r="C1611" s="144" t="str">
        <x:v>category=Cat1; priority=17; vector=CPU Undefined instruction; stackBudget=512</x:v>
      </x:c>
      <x:c r="D1611" s="144" t="str">
        <x:v>输入：硬件中断；输出：清中断、驱动通知/Counter/Task 激活。边界：中断风暴、嵌套、丢中断、未清 pending、执行超时必须验证。</x:v>
      </x:c>
      <x:c r="E1611" s="144" t="str">
        <x:v>M1/M2</x:v>
      </x:c>
      <x:c r="F1611" s="144" t="str">
        <x:v>中断向量/类别/优先级/栈/Owner/触发频率矩阵与故障处理。</x:v>
      </x:c>
      <x:c r="G1611" s="144" t="str">
        <x:v>逐 ISR 注入、优先级/嵌套、最大频率、禁用恢复；无死锁、丢中断或栈越界。</x:v>
      </x:c>
      <x:c r="H1611" s="144" t="str">
        <x:v>coem/BYD_UKE/tools/RTA_CAR/gen/os/Configuration Summary.txt:160</x:v>
      </x:c>
    </x:row>
    <x:row r="1612" ht="72" customHeight="1">
      <x:c r="A1612" s="144" t="str">
        <x:v>OS-ISR</x:v>
      </x:c>
      <x:c r="B1612" s="144" t="str">
        <x:v>OS-ISR-04 / Eth_MiscIrqHdlr_0</x:v>
      </x:c>
      <x:c r="C1612" s="144" t="str">
        <x:v>category=Cat2; priority=1; vector=CPU0 MSS_CPSW_MISC_INT; stackBudget=UNDEFINED</x:v>
      </x:c>
      <x:c r="D1612" s="144" t="str">
        <x:v>输入：硬件中断；输出：清中断、驱动通知/Counter/Task 激活。边界：中断风暴、嵌套、丢中断、未清 pending、执行超时必须验证。</x:v>
      </x:c>
      <x:c r="E1612" s="144" t="str">
        <x:v>M1/M2</x:v>
      </x:c>
      <x:c r="F1612" s="144" t="str">
        <x:v>中断向量/类别/优先级/栈/Owner/触发频率矩阵与故障处理。</x:v>
      </x:c>
      <x:c r="G1612" s="144" t="str">
        <x:v>逐 ISR 注入、优先级/嵌套、最大频率、禁用恢复；无死锁、丢中断或栈越界。</x:v>
      </x:c>
      <x:c r="H1612" s="144" t="str">
        <x:v>coem/BYD_UKE/tools/RTA_CAR/gen/os/Configuration Summary.txt:182</x:v>
      </x:c>
    </x:row>
    <x:row r="1613" ht="72" customHeight="1">
      <x:c r="A1613" s="144" t="str">
        <x:v>OS-ISR</x:v>
      </x:c>
      <x:c r="B1613" s="144" t="str">
        <x:v>OS-ISR-05 / Eth_RxIrqHdlr_0</x:v>
      </x:c>
      <x:c r="C1613" s="144" t="str">
        <x:v>category=Cat2; priority=1; vector=CPU0 MSS_CPSW_TH_INT; stackBudget=UNDEFINED</x:v>
      </x:c>
      <x:c r="D1613" s="144" t="str">
        <x:v>输入：硬件中断；输出：清中断、驱动通知/Counter/Task 激活。边界：中断风暴、嵌套、丢中断、未清 pending、执行超时必须验证。</x:v>
      </x:c>
      <x:c r="E1613" s="144" t="str">
        <x:v>M1/M2</x:v>
      </x:c>
      <x:c r="F1613" s="144" t="str">
        <x:v>中断向量/类别/优先级/栈/Owner/触发频率矩阵与故障处理。</x:v>
      </x:c>
      <x:c r="G1613" s="144" t="str">
        <x:v>逐 ISR 注入、优先级/嵌套、最大频率、禁用恢复；无死锁、丢中断或栈越界。</x:v>
      </x:c>
      <x:c r="H1613" s="144" t="str">
        <x:v>coem/BYD_UKE/tools/RTA_CAR/gen/os/Configuration Summary.txt:191</x:v>
      </x:c>
    </x:row>
    <x:row r="1614" ht="72" customHeight="1">
      <x:c r="A1614" s="144" t="str">
        <x:v>OS-ISR</x:v>
      </x:c>
      <x:c r="B1614" s="144" t="str">
        <x:v>OS-ISR-06 / Eth_RxThreshIrqHdlr_0</x:v>
      </x:c>
      <x:c r="C1614" s="144" t="str">
        <x:v>category=Cat2; priority=1; vector=CPU0 MSS_CPSW_TH_TRSH_INT; stackBudget=UNDEFINED</x:v>
      </x:c>
      <x:c r="D1614" s="144" t="str">
        <x:v>输入：硬件中断；输出：清中断、驱动通知/Counter/Task 激活。边界：中断风暴、嵌套、丢中断、未清 pending、执行超时必须验证。</x:v>
      </x:c>
      <x:c r="E1614" s="144" t="str">
        <x:v>M1/M2</x:v>
      </x:c>
      <x:c r="F1614" s="144" t="str">
        <x:v>中断向量/类别/优先级/栈/Owner/触发频率矩阵与故障处理。</x:v>
      </x:c>
      <x:c r="G1614" s="144" t="str">
        <x:v>逐 ISR 注入、优先级/嵌套、最大频率、禁用恢复；无死锁、丢中断或栈越界。</x:v>
      </x:c>
      <x:c r="H1614" s="144" t="str">
        <x:v>coem/BYD_UKE/tools/RTA_CAR/gen/os/Configuration Summary.txt:200</x:v>
      </x:c>
    </x:row>
    <x:row r="1615" ht="72" customHeight="1">
      <x:c r="A1615" s="144" t="str">
        <x:v>OS-ISR</x:v>
      </x:c>
      <x:c r="B1615" s="144" t="str">
        <x:v>OS-ISR-07 / Eth_TxIrqHdlr_0</x:v>
      </x:c>
      <x:c r="C1615" s="144" t="str">
        <x:v>category=Cat2; priority=1; vector=CPU0 MSS_CPSW_FH_INT; stackBudget=UNDEFINED</x:v>
      </x:c>
      <x:c r="D1615" s="144" t="str">
        <x:v>输入：硬件中断；输出：清中断、驱动通知/Counter/Task 激活。边界：中断风暴、嵌套、丢中断、未清 pending、执行超时必须验证。</x:v>
      </x:c>
      <x:c r="E1615" s="144" t="str">
        <x:v>M1/M2</x:v>
      </x:c>
      <x:c r="F1615" s="144" t="str">
        <x:v>中断向量/类别/优先级/栈/Owner/触发频率矩阵与故障处理。</x:v>
      </x:c>
      <x:c r="G1615" s="144" t="str">
        <x:v>逐 ISR 注入、优先级/嵌套、最大频率、禁用恢复；无死锁、丢中断或栈越界。</x:v>
      </x:c>
      <x:c r="H1615" s="144" t="str">
        <x:v>coem/BYD_UKE/tools/RTA_CAR/gen/os/Configuration Summary.txt:209</x:v>
      </x:c>
    </x:row>
    <x:row r="1616" ht="72" customHeight="1">
      <x:c r="A1616" s="144" t="str">
        <x:v>OS-ISR</x:v>
      </x:c>
      <x:c r="B1616" s="144" t="str">
        <x:v>OS-ISR-08 / Spi_IrqUnit0TxRx</x:v>
      </x:c>
      <x:c r="C1616" s="144" t="str">
        <x:v>category=Cat2; priority=1; vector=CPU0 MSS_SPIA_INT0; stackBudget=UNDEFINED</x:v>
      </x:c>
      <x:c r="D1616" s="144" t="str">
        <x:v>输入：硬件中断；输出：清中断、驱动通知/Counter/Task 激活。边界：中断风暴、嵌套、丢中断、未清 pending、执行超时必须验证。</x:v>
      </x:c>
      <x:c r="E1616" s="144" t="str">
        <x:v>M1/M2</x:v>
      </x:c>
      <x:c r="F1616" s="144" t="str">
        <x:v>中断向量/类别/优先级/栈/Owner/触发频率矩阵与故障处理。</x:v>
      </x:c>
      <x:c r="G1616" s="144" t="str">
        <x:v>逐 ISR 注入、优先级/嵌套、最大频率、禁用恢复；无死锁、丢中断或栈越界。</x:v>
      </x:c>
      <x:c r="H1616" s="144" t="str">
        <x:v>coem/BYD_UKE/tools/RTA_CAR/gen/os/Configuration Summary.txt:218</x:v>
      </x:c>
    </x:row>
    <x:row r="1617" ht="72" customHeight="1">
      <x:c r="A1617" s="144" t="str">
        <x:v>OS-ISR</x:v>
      </x:c>
      <x:c r="B1617" s="144" t="str">
        <x:v>OS-ISR-09 / Gpt_Ch1Isr</x:v>
      </x:c>
      <x:c r="C1617" s="144" t="str">
        <x:v>category=Cat2; priority=2; vector=CPU0 MSS_RTIA_INT1; stackBudget=UNDEFINED</x:v>
      </x:c>
      <x:c r="D1617" s="144" t="str">
        <x:v>输入：硬件中断；输出：清中断、驱动通知/Counter/Task 激活。边界：中断风暴、嵌套、丢中断、未清 pending、执行超时必须验证。</x:v>
      </x:c>
      <x:c r="E1617" s="144" t="str">
        <x:v>M1/M2</x:v>
      </x:c>
      <x:c r="F1617" s="144" t="str">
        <x:v>中断向量/类别/优先级/栈/Owner/触发频率矩阵与故障处理。</x:v>
      </x:c>
      <x:c r="G1617" s="144" t="str">
        <x:v>逐 ISR 注入、优先级/嵌套、最大频率、禁用恢复；无死锁、丢中断或栈越界。</x:v>
      </x:c>
      <x:c r="H1617" s="144" t="str">
        <x:v>coem/BYD_UKE/tools/RTA_CAR/gen/os/Configuration Summary.txt:227</x:v>
      </x:c>
    </x:row>
    <x:row r="1618" ht="72" customHeight="1">
      <x:c r="A1618" s="144" t="str">
        <x:v>OS-ISR</x:v>
      </x:c>
      <x:c r="B1618" s="144" t="str">
        <x:v>OS-ISR-10 / Can_0_Int0ISR</x:v>
      </x:c>
      <x:c r="C1618" s="144" t="str">
        <x:v>category=Cat2; priority=5; vector=CPU0 MSS_MCANA_INT0; stackBudget=UNDEFINED</x:v>
      </x:c>
      <x:c r="D1618" s="144" t="str">
        <x:v>输入：硬件中断；输出：清中断、驱动通知/Counter/Task 激活。边界：中断风暴、嵌套、丢中断、未清 pending、执行超时必须验证。</x:v>
      </x:c>
      <x:c r="E1618" s="144" t="str">
        <x:v>M1/M2</x:v>
      </x:c>
      <x:c r="F1618" s="144" t="str">
        <x:v>中断向量/类别/优先级/栈/Owner/触发频率矩阵与故障处理。</x:v>
      </x:c>
      <x:c r="G1618" s="144" t="str">
        <x:v>逐 ISR 注入、优先级/嵌套、最大频率、禁用恢复；无死锁、丢中断或栈越界。</x:v>
      </x:c>
      <x:c r="H1618" s="144" t="str">
        <x:v>coem/BYD_UKE/tools/RTA_CAR/gen/os/Configuration Summary.txt:236</x:v>
      </x:c>
    </x:row>
    <x:row r="1619" ht="72" customHeight="1">
      <x:c r="A1619" s="144" t="str">
        <x:v>OS-ISR</x:v>
      </x:c>
      <x:c r="B1619" s="144" t="str">
        <x:v>OS-ISR-11 / Can_1_Int0ISR</x:v>
      </x:c>
      <x:c r="C1619" s="144" t="str">
        <x:v>category=Cat2; priority=5; vector=CPU0 MSS_MCANB_INT0; stackBudget=UNDEFINED</x:v>
      </x:c>
      <x:c r="D1619" s="144" t="str">
        <x:v>输入：硬件中断；输出：清中断、驱动通知/Counter/Task 激活。边界：中断风暴、嵌套、丢中断、未清 pending、执行超时必须验证。</x:v>
      </x:c>
      <x:c r="E1619" s="144" t="str">
        <x:v>M1/M2</x:v>
      </x:c>
      <x:c r="F1619" s="144" t="str">
        <x:v>中断向量/类别/优先级/栈/Owner/触发频率矩阵与故障处理。</x:v>
      </x:c>
      <x:c r="G1619" s="144" t="str">
        <x:v>逐 ISR 注入、优先级/嵌套、最大频率、禁用恢复；无死锁、丢中断或栈越界。</x:v>
      </x:c>
      <x:c r="H1619" s="144" t="str">
        <x:v>coem/BYD_UKE/tools/RTA_CAR/gen/os/Configuration Summary.txt:245</x:v>
      </x:c>
    </x:row>
    <x:row r="1620" ht="72" customHeight="1">
      <x:c r="A1620" s="144" t="str">
        <x:v>OS-ISR</x:v>
      </x:c>
      <x:c r="B1620" s="144" t="str">
        <x:v>OS-ISR-12 / Cdd_MailBox2FullIsr</x:v>
      </x:c>
      <x:c r="C1620" s="144" t="str">
        <x:v>category=Cat2; priority=15; vector=CPU0 MSS_CR5A_MBOX_READ_REQ; stackBudget=UNDEFINED</x:v>
      </x:c>
      <x:c r="D1620" s="144" t="str">
        <x:v>输入：硬件中断；输出：清中断、驱动通知/Counter/Task 激活。边界：中断风暴、嵌套、丢中断、未清 pending、执行超时必须验证。</x:v>
      </x:c>
      <x:c r="E1620" s="144" t="str">
        <x:v>M1/M2</x:v>
      </x:c>
      <x:c r="F1620" s="144" t="str">
        <x:v>中断向量/类别/优先级/栈/Owner/触发频率矩阵与故障处理。</x:v>
      </x:c>
      <x:c r="G1620" s="144" t="str">
        <x:v>逐 ISR 注入、优先级/嵌套、最大频率、禁用恢复；无死锁、丢中断或栈越界。</x:v>
      </x:c>
      <x:c r="H1620" s="144" t="str">
        <x:v>coem/BYD_UKE/tools/RTA_CAR/gen/os/Configuration Summary.txt:254</x:v>
      </x:c>
    </x:row>
    <x:row r="1621" ht="72" customHeight="1">
      <x:c r="A1621" s="144" t="str">
        <x:v>OS-ISR</x:v>
      </x:c>
      <x:c r="B1621" s="144" t="str">
        <x:v>OS-ISR-13 / DSS_TPCC_B_func</x:v>
      </x:c>
      <x:c r="C1621" s="144" t="str">
        <x:v>category=Cat2; priority=15; vector=CPU0 DSS_TPCC_B_INTAGG; stackBudget=UNDEFINED</x:v>
      </x:c>
      <x:c r="D1621" s="144" t="str">
        <x:v>输入：硬件中断；输出：清中断、驱动通知/Counter/Task 激活。边界：中断风暴、嵌套、丢中断、未清 pending、执行超时必须验证。</x:v>
      </x:c>
      <x:c r="E1621" s="144" t="str">
        <x:v>M1/M2</x:v>
      </x:c>
      <x:c r="F1621" s="144" t="str">
        <x:v>中断向量/类别/优先级/栈/Owner/触发频率矩阵与故障处理。</x:v>
      </x:c>
      <x:c r="G1621" s="144" t="str">
        <x:v>逐 ISR 注入、优先级/嵌套、最大频率、禁用恢复；无死锁、丢中断或栈越界。</x:v>
      </x:c>
      <x:c r="H1621" s="144" t="str">
        <x:v>coem/BYD_UKE/tools/RTA_CAR/gen/os/Configuration Summary.txt:263</x:v>
      </x:c>
    </x:row>
    <x:row r="1622" ht="72" customHeight="1">
      <x:c r="A1622" s="144" t="str">
        <x:v>OS-ISR</x:v>
      </x:c>
      <x:c r="B1622" s="144" t="str">
        <x:v>OS-ISR-14 / MSS_TPCC_A_func</x:v>
      </x:c>
      <x:c r="C1622" s="144" t="str">
        <x:v>category=Cat2; priority=15; vector=CPU0 MSS_TPCC_A_INTAGG; stackBudget=UNDEFINED</x:v>
      </x:c>
      <x:c r="D1622" s="144" t="str">
        <x:v>输入：硬件中断；输出：清中断、驱动通知/Counter/Task 激活。边界：中断风暴、嵌套、丢中断、未清 pending、执行超时必须验证。</x:v>
      </x:c>
      <x:c r="E1622" s="144" t="str">
        <x:v>M1/M2</x:v>
      </x:c>
      <x:c r="F1622" s="144" t="str">
        <x:v>中断向量/类别/优先级/栈/Owner/触发频率矩阵与故障处理。</x:v>
      </x:c>
      <x:c r="G1622" s="144" t="str">
        <x:v>逐 ISR 注入、优先级/嵌套、最大频率、禁用恢复；无死锁、丢中断或栈越界。</x:v>
      </x:c>
      <x:c r="H1622" s="144" t="str">
        <x:v>coem/BYD_UKE/tools/RTA_CAR/gen/os/Configuration Summary.txt:272</x:v>
      </x:c>
    </x:row>
    <x:row r="1623" ht="72" customHeight="1">
      <x:c r="A1623" s="144" t="str">
        <x:v>OS-ISR</x:v>
      </x:c>
      <x:c r="B1623" s="144" t="str">
        <x:v>OS-ISR-15 / OsIsr_CR5A_FPU</x:v>
      </x:c>
      <x:c r="C1623" s="144" t="str">
        <x:v>category=Cat2; priority=15; vector=CPU0 MSS_CR5A_FPU_INT; stackBudget=UNDEFINED</x:v>
      </x:c>
      <x:c r="D1623" s="144" t="str">
        <x:v>输入：硬件中断；输出：清中断、驱动通知/Counter/Task 激活。边界：中断风暴、嵌套、丢中断、未清 pending、执行超时必须验证。</x:v>
      </x:c>
      <x:c r="E1623" s="144" t="str">
        <x:v>M1/M2</x:v>
      </x:c>
      <x:c r="F1623" s="144" t="str">
        <x:v>中断向量/类别/优先级/栈/Owner/触发频率矩阵与故障处理。</x:v>
      </x:c>
      <x:c r="G1623" s="144" t="str">
        <x:v>逐 ISR 注入、优先级/嵌套、最大频率、禁用恢复；无死锁、丢中断或栈越界。</x:v>
      </x:c>
      <x:c r="H1623" s="144" t="str">
        <x:v>coem/BYD_UKE/tools/RTA_CAR/gen/os/Configuration Summary.txt:281</x:v>
      </x:c>
    </x:row>
    <x:row r="1624" ht="72" customHeight="1">
      <x:c r="A1624" s="144" t="str">
        <x:v>OS-ISR</x:v>
      </x:c>
      <x:c r="B1624" s="144" t="str">
        <x:v>OS-ISR-16 / RSS_TPCC_A_func</x:v>
      </x:c>
      <x:c r="C1624" s="144" t="str">
        <x:v>category=Cat2; priority=15; vector=CPU0 RCSS_TPCC_A_INTAGG; stackBudget=UNDEFINED</x:v>
      </x:c>
      <x:c r="D1624" s="144" t="str">
        <x:v>输入：硬件中断；输出：清中断、驱动通知/Counter/Task 激活。边界：中断风暴、嵌套、丢中断、未清 pending、执行超时必须验证。</x:v>
      </x:c>
      <x:c r="E1624" s="144" t="str">
        <x:v>M1/M2</x:v>
      </x:c>
      <x:c r="F1624" s="144" t="str">
        <x:v>中断向量/类别/优先级/栈/Owner/触发频率矩阵与故障处理。</x:v>
      </x:c>
      <x:c r="G1624" s="144" t="str">
        <x:v>逐 ISR 注入、优先级/嵌套、最大频率、禁用恢复；无死锁、丢中断或栈越界。</x:v>
      </x:c>
      <x:c r="H1624" s="144" t="str">
        <x:v>coem/BYD_UKE/tools/RTA_CAR/gen/os/Configuration Summary.txt:290</x:v>
      </x:c>
    </x:row>
    <x:row r="1625" ht="72" customHeight="1">
      <x:c r="A1625" s="144" t="str">
        <x:v>OS-ISR</x:v>
      </x:c>
      <x:c r="B1625" s="144" t="str">
        <x:v>OS-ISR-17 / Gpt_Ch0Isr</x:v>
      </x:c>
      <x:c r="C1625" s="144" t="str">
        <x:v>category=Cat2; priority=16; vector=CPU0 MSS_RTIA_INT0; stackBudget=UNDEFINED</x:v>
      </x:c>
      <x:c r="D1625" s="144" t="str">
        <x:v>输入：硬件中断；输出：清中断、驱动通知/Counter/Task 激活。边界：中断风暴、嵌套、丢中断、未清 pending、执行超时必须验证。</x:v>
      </x:c>
      <x:c r="E1625" s="144" t="str">
        <x:v>M1/M2</x:v>
      </x:c>
      <x:c r="F1625" s="144" t="str">
        <x:v>中断向量/类别/优先级/栈/Owner/触发频率矩阵与故障处理。</x:v>
      </x:c>
      <x:c r="G1625" s="144" t="str">
        <x:v>逐 ISR 注入、优先级/嵌套、最大频率、禁用恢复；无死锁、丢中断或栈越界。</x:v>
      </x:c>
      <x:c r="H1625" s="144" t="str">
        <x:v>coem/BYD_UKE/tools/RTA_CAR/gen/os/Configuration Summary.txt:299</x:v>
      </x:c>
    </x:row>
    <x:row r="1626" ht="72" customHeight="1">
      <x:c r="A1626" s="144" t="str">
        <x:v>OS-ScheduleTable</x:v>
      </x:c>
      <x:c r="B1626" s="144" t="str">
        <x:v>OS-ST-00 / rte_Stimulus_1</x:v>
      </x:c>
      <x:c r="C1626" s="144" t="str">
        <x:v>table=Rte_ScheduleTable; offset=0 tick; base=1 ms; duration=10 tick; action=Activate OsTask_ASW_100ms. Activate OsTask_ASW_10ms. Activate OsTask_ASW_20ms. Activate OsTask_BSW_10ms</x:v>
      </x:c>
      <x:c r="D1626" s="144" t="str">
        <x:v>1 ms OS Counter 为基础时基；10 tick 调度表构成 10 ms 循环。输入为 Counter tick，输出为对应 Task 激活；边界为 tick 抖动、丢 tick、启动偏移和积压。</x:v>
      </x:c>
      <x:c r="E1626" s="144" t="str">
        <x:v>M1/M2</x:v>
      </x:c>
      <x:c r="F1626" s="144" t="str">
        <x:v>东软自有 Counter/Alarm/ScheduleTable 配置与 10 ms 周期 Task 相位矩阵。</x:v>
      </x:c>
      <x:c r="G1626" s="144" t="str">
        <x:v>连续 trace 统计周期、相位、jitter 和激活数；1 ms 基础 tick、10 ms 表周期及每 offset 动作逐项一致。</x:v>
      </x:c>
      <x:c r="H1626" s="144" t="str">
        <x:v>coem/BYD_UKE/tools/RTA_CAR/gen/os/Configuration Summary.txt:552</x:v>
      </x:c>
    </x:row>
    <x:row r="1627" ht="72" customHeight="1">
      <x:c r="A1627" s="144" t="str">
        <x:v>OS-ScheduleTable</x:v>
      </x:c>
      <x:c r="B1627" s="144" t="str">
        <x:v>OS-ST-01 / rte_Stimulus_2</x:v>
      </x:c>
      <x:c r="C1627" s="144" t="str">
        <x:v>table=Rte_ScheduleTable; offset=1 tick; base=1 ms; duration=10 tick; action=Activate OsTask_ASW_10ms. Activate OsTask_BSW_10ms</x:v>
      </x:c>
      <x:c r="D1627" s="144" t="str">
        <x:v>1 ms OS Counter 为基础时基；10 tick 调度表构成 10 ms 循环。输入为 Counter tick，输出为对应 Task 激活；边界为 tick 抖动、丢 tick、启动偏移和积压。</x:v>
      </x:c>
      <x:c r="E1627" s="144" t="str">
        <x:v>M1/M2</x:v>
      </x:c>
      <x:c r="F1627" s="144" t="str">
        <x:v>东软自有 Counter/Alarm/ScheduleTable 配置与 10 ms 周期 Task 相位矩阵。</x:v>
      </x:c>
      <x:c r="G1627" s="144" t="str">
        <x:v>连续 trace 统计周期、相位、jitter 和激活数；1 ms 基础 tick、10 ms 表周期及每 offset 动作逐项一致。</x:v>
      </x:c>
      <x:c r="H1627" s="144" t="str">
        <x:v>coem/BYD_UKE/tools/RTA_CAR/gen/os/Configuration Summary.txt:557</x:v>
      </x:c>
    </x:row>
    <x:row r="1628" ht="72" customHeight="1">
      <x:c r="A1628" s="144" t="str">
        <x:v>OS-ScheduleTable</x:v>
      </x:c>
      <x:c r="B1628" s="144" t="str">
        <x:v>OS-ST-02 / rte_Stimulus_3</x:v>
      </x:c>
      <x:c r="C1628" s="144" t="str">
        <x:v>table=Rte_ScheduleTable; offset=2 tick; base=1 ms; duration=10 tick; action=Activate OsTask_ASW_10ms. Activate OsTask_ASW_20ms. Activate OsTask_BSW_10ms</x:v>
      </x:c>
      <x:c r="D1628" s="144" t="str">
        <x:v>1 ms OS Counter 为基础时基；10 tick 调度表构成 10 ms 循环。输入为 Counter tick，输出为对应 Task 激活；边界为 tick 抖动、丢 tick、启动偏移和积压。</x:v>
      </x:c>
      <x:c r="E1628" s="144" t="str">
        <x:v>M1/M2</x:v>
      </x:c>
      <x:c r="F1628" s="144" t="str">
        <x:v>东软自有 Counter/Alarm/ScheduleTable 配置与 10 ms 周期 Task 相位矩阵。</x:v>
      </x:c>
      <x:c r="G1628" s="144" t="str">
        <x:v>连续 trace 统计周期、相位、jitter 和激活数；1 ms 基础 tick、10 ms 表周期及每 offset 动作逐项一致。</x:v>
      </x:c>
      <x:c r="H1628" s="144" t="str">
        <x:v>coem/BYD_UKE/tools/RTA_CAR/gen/os/Configuration Summary.txt:562</x:v>
      </x:c>
    </x:row>
    <x:row r="1629" ht="72" customHeight="1">
      <x:c r="A1629" s="144" t="str">
        <x:v>OS-ScheduleTable</x:v>
      </x:c>
      <x:c r="B1629" s="144" t="str">
        <x:v>OS-ST-03 / rte_Stimulus_4</x:v>
      </x:c>
      <x:c r="C1629" s="144" t="str">
        <x:v>table=Rte_ScheduleTable; offset=3 tick; base=1 ms; duration=10 tick; action=Activate OsTask_ASW_10ms. Activate OsTask_BSW_10ms</x:v>
      </x:c>
      <x:c r="D1629" s="144" t="str">
        <x:v>1 ms OS Counter 为基础时基；10 tick 调度表构成 10 ms 循环。输入为 Counter tick，输出为对应 Task 激活；边界为 tick 抖动、丢 tick、启动偏移和积压。</x:v>
      </x:c>
      <x:c r="E1629" s="144" t="str">
        <x:v>M1/M2</x:v>
      </x:c>
      <x:c r="F1629" s="144" t="str">
        <x:v>东软自有 Counter/Alarm/ScheduleTable 配置与 10 ms 周期 Task 相位矩阵。</x:v>
      </x:c>
      <x:c r="G1629" s="144" t="str">
        <x:v>连续 trace 统计周期、相位、jitter 和激活数；1 ms 基础 tick、10 ms 表周期及每 offset 动作逐项一致。</x:v>
      </x:c>
      <x:c r="H1629" s="144" t="str">
        <x:v>coem/BYD_UKE/tools/RTA_CAR/gen/os/Configuration Summary.txt:567</x:v>
      </x:c>
    </x:row>
    <x:row r="1630" ht="72" customHeight="1">
      <x:c r="A1630" s="144" t="str">
        <x:v>OS-ScheduleTable</x:v>
      </x:c>
      <x:c r="B1630" s="144" t="str">
        <x:v>OS-ST-04 / rte_Stimulus_5</x:v>
      </x:c>
      <x:c r="C1630" s="144" t="str">
        <x:v>table=Rte_ScheduleTable; offset=4 tick; base=1 ms; duration=10 tick; action=Activate OsTask_ASW_10ms. Activate OsTask_ASW_20ms. Activate OsTask_BSW_10ms</x:v>
      </x:c>
      <x:c r="D1630" s="144" t="str">
        <x:v>1 ms OS Counter 为基础时基；10 tick 调度表构成 10 ms 循环。输入为 Counter tick，输出为对应 Task 激活；边界为 tick 抖动、丢 tick、启动偏移和积压。</x:v>
      </x:c>
      <x:c r="E1630" s="144" t="str">
        <x:v>M1/M2</x:v>
      </x:c>
      <x:c r="F1630" s="144" t="str">
        <x:v>东软自有 Counter/Alarm/ScheduleTable 配置与 10 ms 周期 Task 相位矩阵。</x:v>
      </x:c>
      <x:c r="G1630" s="144" t="str">
        <x:v>连续 trace 统计周期、相位、jitter 和激活数；1 ms 基础 tick、10 ms 表周期及每 offset 动作逐项一致。</x:v>
      </x:c>
      <x:c r="H1630" s="144" t="str">
        <x:v>coem/BYD_UKE/tools/RTA_CAR/gen/os/Configuration Summary.txt:572</x:v>
      </x:c>
    </x:row>
    <x:row r="1631" ht="72" customHeight="1">
      <x:c r="A1631" s="144" t="str">
        <x:v>OS-ScheduleTable</x:v>
      </x:c>
      <x:c r="B1631" s="144" t="str">
        <x:v>OS-ST-05 / rte_Stimulus_6</x:v>
      </x:c>
      <x:c r="C1631" s="144" t="str">
        <x:v>table=Rte_ScheduleTable; offset=5 tick; base=1 ms; duration=10 tick; action=Activate OsTask_ASW_10ms. Activate OsTask_BSW_10ms</x:v>
      </x:c>
      <x:c r="D1631" s="144" t="str">
        <x:v>1 ms OS Counter 为基础时基；10 tick 调度表构成 10 ms 循环。输入为 Counter tick，输出为对应 Task 激活；边界为 tick 抖动、丢 tick、启动偏移和积压。</x:v>
      </x:c>
      <x:c r="E1631" s="144" t="str">
        <x:v>M1/M2</x:v>
      </x:c>
      <x:c r="F1631" s="144" t="str">
        <x:v>东软自有 Counter/Alarm/ScheduleTable 配置与 10 ms 周期 Task 相位矩阵。</x:v>
      </x:c>
      <x:c r="G1631" s="144" t="str">
        <x:v>连续 trace 统计周期、相位、jitter 和激活数；1 ms 基础 tick、10 ms 表周期及每 offset 动作逐项一致。</x:v>
      </x:c>
      <x:c r="H1631" s="144" t="str">
        <x:v>coem/BYD_UKE/tools/RTA_CAR/gen/os/Configuration Summary.txt:577</x:v>
      </x:c>
    </x:row>
    <x:row r="1632" ht="72" customHeight="1">
      <x:c r="A1632" s="144" t="str">
        <x:v>OS-ScheduleTable</x:v>
      </x:c>
      <x:c r="B1632" s="144" t="str">
        <x:v>OS-ST-06 / rte_Stimulus_7</x:v>
      </x:c>
      <x:c r="C1632" s="144" t="str">
        <x:v>table=Rte_ScheduleTable; offset=6 tick; base=1 ms; duration=10 tick; action=Activate OsTask_ASW_10ms. Activate OsTask_ASW_20ms. Activate OsTask_BSW_10ms</x:v>
      </x:c>
      <x:c r="D1632" s="144" t="str">
        <x:v>1 ms OS Counter 为基础时基；10 tick 调度表构成 10 ms 循环。输入为 Counter tick，输出为对应 Task 激活；边界为 tick 抖动、丢 tick、启动偏移和积压。</x:v>
      </x:c>
      <x:c r="E1632" s="144" t="str">
        <x:v>M1/M2</x:v>
      </x:c>
      <x:c r="F1632" s="144" t="str">
        <x:v>东软自有 Counter/Alarm/ScheduleTable 配置与 10 ms 周期 Task 相位矩阵。</x:v>
      </x:c>
      <x:c r="G1632" s="144" t="str">
        <x:v>连续 trace 统计周期、相位、jitter 和激活数；1 ms 基础 tick、10 ms 表周期及每 offset 动作逐项一致。</x:v>
      </x:c>
      <x:c r="H1632" s="144" t="str">
        <x:v>coem/BYD_UKE/tools/RTA_CAR/gen/os/Configuration Summary.txt:582</x:v>
      </x:c>
    </x:row>
    <x:row r="1633" ht="72" customHeight="1">
      <x:c r="A1633" s="144" t="str">
        <x:v>OS-ScheduleTable</x:v>
      </x:c>
      <x:c r="B1633" s="144" t="str">
        <x:v>OS-ST-07 / rte_Stimulus_8</x:v>
      </x:c>
      <x:c r="C1633" s="144" t="str">
        <x:v>table=Rte_ScheduleTable; offset=7 tick; base=1 ms; duration=10 tick; action=Activate OsTask_ASW_10ms. Activate OsTask_BSW_10ms</x:v>
      </x:c>
      <x:c r="D1633" s="144" t="str">
        <x:v>1 ms OS Counter 为基础时基；10 tick 调度表构成 10 ms 循环。输入为 Counter tick，输出为对应 Task 激活；边界为 tick 抖动、丢 tick、启动偏移和积压。</x:v>
      </x:c>
      <x:c r="E1633" s="144" t="str">
        <x:v>M1/M2</x:v>
      </x:c>
      <x:c r="F1633" s="144" t="str">
        <x:v>东软自有 Counter/Alarm/ScheduleTable 配置与 10 ms 周期 Task 相位矩阵。</x:v>
      </x:c>
      <x:c r="G1633" s="144" t="str">
        <x:v>连续 trace 统计周期、相位、jitter 和激活数；1 ms 基础 tick、10 ms 表周期及每 offset 动作逐项一致。</x:v>
      </x:c>
      <x:c r="H1633" s="144" t="str">
        <x:v>coem/BYD_UKE/tools/RTA_CAR/gen/os/Configuration Summary.txt:587</x:v>
      </x:c>
    </x:row>
    <x:row r="1634" ht="72" customHeight="1">
      <x:c r="A1634" s="144" t="str">
        <x:v>OS-ScheduleTable</x:v>
      </x:c>
      <x:c r="B1634" s="144" t="str">
        <x:v>OS-ST-08 / rte_Stimulus_9</x:v>
      </x:c>
      <x:c r="C1634" s="144" t="str">
        <x:v>table=Rte_ScheduleTable; offset=8 tick; base=1 ms; duration=10 tick; action=Activate OsTask_ASW_10ms. Activate OsTask_ASW_20ms. Activate OsTask_BSW_10ms</x:v>
      </x:c>
      <x:c r="D1634" s="144" t="str">
        <x:v>1 ms OS Counter 为基础时基；10 tick 调度表构成 10 ms 循环。输入为 Counter tick，输出为对应 Task 激活；边界为 tick 抖动、丢 tick、启动偏移和积压。</x:v>
      </x:c>
      <x:c r="E1634" s="144" t="str">
        <x:v>M1/M2</x:v>
      </x:c>
      <x:c r="F1634" s="144" t="str">
        <x:v>东软自有 Counter/Alarm/ScheduleTable 配置与 10 ms 周期 Task 相位矩阵。</x:v>
      </x:c>
      <x:c r="G1634" s="144" t="str">
        <x:v>连续 trace 统计周期、相位、jitter 和激活数；1 ms 基础 tick、10 ms 表周期及每 offset 动作逐项一致。</x:v>
      </x:c>
      <x:c r="H1634" s="144" t="str">
        <x:v>coem/BYD_UKE/tools/RTA_CAR/gen/os/Configuration Summary.txt:592</x:v>
      </x:c>
    </x:row>
    <x:row r="1635" ht="72" customHeight="1">
      <x:c r="A1635" s="144" t="str">
        <x:v>OS-ScheduleTable</x:v>
      </x:c>
      <x:c r="B1635" s="144" t="str">
        <x:v>OS-ST-09 / rte_Stimulus_10</x:v>
      </x:c>
      <x:c r="C1635" s="144" t="str">
        <x:v>table=Rte_ScheduleTable; offset=9 tick; base=1 ms; duration=10 tick; action=Activate OsTask_ASW_10ms. Activate OsTask_BSW_10ms</x:v>
      </x:c>
      <x:c r="D1635" s="144" t="str">
        <x:v>1 ms OS Counter 为基础时基；10 tick 调度表构成 10 ms 循环。输入为 Counter tick，输出为对应 Task 激活；边界为 tick 抖动、丢 tick、启动偏移和积压。</x:v>
      </x:c>
      <x:c r="E1635" s="144" t="str">
        <x:v>M1/M2</x:v>
      </x:c>
      <x:c r="F1635" s="144" t="str">
        <x:v>东软自有 Counter/Alarm/ScheduleTable 配置与 10 ms 周期 Task 相位矩阵。</x:v>
      </x:c>
      <x:c r="G1635" s="144" t="str">
        <x:v>连续 trace 统计周期、相位、jitter 和激活数；1 ms 基础 tick、10 ms 表周期及每 offset 动作逐项一致。</x:v>
      </x:c>
      <x:c r="H1635" s="144" t="str">
        <x:v>coem/BYD_UKE/tools/RTA_CAR/gen/os/Configuration Summary.txt:597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e4ecc19a9a14e5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48" hidden="0" customWidth="1"/>
    <x:col min="5" max="5" width="42" hidden="0" customWidth="1"/>
    <x:col min="6" max="6" width="36" hidden="0" customWidth="1"/>
    <x:col min="7" max="7" width="20" hidden="0" customWidth="1"/>
    <x:col min="8" max="8" width="46" hidden="0" customWidth="1"/>
    <x:col min="9" max="9" width="42" hidden="0" customWidth="1"/>
    <x:col min="10" max="10" width="14" hidden="0" customWidth="1"/>
  </x:cols>
  <x:sheetData>
    <x:row r="1" ht="30" customHeight="1">
      <x:c r="A1" s="133" t="str">
        <x:v>必须关闭的待确认问题与风险</x:v>
      </x:c>
      <x:c r="B1" s="133" t="str">
        <x:v>必须关闭的待确认问题与风险</x:v>
      </x:c>
      <x:c r="C1" s="133" t="str">
        <x:v>必须关闭的待确认问题与风险</x:v>
      </x:c>
      <x:c r="D1" s="133" t="str">
        <x:v>必须关闭的待确认问题与风险</x:v>
      </x:c>
      <x:c r="E1" s="133" t="str">
        <x:v>必须关闭的待确认问题与风险</x:v>
      </x:c>
      <x:c r="F1" s="133" t="str">
        <x:v>必须关闭的待确认问题与风险</x:v>
      </x:c>
      <x:c r="G1" s="133" t="str">
        <x:v>必须关闭的待确认问题与风险</x:v>
      </x:c>
      <x:c r="H1" s="133" t="str">
        <x:v>必须关闭的待确认问题与风险</x:v>
      </x:c>
      <x:c r="I1" s="133" t="str">
        <x:v>必须关闭的待确认问题与风险</x:v>
      </x:c>
      <x:c r="J1" s="133" t="str">
        <x:v>必须关闭的待确认问题与风险</x:v>
      </x:c>
    </x:row>
    <x:row r="2" ht="36" customHeight="1">
      <x:c r="A2" s="136" t="str">
        <x:v>P0问题是Gate阻塞项；未经书面关闭，不应将相关功能视为需求已冻结或里程碑已完成。</x:v>
      </x:c>
      <x:c r="B2" s="136" t="str">
        <x:v>P0问题是Gate阻塞项；未经书面关闭，不应将相关功能视为需求已冻结或里程碑已完成。</x:v>
      </x:c>
      <x:c r="C2" s="136" t="str">
        <x:v>P0问题是Gate阻塞项；未经书面关闭，不应将相关功能视为需求已冻结或里程碑已完成。</x:v>
      </x:c>
      <x:c r="D2" s="136" t="str">
        <x:v>P0问题是Gate阻塞项；未经书面关闭，不应将相关功能视为需求已冻结或里程碑已完成。</x:v>
      </x:c>
      <x:c r="E2" s="136" t="str">
        <x:v>P0问题是Gate阻塞项；未经书面关闭，不应将相关功能视为需求已冻结或里程碑已完成。</x:v>
      </x:c>
      <x:c r="F2" s="136" t="str">
        <x:v>P0问题是Gate阻塞项；未经书面关闭，不应将相关功能视为需求已冻结或里程碑已完成。</x:v>
      </x:c>
      <x:c r="G2" s="136" t="str">
        <x:v>P0问题是Gate阻塞项；未经书面关闭，不应将相关功能视为需求已冻结或里程碑已完成。</x:v>
      </x:c>
      <x:c r="H2" s="136" t="str">
        <x:v>P0问题是Gate阻塞项；未经书面关闭，不应将相关功能视为需求已冻结或里程碑已完成。</x:v>
      </x:c>
      <x:c r="I2" s="136" t="str">
        <x:v>P0问题是Gate阻塞项；未经书面关闭，不应将相关功能视为需求已冻结或里程碑已完成。</x:v>
      </x:c>
      <x:c r="J2" s="136" t="str">
        <x:v>P0问题是Gate阻塞项；未经书面关闭，不应将相关功能视为需求已冻结或里程碑已完成。</x:v>
      </x:c>
    </x:row>
    <x:row r="5" ht="34" customHeight="1">
      <x:c r="A5" s="150" t="str">
        <x:v>风险ID</x:v>
      </x:c>
      <x:c r="B5" s="151" t="str">
        <x:v>级别</x:v>
      </x:c>
      <x:c r="C5" s="151" t="str">
        <x:v>Gate</x:v>
      </x:c>
      <x:c r="D5" s="151" t="str">
        <x:v>问题/矛盾</x:v>
      </x:c>
      <x:c r="E5" s="151" t="str">
        <x:v>工程证据</x:v>
      </x:c>
      <x:c r="F5" s="151" t="str">
        <x:v>影响</x:v>
      </x:c>
      <x:c r="G5" s="151" t="str">
        <x:v>责任建议</x:v>
      </x:c>
      <x:c r="H5" s="151" t="str">
        <x:v>关闭输入/动作</x:v>
      </x:c>
      <x:c r="I5" s="151" t="str">
        <x:v>关闭判据</x:v>
      </x:c>
      <x:c r="J5" s="152" t="str">
        <x:v>状态</x:v>
      </x:c>
    </x:row>
    <x:row r="6" ht="72" customHeight="1">
      <x:c r="A6" s="144" t="str">
        <x:v>R-001</x:v>
      </x:c>
      <x:c r="B6" s="144" t="str">
        <x:v>P0</x:v>
      </x:c>
      <x:c r="C6" s="144" t="str">
        <x:v>M0/M3</x:v>
      </x:c>
      <x:c r="D6" s="144" t="str">
        <x:v>参考快照的 BYD wrapper 与检索到的 CI 调用均使用 DEVELOP；虽支持 SERIES 参数，但未发现本快照的 BYD SERIES 发布调用。</x:v>
      </x:c>
      <x:c r="E6" s="144" t="str">
        <x:v>coem/BYD_UKE/buildscripts/build.bat:61；scons_gen.bat:43-49,137；jenkins BYD build 配置</x:v>
      </x:c>
      <x:c r="F6" s="144" t="str">
        <x:v>DEVELOP 下安全/看门狗等条件编译行为不能代表量产发布。</x:v>
      </x:c>
      <x:c r="G6" s="144" t="str">
        <x:v>甲方发布Owner/东软</x:v>
      </x:c>
      <x:c r="H6" s="144" t="str">
        <x:v>甲方提供权威量产制品 hash/manifest；东软建立独立 SERIES 构建并固化差异。</x:v>
      </x:c>
      <x:c r="I6" s="144" t="str">
        <x:v>量产候选明确标记 SERIES；宏、制品、台架行为和发布审批一致。</x:v>
      </x:c>
      <x:c r="J6" s="144" t="str">
        <x:v>已证实-参考快照事实</x:v>
      </x:c>
    </x:row>
    <x:row r="7" ht="72" customHeight="1">
      <x:c r="A7" s="144" t="str">
        <x:v>R-002</x:v>
      </x:c>
      <x:c r="B7" s="144" t="str">
        <x:v>P0</x:v>
      </x:c>
      <x:c r="C7" s="144" t="str">
        <x:v>M0</x:v>
      </x:c>
      <x:c r="D7" s="144" t="str">
        <x:v>工程同时出现 continuous mode 与 advanced-frame/start 路径；软件快照不能决定实车最终 RF 模式。</x:v>
      </x:c>
      <x:c r="E7" s="144" t="str">
        <x:v>mmw_cli.c:146；mmwave_link_common.c:11667-11672；mmw_main.c 发波路径</x:v>
      </x:c>
      <x:c r="F7" s="144" t="str">
        <x:v>若误选模式会导致不发波、错误时片或错误数据路径。</x:v>
      </x:c>
      <x:c r="G7" s="144" t="str">
        <x:v>甲方RF Owner</x:v>
      </x:c>
      <x:c r="H7" s="144" t="str">
        <x:v>真实量产 ECU 抓取 mmWaveLink 下发、频谱、frame/chirp 计数并签署唯一 RF 表。</x:v>
      </x:c>
      <x:c r="I7" s="144" t="str">
        <x:v>模式、subframe、profile/chirp/frame 与实测一一一致。</x:v>
      </x:c>
      <x:c r="J7" s="144" t="str">
        <x:v>外部签署项-甲方RF</x:v>
      </x:c>
    </x:row>
    <x:row r="8" ht="72" customHeight="1">
      <x:c r="A8" s="144" t="str">
        <x:v>R-003</x:v>
      </x:c>
      <x:c r="B8" s="144" t="str">
        <x:v>P0</x:v>
      </x:c>
      <x:c r="C8" s="144" t="str">
        <x:v>M0/M1</x:v>
      </x:c>
      <x:c r="D8" s="144" t="str">
        <x:v>OsTask_TriggerWave 已配置，但唯一检索到的周期 ActivateTask 调用被注释，未找到其他活动激活源。</x:v>
      </x:c>
      <x:c r="E8" s="144" t="str">
        <x:v>rte/OsTask_MMW.c:159-186；全工程 ActivateTask 检索</x:v>
      </x:c>
      <x:c r="F8" s="144" t="str">
        <x:v>TriggerWave 可能不运行，真实分时发波链无法闭环。</x:v>
      </x:c>
      <x:c r="G8" s="144" t="str">
        <x:v>东软</x:v>
      </x:c>
      <x:c r="H8" s="144" t="str">
        <x:v>在独立实现中建立明确 Alarm/ScheduleTable/ISR 激活源，并用 trace+频谱验证。</x:v>
      </x:c>
      <x:c r="I8" s="144" t="str">
        <x:v>连续运行中激活次数、周期、jitter、RF 时片均符合签署时序。</x:v>
      </x:c>
      <x:c r="J8" s="144" t="str">
        <x:v>已证实-参考快照缺口</x:v>
      </x:c>
    </x:row>
    <x:row r="9" ht="72" customHeight="1">
      <x:c r="A9" s="144" t="str">
        <x:v>R-004</x:v>
      </x:c>
      <x:c r="B9" s="144" t="str">
        <x:v>P0</x:v>
      </x:c>
      <x:c r="C9" s="144" t="str">
        <x:v>M0/M1</x:v>
      </x:c>
      <x:c r="D9" s="144" t="str">
        <x:v>RF parser 调用被注释，但局部 RFparserOutParams 随后被读取。</x:v>
      </x:c>
      <x:c r="E9" s="144" t="str">
        <x:v>mmwave/mmw_main.c:1458,1556-1563</x:v>
      </x:c>
      <x:c r="F9" s="144" t="str">
        <x:v>存在未初始化值参与 datapath 配置的确定性风险。</x:v>
      </x:c>
      <x:c r="G9" s="144" t="str">
        <x:v>东软</x:v>
      </x:c>
      <x:c r="H9" s="144" t="str">
        <x:v>需求规定所有 datapath 参数必须来自已验证的 RF 配置或显式默认值，禁止读取未初始化结构。</x:v>
      </x:c>
      <x:c r="I9" s="144" t="str">
        <x:v>静态分析零未初始化路径；所有 RF 变体动态参数与签署表一致。</x:v>
      </x:c>
      <x:c r="J9" s="144" t="str">
        <x:v>已证实-参考快照缺陷</x:v>
      </x:c>
    </x:row>
    <x:row r="10" ht="72" customHeight="1">
      <x:c r="A10" s="144" t="str">
        <x:v>R-005</x:v>
      </x:c>
      <x:c r="B10" s="144" t="str">
        <x:v>P0</x:v>
      </x:c>
      <x:c r="C10" s="144" t="str">
        <x:v>M0/M1</x:v>
      </x:c>
      <x:c r="D10" s="144" t="str">
        <x:v>RF CLI 将 numSubFrames 设为2，datapath 初始化固定遍历4。</x:v>
      </x:c>
      <x:c r="E10" s="144" t="str">
        <x:v>adas/symmetry/rfconfig/mmw_cli.c:177；mmwave/mmw_main.c:1448</x:v>
      </x:c>
      <x:c r="F10" s="144" t="str">
        <x:v>多余 subframe 访问可能造成配置错误、越界或未初始化使用。</x:v>
      </x:c>
      <x:c r="G10" s="144" t="str">
        <x:v>东软/甲方RF</x:v>
      </x:c>
      <x:c r="H10" s="144" t="str">
        <x:v>由签署 RF 表确定 N，所有循环上界使用已验证 N 且 N≤平台上限4。</x:v>
      </x:c>
      <x:c r="I10" s="144" t="str">
        <x:v>N=0/1/2/4 和非法 N 的边界测试通过，无越界。</x:v>
      </x:c>
      <x:c r="J10" s="144" t="str">
        <x:v>已证实-参考快照缺陷</x:v>
      </x:c>
    </x:row>
    <x:row r="11" ht="72" customHeight="1">
      <x:c r="A11" s="144" t="str">
        <x:v>R-006</x:v>
      </x:c>
      <x:c r="B11" s="144" t="str">
        <x:v>P0</x:v>
      </x:c>
      <x:c r="C11" s="144" t="str">
        <x:v>M0</x:v>
      </x:c>
      <x:c r="D11" s="144" t="str">
        <x:v>sys_conf.h 与 rf_config.c 中 profile 参数存在不一致，不能仅凭源码选出量产值。</x:v>
      </x:c>
      <x:c r="E11" s="144" t="str">
        <x:v>adas/symmetry/rfconfig/sys_conf.h:144-153；rf_config.c:12-52</x:v>
      </x:c>
      <x:c r="F11" s="144" t="str">
        <x:v>距离/速度/采样与 RF 合规可能错误。</x:v>
      </x:c>
      <x:c r="G11" s="144" t="str">
        <x:v>甲方RF Owner</x:v>
      </x:c>
      <x:c r="H11" s="144" t="str">
        <x:v>用量产 ECU 实际下发与频谱冻结唯一参数表，逐字段 owner 签字。</x:v>
      </x:c>
      <x:c r="I11" s="144" t="str">
        <x:v>外发 RF SRS 中每个字段唯一、带单位/范围/变体/版本。</x:v>
      </x:c>
      <x:c r="J11" s="144" t="str">
        <x:v>外部签署项-甲方RF</x:v>
      </x:c>
    </x:row>
    <x:row r="12" ht="72" customHeight="1">
      <x:c r="A12" s="144" t="str">
        <x:v>R-007</x:v>
      </x:c>
      <x:c r="B12" s="144" t="str">
        <x:v>P0</x:v>
      </x:c>
      <x:c r="C12" s="144" t="str">
        <x:v>M1</x:v>
      </x:c>
      <x:c r="D12" s="144" t="str">
        <x:v>M4/DPM 同步使用无超时循环；对端异常可永久阻塞。</x:v>
      </x:c>
      <x:c r="E12" s="144" t="str">
        <x:v>mmwave/mmw_main.c:2787-2807（及相关 ACK 等待）</x:v>
      </x:c>
      <x:c r="F12" s="144" t="str">
        <x:v>ECU 启动或运行期可死锁且看门狗原因难诊断。</x:v>
      </x:c>
      <x:c r="G12" s="144" t="str">
        <x:v>东软</x:v>
      </x:c>
      <x:c r="H12" s="144" t="str">
        <x:v>为每个握手定义 timeout、重试、DEM、M4/RSS 重启或受控降级。</x:v>
      </x:c>
      <x:c r="I12" s="144" t="str">
        <x:v>断开/延迟/复位对端均在限定时间退出，无永久循环。</x:v>
      </x:c>
      <x:c r="J12" s="144" t="str">
        <x:v>已证实-参考快照缺陷</x:v>
      </x:c>
    </x:row>
    <x:row r="13" ht="72" customHeight="1">
      <x:c r="A13" s="144" t="str">
        <x:v>R-008</x:v>
      </x:c>
      <x:c r="B13" s="144" t="str">
        <x:v>P0</x:v>
      </x:c>
      <x:c r="C13" s="144" t="str">
        <x:v>M0</x:v>
      </x:c>
      <x:c r="D13" s="144" t="str">
        <x:v>旧内部 build wrapper 调用 genMCAL/postGenMCAL，但该快照相应目录内未见这两个脚本。</x:v>
      </x:c>
      <x:c r="E13" s="144" t="str">
        <x:v>coem/BYD_UKE/buildscripts/build.bat:31-49；tools/AI_AutoCom_Tool 目录检查</x:v>
      </x:c>
      <x:c r="F13" s="144" t="str">
        <x:v>参考 wrapper 不是可外发或可复现的完整生成链。</x:v>
      </x:c>
      <x:c r="G13" s="144" t="str">
        <x:v>东软</x:v>
      </x:c>
      <x:c r="H13" s="144" t="str">
        <x:v>不提供参考脚本；东软从空白工程自建完整 AUTOSAR generate→build→package 流程。</x:v>
      </x:c>
      <x:c r="I13" s="144" t="str">
        <x:v>干净机只使用东软自有工程和允许输入即可一键成功，步骤缺失立即失败。</x:v>
      </x:c>
      <x:c r="J13" s="144" t="str">
        <x:v>已确认-不外发/独立重建</x:v>
      </x:c>
    </x:row>
    <x:row r="14" ht="72" customHeight="1">
      <x:c r="A14" s="144" t="str">
        <x:v>R-009</x:v>
      </x:c>
      <x:c r="B14" s="144" t="str">
        <x:v>P0</x:v>
      </x:c>
      <x:c r="C14" s="144" t="str">
        <x:v>M0</x:v>
      </x:c>
      <x:c r="D14" s="144" t="str">
        <x:v>旧生成脚本存在硬编码个人盘符/安装路径。</x:v>
      </x:c>
      <x:c r="E14" s="144" t="str">
        <x:v>ConfigGen.bat；tools/RTA_CAR/genBsw.bat</x:v>
      </x:c>
      <x:c r="F14" s="144" t="str">
        <x:v>不可复现且可能泄露内部环境。</x:v>
      </x:c>
      <x:c r="G14" s="144" t="str">
        <x:v>东软</x:v>
      </x:c>
      <x:c r="H14" s="144" t="str">
        <x:v>自建参数化工具链，所有依赖通过受控配置/容器提供。</x:v>
      </x:c>
      <x:c r="I14" s="144" t="str">
        <x:v>源码与日志扫描无个人盘符；空 agent 复现成功。</x:v>
      </x:c>
      <x:c r="J14" s="144" t="str">
        <x:v>已证实-独立重建要求</x:v>
      </x:c>
    </x:row>
    <x:row r="15" ht="72" customHeight="1">
      <x:c r="A15" s="144" t="str">
        <x:v>R-010</x:v>
      </x:c>
      <x:c r="B15" s="144" t="str">
        <x:v>P0</x:v>
      </x:c>
      <x:c r="C15" s="144" t="str">
        <x:v>M0</x:v>
      </x:c>
      <x:c r="D15" s="144" t="str">
        <x:v>参考生成物显示 RTA-CAR/RTE 版本混用及旧项目路径痕迹。</x:v>
      </x:c>
      <x:c r="E15" s="144" t="str">
        <x:v>Com_Cfg.h:19；Rte.c:7-8；RteErr.xml</x:v>
      </x:c>
      <x:c r="F15" s="144" t="str">
        <x:v>参考生成物不可作为东软生成输入或质量基线。</x:v>
      </x:c>
      <x:c r="G15" s="144" t="str">
        <x:v>东软</x:v>
      </x:c>
      <x:c r="H15" s="144" t="str">
        <x:v>锁定一套批准兼容矩阵，从东软自有 ARXML/ECUC 干净生成。</x:v>
      </x:c>
      <x:c r="I15" s="144" t="str">
        <x:v>无旧路径/旧车型痕迹；生成 warning=0 或有批准偏差。</x:v>
      </x:c>
      <x:c r="J15" s="144" t="str">
        <x:v>已证实-独立重建要求</x:v>
      </x:c>
    </x:row>
    <x:row r="16" ht="72" customHeight="1">
      <x:c r="A16" s="144" t="str">
        <x:v>R-011</x:v>
      </x:c>
      <x:c r="B16" s="144" t="str">
        <x:v>P0</x:v>
      </x:c>
      <x:c r="C16" s="144" t="str">
        <x:v>M0/M2</x:v>
      </x:c>
      <x:c r="D16" s="144" t="str">
        <x:v>甲方明确不提供任何 ARXML/ECUC/RTE/OS/BSW/MCAL 配置或生成物。</x:v>
      </x:c>
      <x:c r="E16" s="144" t="str">
        <x:v>用户确认的外发边界；04 页</x:v>
      </x:c>
      <x:c r="F16" s="144" t="str">
        <x:v>东软若依赖参考 ARXML 将无法开工且构成 IP 风险。</x:v>
      </x:c>
      <x:c r="G16" s="144" t="str">
        <x:v>东软/甲方</x:v>
      </x:c>
      <x:c r="H16" s="144" t="str">
        <x:v>东软依据中立 SRS/ICD/05-07 矩阵自行创建完整 AUTOSAR 工程；甲方仅验收行为。</x:v>
      </x:c>
      <x:c r="I16" s="144" t="str">
        <x:v>东软交付可编辑自有 ARXML/ECUC；甲方外发包 AUTOSAR 资产命中数=0。</x:v>
      </x:c>
      <x:c r="J16" s="144" t="str">
        <x:v>已确认-禁止外发</x:v>
      </x:c>
    </x:row>
    <x:row r="17" ht="72" customHeight="1">
      <x:c r="A17" s="144" t="str">
        <x:v>R-012</x:v>
      </x:c>
      <x:c r="B17" s="144" t="str">
        <x:v>P0</x:v>
      </x:c>
      <x:c r="C17" s="144" t="str">
        <x:v>M1</x:v>
      </x:c>
      <x:c r="D17" s="144" t="str">
        <x:v>CUDA/CLDA/rbBlock 全部成功是雷达启动前置门。</x:v>
      </x:c>
      <x:c r="E17" s="144" t="str">
        <x:v>integration/Os_Cbk_Idle.c:87-93</x:v>
      </x:c>
      <x:c r="F17" s="144" t="str">
        <x:v>缺少任一项都会阻断主链。</x:v>
      </x:c>
      <x:c r="G17" s="144" t="str">
        <x:v>双方</x:v>
      </x:c>
      <x:c r="H17" s="144" t="str">
        <x:v>已前移 M1：提供中立 schema、golden、损坏样本和故障策略。</x:v>
      </x:c>
      <x:c r="I17" s="144" t="str">
        <x:v>合法样本启动；缺失/损坏/错位置禁止发波并上报。</x:v>
      </x:c>
      <x:c r="J17" s="144" t="str">
        <x:v>已关闭-已纳入M1</x:v>
      </x:c>
    </x:row>
    <x:row r="18" ht="72" customHeight="1">
      <x:c r="A18" s="144" t="str">
        <x:v>R-013</x:v>
      </x:c>
      <x:c r="B18" s="144" t="str">
        <x:v>P0</x:v>
      </x:c>
      <x:c r="C18" s="144" t="str">
        <x:v>M2</x:v>
      </x:c>
      <x:c r="D18" s="144" t="str">
        <x:v>参考源/生成统计不一致的问题不再通过外发 ARXML 解决；需求基线统一采用最终生成表解析出的 103 个业务 Block（105 descriptor）。</x:v>
      </x:c>
      <x:c r="E18" s="144" t="str">
        <x:v>05 页；NvM_Cfg.c/Fee 生成表内部取证</x:v>
      </x:c>
      <x:c r="F18" s="144" t="str">
        <x:v>若继续引用源 ARXML 数量会造成范围争议。</x:v>
      </x:c>
      <x:c r="G18" s="144" t="str">
        <x:v>甲方数据Owner/东软</x:v>
      </x:c>
      <x:c r="H18" s="144" t="str">
        <x:v>以 05 页中立字典为合同基线，东软自行配置并交 105/105 diff。</x:v>
      </x:c>
      <x:c r="I18" s="144" t="str">
        <x:v>Block ID 0..104 全覆盖；业务 2..104 共103项；差异为0或书面批准。</x:v>
      </x:c>
      <x:c r="J18" s="144" t="str">
        <x:v>已确认-中立字典替代</x:v>
      </x:c>
    </x:row>
    <x:row r="19" ht="72" customHeight="1">
      <x:c r="A19" s="144" t="str">
        <x:v>R-014</x:v>
      </x:c>
      <x:c r="B19" s="144" t="str">
        <x:v>P1</x:v>
      </x:c>
      <x:c r="C19" s="144" t="str">
        <x:v>M1/M2</x:v>
      </x:c>
      <x:c r="D19" s="144" t="str">
        <x:v>参考 Fls PB 的实际外部 Flash 为4MiB、page8；FLS_TOTAL_SIZE=1GiB 宏只见定义未见使用，形成生成宏偏差。</x:v>
      </x:c>
      <x:c r="E19" s="144" t="str">
        <x:v>Fls_PBcfg.c:63-81；Fls_Cfg.h:155；Fls_Brd_Nor_Qspi.c:419</x:v>
      </x:c>
      <x:c r="F19" s="144" t="str">
        <x:v>若供应商照搬宏，地址边界可能错误。</x:v>
      </x:c>
      <x:c r="G19" s="144" t="str">
        <x:v>东软/MCAL供应商</x:v>
      </x:c>
      <x:c r="H19" s="144" t="str">
        <x:v>东软按实际硬件统一为4MiB，并验证合法/非法地址、页/扇区边界。</x:v>
      </x:c>
      <x:c r="I19" s="144" t="str">
        <x:v>配置、驱动识别和内存测试均为4MiB；越界请求拒绝。</x:v>
      </x:c>
      <x:c r="J19" s="144" t="str">
        <x:v>已求证-宏偏差需消除</x:v>
      </x:c>
    </x:row>
    <x:row r="20" ht="72" customHeight="1">
      <x:c r="A20" s="144" t="str">
        <x:v>R-015</x:v>
      </x:c>
      <x:c r="B20" s="144" t="str">
        <x:v>P0</x:v>
      </x:c>
      <x:c r="C20" s="144" t="str">
        <x:v>M1</x:v>
      </x:c>
      <x:c r="D20" s="144" t="str">
        <x:v>IPC 配置 NumValidCore=2，但初始化列表写有 RSS、M4、DSP 三项。</x:v>
      </x:c>
      <x:c r="E20" s="144" t="str">
        <x:v>coem/BYD_UKE/gen_mcal/src/Cdd_Ipc_PBCfg.c:65-84</x:v>
      </x:c>
      <x:c r="F20" s="144" t="str">
        <x:v>peer 计数/索引含义不一致，可能漏初始化或误路由。</x:v>
      </x:c>
      <x:c r="G20" s="144" t="str">
        <x:v>东软</x:v>
      </x:c>
      <x:c r="H20" s="144" t="str">
        <x:v>依据 M4/RSS bin 与实际拓扑冻结本 ECU 的有效对端和 channel/message ID；禁止计数与列表不一致。</x:v>
      </x:c>
      <x:c r="I20" s="144" t="str">
        <x:v>静态配置校验通过；两端双向消息、复位、超时和错误 peer 测试通过。</x:v>
      </x:c>
      <x:c r="J20" s="144" t="str">
        <x:v>已证实-参考快照缺陷</x:v>
      </x:c>
    </x:row>
    <x:row r="21" ht="72" customHeight="1">
      <x:c r="A21" s="144" t="str">
        <x:v>R-016</x:v>
      </x:c>
      <x:c r="B21" s="144" t="str">
        <x:v>P2</x:v>
      </x:c>
      <x:c r="C21" s="144" t="str">
        <x:v>M1</x:v>
      </x:c>
      <x:c r="D21" s="144" t="str">
        <x:v>1ms GPT 与 10ms RTE 口径已求证：GPT ISR 驱动 1ms OS Counter，10 tick ScheduleTable 构成10ms循环，并非10倍矛盾。</x:v>
      </x:c>
      <x:c r="E21" s="144" t="str">
        <x:v>integration/Os_Hooks.c:54-56；Gpt_Irq.c:75-89；Os_Cfg.h:145-152,605-606；Rte_Lib.c:687-693</x:v>
      </x:c>
      <x:c r="F21" s="144" t="str">
        <x:v>若文档不说明仍可能导致供应商误配。</x:v>
      </x:c>
      <x:c r="G21" s="144" t="str">
        <x:v>东软</x:v>
      </x:c>
      <x:c r="H21" s="144" t="str">
        <x:v>在自有设计中明确 1ms base tick、10ms schedule period 和各 offset 动作。</x:v>
      </x:c>
      <x:c r="I21" s="144" t="str">
        <x:v>07 页 10 个 expiry point trace 全部满足周期/相位/jitter。</x:v>
      </x:c>
      <x:c r="J21" s="144" t="str">
        <x:v>已求证-非风险/转设计约束</x:v>
      </x:c>
    </x:row>
    <x:row r="22" ht="72" customHeight="1">
      <x:c r="A22" s="144" t="str">
        <x:v>R-017</x:v>
      </x:c>
      <x:c r="B22" s="144" t="str">
        <x:v>P0</x:v>
      </x:c>
      <x:c r="C22" s="144" t="str">
        <x:v>M1/M2/M3</x:v>
      </x:c>
      <x:c r="D22" s="144" t="str">
        <x:v>参考 WdgM 有1个实体/检查点配置，但 ASW checkpoint 代码被 #if 0；SERIES 条件下实际依赖 LP87745 PMIC FuSa watchdog，DEVELOP 下该链关闭。</x:v>
      </x:c>
      <x:c r="E22" s="144" t="str">
        <x:v>ASW_WDG.c:56-251；WdgM_Cfg.c/h；LP87745_cfg.h；FUSA_WDGDrv.c</x:v>
      </x:c>
      <x:c r="F22" s="144" t="str">
        <x:v>DEVELOP 演示不能证明量产 watchdog 有效。</x:v>
      </x:c>
      <x:c r="G22" s="144" t="str">
        <x:v>东软/安全方</x:v>
      </x:c>
      <x:c r="H22" s="144" t="str">
        <x:v>选择并实现批准的监督架构；若使用 PMIC WDG，SERIES 必须开启并覆盖关键任务；若声明 WdgM 有效则必须有活动 checkpoint。</x:v>
      </x:c>
      <x:c r="I22" s="144" t="str">
        <x:v>逐关键实体卡死/超时可在规定窗口复位，ResetReason/DEM 可追溯；DEVELOP/SERIES 差异受控。</x:v>
      </x:c>
      <x:c r="J22" s="144" t="str">
        <x:v>已求证-量产架构约束</x:v>
      </x:c>
    </x:row>
    <x:row r="23" ht="72" customHeight="1">
      <x:c r="A23" s="144" t="str">
        <x:v>R-018</x:v>
      </x:c>
      <x:c r="B23" s="144" t="str">
        <x:v>P0</x:v>
      </x:c>
      <x:c r="C23" s="144" t="str">
        <x:v>M2/M3</x:v>
      </x:c>
      <x:c r="D23" s="144" t="str">
        <x:v>参考 XCP 开 seed/key，但内存读写保护关闭；seed/key 为可预测样例（key=seed+1）。</x:v>
      </x:c>
      <x:c r="E23" s="144" t="str">
        <x:v>Xcp_Cfg.h:152-175；Xcp_SeedAndKey.c</x:v>
      </x:c>
      <x:c r="F23" s="144" t="str">
        <x:v>量产存在未授权内存读写风险。</x:v>
      </x:c>
      <x:c r="G23" s="144" t="str">
        <x:v>甲方安全方/东软</x:v>
      </x:c>
      <x:c r="H23" s="144" t="str">
        <x:v>量产关闭 XCP，或采用批准的地址白名单、正式认证算法和生命周期控制。</x:v>
      </x:c>
      <x:c r="I23" s="144" t="str">
        <x:v>非法地址/错误key/重放/量产生命周期全部拒绝；秘密不在交付包。</x:v>
      </x:c>
      <x:c r="J23" s="144" t="str">
        <x:v>已证实-量产安全缺口</x:v>
      </x:c>
    </x:row>
    <x:row r="24" ht="72" customHeight="1">
      <x:c r="A24" s="144" t="str">
        <x:v>R-019</x:v>
      </x:c>
      <x:c r="B24" s="144" t="str">
        <x:v>P0</x:v>
      </x:c>
      <x:c r="C24" s="144" t="str">
        <x:v>BT/M3</x:v>
      </x:c>
      <x:c r="D24" s="144" t="str">
        <x:v>参考工程有安全启动、证书和 KMS 路径，但未找到应用 anti-rollback/单调版本计数的实现证据。</x:v>
      </x:c>
      <x:c r="E24" s="144" t="str">
        <x:v>rbSecBoot.c；BlockProcessor.py；全工程 anti-rollback/monotonic 检索</x:v>
      </x:c>
      <x:c r="F24" s="144" t="str">
        <x:v>不能据此宣称支持防回滚。</x:v>
      </x:c>
      <x:c r="G24" s="144" t="str">
        <x:v>甲方安全/OEM</x:v>
      </x:c>
      <x:c r="H24" s="144" t="str">
        <x:v>书面决定是否需要；若需要，冻结计数存储、升级/降级、恢复和制造生命周期。</x:v>
      </x:c>
      <x:c r="I24" s="144" t="str">
        <x:v>需求、威胁分析、实现和新旧版本攻击测试全部签署。</x:v>
      </x:c>
      <x:c r="J24" s="144" t="str">
        <x:v>外部签署项-OEM/安全</x:v>
      </x:c>
    </x:row>
    <x:row r="25" ht="72" customHeight="1">
      <x:c r="A25" s="144" t="str">
        <x:v>R-020</x:v>
      </x:c>
      <x:c r="B25" s="144" t="str">
        <x:v>P0</x:v>
      </x:c>
      <x:c r="C25" s="144" t="str">
        <x:v>M2</x:v>
      </x:c>
      <x:c r="D25" s="144" t="str">
        <x:v>217 Event/59 DTC 的参考配置属性已全量求证并写入 06 页；业务合理性仍需 OEM 签署。</x:v>
      </x:c>
      <x:c r="E25" s="144" t="str">
        <x:v>06 页全量 Event/DTC；Dem_Cfg_* 内部证据</x:v>
      </x:c>
      <x:c r="F25" s="144" t="str">
        <x:v>不再是“配置未知”，而是业务审批和等价实现问题。</x:v>
      </x:c>
      <x:c r="G25" s="144" t="str">
        <x:v>甲方/OEM/东软</x:v>
      </x:c>
      <x:c r="H25" s="144" t="str">
        <x:v>甲方/OEM 审批优先级、去抖、老化、组合、FF/ExtData；东软实现并自动测试。</x:v>
      </x:c>
      <x:c r="I25" s="144" t="str">
        <x:v>217/217 Event、59/59 DTC 关闭；40 Entry 满载/掉电/0x19/0x14 通过。</x:v>
      </x:c>
      <x:c r="J25" s="144" t="str">
        <x:v>已求证配置-待OEM签署</x:v>
      </x:c>
    </x:row>
    <x:row r="26" ht="72" customHeight="1">
      <x:c r="A26" s="144" t="str">
        <x:v>R-021</x:v>
      </x:c>
      <x:c r="B26" s="144" t="str">
        <x:v>P0</x:v>
      </x:c>
      <x:c r="C26" s="144" t="str">
        <x:v>M2</x:v>
      </x:c>
      <x:c r="D26" s="144" t="str">
        <x:v>105 个 NvM descriptor 的技术属性已求证；数据 owner、写频率、目标寿命和升级迁移无法仅从代码可靠推出。</x:v>
      </x:c>
      <x:c r="E26" s="144" t="str">
        <x:v>05 页；NvM_Cfg.c/Fee 内部证据</x:v>
      </x:c>
      <x:c r="F26" s="144" t="str">
        <x:v>若无业务输入可能出现磨损、语义或升级兼容风险。</x:v>
      </x:c>
      <x:c r="G26" s="144" t="str">
        <x:v>甲方数据Owner/东软</x:v>
      </x:c>
      <x:c r="H26" s="144" t="str">
        <x:v>逐 Block 补 owner、写触发/频率、保留/迁移、安全级和寿命预算。</x:v>
      </x:c>
      <x:c r="I26" s="144" t="str">
        <x:v>105/105 技术属性+业务属性签署；耐久/掉电/迁移通过。</x:v>
      </x:c>
      <x:c r="J26" s="144" t="str">
        <x:v>外部签署项-数据Owner</x:v>
      </x:c>
    </x:row>
    <x:row r="27" ht="72" customHeight="1">
      <x:c r="A27" s="144" t="str">
        <x:v>R-022</x:v>
      </x:c>
      <x:c r="B27" s="144" t="str">
        <x:v>P1</x:v>
      </x:c>
      <x:c r="C27" s="144" t="str">
        <x:v>M1/M2</x:v>
      </x:c>
      <x:c r="D27" s="144" t="str">
        <x:v>ADC 共配置12通道；两个 conversion group 实际使用 9/10/11 与 0/1/4/5 共7通道，2/3/6/7/8 未入组。</x:v>
      </x:c>
      <x:c r="E27" s="144" t="str">
        <x:v>coem/BYD_UKE/gen_mcal/src/Adc_PBcfg.c:70-305</x:v>
      </x:c>
      <x:c r="F27" s="144" t="str">
        <x:v>这5路可能是保留，也可能是遗漏；软件快照不能替代原理图 owner。</x:v>
      </x:c>
      <x:c r="G27" s="144" t="str">
        <x:v>甲方硬件/东软</x:v>
      </x:c>
      <x:c r="H27" s="144" t="str">
        <x:v>12路逐项标明引脚/用途/组/触发/采样/保留原因。</x:v>
      </x:c>
      <x:c r="I27" s="144" t="str">
        <x:v>7路活动采样与物理量正确；5路保留不会被误触发；原理图签署。</x:v>
      </x:c>
      <x:c r="J27" s="144" t="str">
        <x:v>已证实-5路保留待硬件签署</x:v>
      </x:c>
    </x:row>
    <x:row r="28" ht="72" customHeight="1">
      <x:c r="A28" s="144" t="str">
        <x:v>R-023</x:v>
      </x:c>
      <x:c r="B28" s="144" t="str">
        <x:v>P0</x:v>
      </x:c>
      <x:c r="C28" s="144" t="str">
        <x:v>M2</x:v>
      </x:c>
      <x:c r="D28" s="144" t="str">
        <x:v>0x49A 超时处理确实检查并清除 0x12D 的 notified flag。</x:v>
      </x:c>
      <x:c r="E28" s="144" t="str">
        <x:v>coem/BYD_UKE/components/com/src/net_X_Mngmt.c:137-156</x:v>
      </x:c>
      <x:c r="F28" s="144" t="str">
        <x:v>报文状态串扰可导致错误网络/休眠判断。</x:v>
      </x:c>
      <x:c r="G28" s="144" t="str">
        <x:v>东软</x:v>
      </x:c>
      <x:c r="H28" s="144" t="str">
        <x:v>按中立的每 PDU 独立状态机重写，不复制参考缺陷。</x:v>
      </x:c>
      <x:c r="I28" s="144" t="str">
        <x:v>0x49A/0x12D 正常、分别超时、同时超时、恢复组合全通过，状态互不影响。</x:v>
      </x:c>
      <x:c r="J28" s="144" t="str">
        <x:v>已证实-参考快照缺陷</x:v>
      </x:c>
    </x:row>
    <x:row r="29" ht="72" customHeight="1">
      <x:c r="A29" s="144" t="str">
        <x:v>R-024</x:v>
      </x:c>
      <x:c r="B29" s="144" t="str">
        <x:v>P0</x:v>
      </x:c>
      <x:c r="C29" s="144" t="str">
        <x:v>M2/M3</x:v>
      </x:c>
      <x:c r="D29" s="144" t="str">
        <x:v>主 UT 列表8模块，客户模块列表22模块，未见覆盖率硬门禁。</x:v>
      </x:c>
      <x:c r="E29" s="144" t="str">
        <x:v>unittest/unittest_list.json；coem/BYD_UKE/unittest/module_lists_coem.json</x:v>
      </x:c>
      <x:c r="F29" s="144" t="str">
        <x:v>14 个客户模块可能未进入主 CI，回归与覆盖不足。</x:v>
      </x:c>
      <x:c r="G29" s="144" t="str">
        <x:v>东软</x:v>
      </x:c>
      <x:c r="H29" s="144" t="str">
        <x:v>建立交付模块全集、需求→测试追踪和 statement/branch/function 门禁。</x:v>
      </x:c>
      <x:c r="I29" s="144" t="str">
        <x:v>所有目标模块进入 CI；低于合同阈值必失败；偏差需批准。</x:v>
      </x:c>
      <x:c r="J29" s="144" t="str">
        <x:v>已证实-质量流程缺口</x:v>
      </x:c>
    </x:row>
    <x:row r="30" ht="72" customHeight="1">
      <x:c r="A30" s="144" t="str">
        <x:v>R-025</x:v>
      </x:c>
      <x:c r="B30" s="144" t="str">
        <x:v>P0</x:v>
      </x:c>
      <x:c r="C30" s="144" t="str">
        <x:v>M3</x:v>
      </x:c>
      <x:c r="D30" s="144" t="str">
        <x:v>CI 归档配置允许空制品；参考构建/HW 制品路径和工具完备性不足以证明闭环。</x:v>
      </x:c>
      <x:c r="E30" s="144" t="str">
        <x:v>jenkins/configs/inc/stages/build.yaml:72,81,90；相关 hw_test 配置</x:v>
      </x:c>
      <x:c r="F30" s="144" t="str">
        <x:v>作业可能绿色但未产生/刷写真实制品。</x:v>
      </x:c>
      <x:c r="G30" s="144" t="str">
        <x:v>东软/CI Owner</x:v>
      </x:c>
      <x:c r="H30" s="144" t="str">
        <x:v>禁止 allowEmpty；manifest 驱动制品传递；每个测试记录刷写 hash。</x:v>
      </x:c>
      <x:c r="I30" s="144" t="str">
        <x:v>任何缺制品/错 hash 立即失败；HW 报告与发布制品 hash 一致。</x:v>
      </x:c>
      <x:c r="J30" s="144" t="str">
        <x:v>已证实-质量流程缺口</x:v>
      </x:c>
    </x:row>
    <x:row r="31" ht="72" customHeight="1">
      <x:c r="A31" s="144" t="str">
        <x:v>R-026</x:v>
      </x:c>
      <x:c r="B31" s="144" t="str">
        <x:v>P0</x:v>
      </x:c>
      <x:c r="C31" s="144" t="str">
        <x:v>M0/M3</x:v>
      </x:c>
      <x:c r="D31" s="144" t="str">
        <x:v>当前提供的项目快照未发现可读取 .git，rev-parse HEAD 失败；已生成关键证据 SHA-256 清单。</x:v>
      </x:c>
      <x:c r="E31" s="144" t="str">
        <x:v>项目根目录检查；09 页 hash manifest</x:v>
      </x:c>
      <x:c r="F31" s="144" t="str">
        <x:v>结论无法绑定 commit，只能绑定文件快照。</x:v>
      </x:c>
      <x:c r="G31" s="144" t="str">
        <x:v>甲方</x:v>
      </x:c>
      <x:c r="H31" s="144" t="str">
        <x:v>保留本次 hash manifest；后续若有仓库则补 commit/tag/submodule/tool 版本。</x:v>
      </x:c>
      <x:c r="I31" s="144" t="str">
        <x:v>每条需求/证据绑定唯一快照 hash；交付发布也有 manifest。</x:v>
      </x:c>
      <x:c r="J31" s="144" t="str">
        <x:v>已证实-快照无Git元数据</x:v>
      </x:c>
    </x:row>
    <x:row r="32" ht="72" customHeight="1">
      <x:c r="A32" s="144" t="str">
        <x:v>R-027</x:v>
      </x:c>
      <x:c r="B32" s="144" t="str">
        <x:v>P0</x:v>
      </x:c>
      <x:c r="C32" s="144" t="str">
        <x:v>BT</x:v>
      </x:c>
      <x:c r="D32" s="144" t="str">
        <x:v>Boot 的 OEM 业务需求、0x34/0x35 等服务口径、回退/anti-rollback/lifecycle 仍不能从 App 快照单独决定。</x:v>
      </x:c>
      <x:c r="E32" s="144" t="str">
        <x:v>附件 QA/里程碑；参考 Boot/安全代码内部取证</x:v>
      </x:c>
      <x:c r="F32" s="144" t="str">
        <x:v>BT 工期在 SRS 未冻结前不可作量产承诺。</x:v>
      </x:c>
      <x:c r="G32" s="144" t="str">
        <x:v>甲方OEM/安全/东软</x:v>
      </x:c>
      <x:c r="H32" s="144" t="str">
        <x:v>先冻结 Boot SRS/ICD、memory map、刷写、安全、断电恢复与 App 联调，再重估。</x:v>
      </x:c>
      <x:c r="I32" s="144" t="str">
        <x:v>正式 SRS 签署后才启动 BT 交付 Gate。</x:v>
      </x:c>
      <x:c r="J32" s="144" t="str">
        <x:v>外部签署项-OEM/安全</x:v>
      </x:c>
    </x:row>
    <x:row r="33" ht="72" customHeight="1">
      <x:c r="A33" s="144" t="str">
        <x:v>R-028</x:v>
      </x:c>
      <x:c r="B33" s="144" t="str">
        <x:v>P0</x:v>
      </x:c>
      <x:c r="C33" s="144" t="str">
        <x:v>M0/全阶段</x:v>
      </x:c>
      <x:c r="D33" s="144" t="str">
        <x:v>用户已明确参考工程全部 AUTOSAR 内容不可提供；只允许 RSS bin、M4 bin、甲方算法/mmWaveLink ASW。</x:v>
      </x:c>
      <x:c r="E33" s="144" t="str">
        <x:v>用户确认；04 页严格边界</x:v>
      </x:c>
      <x:c r="F33" s="144" t="str">
        <x:v>任何参考资产泄露都会产生 IP/许可/合同风险。</x:v>
      </x:c>
      <x:c r="G33" s="144" t="str">
        <x:v>双方/法务</x:v>
      </x:c>
      <x:c r="H33" s="144" t="str">
        <x:v>双工作簿、clean-room、外发扫描、资料台账、人员权限和 NDA；东软自建 AUTOSAR。</x:v>
      </x:c>
      <x:c r="I33" s="144" t="str">
        <x:v>外发版无 D:/Project 路径、无参考文件名、无 ARXML/DBC/生成 C/H/脚本；审计签字。</x:v>
      </x:c>
      <x:c r="J33" s="144" t="str">
        <x:v>已确认-强制合规边界</x:v>
      </x:c>
    </x:row>
  </x:sheetData>
  <x:mergeCells>
    <x:mergeCell ref="A1:J1"/>
    <x:mergeCell ref="A2:J2"/>
  </x:mergeCells>
  <x:conditionalFormatting sqref="B6:B33">
    <x:cfRule type="containsText" dxfId="4" priority="1" operator="containsText" text="P0"/>
  </x:conditionalFormatting>
  <x:conditionalFormatting sqref="J6:J33">
    <x:cfRule type="containsText" dxfId="5" priority="2" operator="containsText" text="已关闭"/>
  </x:conditionalFormatting>
  <x:pageMargins left="0.7" right="0.7" top="0.75" bottom="0.75" header="0.3" footer="0.3"/>
  <x:tableParts count="1">
    <x:tablePart xmlns:r="http://schemas.openxmlformats.org/officeDocument/2006/relationships" r:id="Rfa5418831d31429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68" hidden="0" customWidth="1"/>
    <x:col min="5" max="5" width="22" hidden="0" customWidth="1"/>
    <x:col min="6" max="6" width="16" hidden="0" customWidth="1"/>
    <x:col min="7" max="7" width="24" hidden="0" customWidth="1"/>
  </x:cols>
  <x:sheetData>
    <x:row r="1" ht="30" customHeight="1">
      <x:c r="A1" s="133" t="str">
        <x:v>工程取证索引</x:v>
      </x:c>
      <x:c r="B1" s="133" t="str">
        <x:v>工程取证索引</x:v>
      </x:c>
      <x:c r="C1" s="133" t="str">
        <x:v>工程取证索引</x:v>
      </x:c>
      <x:c r="D1" s="133" t="str">
        <x:v>工程取证索引</x:v>
      </x:c>
      <x:c r="E1" s="133" t="str">
        <x:v>工程取证索引</x:v>
      </x:c>
      <x:c r="F1" s="133" t="str">
        <x:v>工程取证索引</x:v>
      </x:c>
      <x:c r="G1" s="133" t="str">
        <x:v>工程取证索引</x:v>
      </x:c>
    </x:row>
    <x:row r="2" ht="36" customHeight="1">
      <x:c r="A2" s="136" t="str">
        <x:v>路径均指向本机参考工程，只用于审计和内部需求提炼；不得作为向外包方直接复制源码的清单。</x:v>
      </x:c>
      <x:c r="B2" s="136" t="str">
        <x:v>路径均指向本机参考工程，只用于审计和内部需求提炼；不得作为向外包方直接复制源码的清单。</x:v>
      </x:c>
      <x:c r="C2" s="136" t="str">
        <x:v>路径均指向本机参考工程，只用于审计和内部需求提炼；不得作为向外包方直接复制源码的清单。</x:v>
      </x:c>
      <x:c r="D2" s="136" t="str">
        <x:v>路径均指向本机参考工程，只用于审计和内部需求提炼；不得作为向外包方直接复制源码的清单。</x:v>
      </x:c>
      <x:c r="E2" s="136" t="str">
        <x:v>路径均指向本机参考工程，只用于审计和内部需求提炼；不得作为向外包方直接复制源码的清单。</x:v>
      </x:c>
      <x:c r="F2" s="136" t="str">
        <x:v>路径均指向本机参考工程，只用于审计和内部需求提炼；不得作为向外包方直接复制源码的清单。</x:v>
      </x:c>
      <x:c r="G2" s="136" t="str">
        <x:v>路径均指向本机参考工程，只用于审计和内部需求提炼；不得作为向外包方直接复制源码的清单。</x:v>
      </x:c>
    </x:row>
    <x:row r="5" ht="34" customHeight="1">
      <x:c r="A5" s="150" t="str">
        <x:v>证据ID</x:v>
      </x:c>
      <x:c r="B5" s="151" t="str">
        <x:v>主题</x:v>
      </x:c>
      <x:c r="C5" s="151" t="str">
        <x:v>可确认事实</x:v>
      </x:c>
      <x:c r="D5" s="151" t="str">
        <x:v>绝对文件路径</x:v>
      </x:c>
      <x:c r="E5" s="151" t="str">
        <x:v>行号/节点</x:v>
      </x:c>
      <x:c r="F5" s="151" t="str">
        <x:v>证据口径</x:v>
      </x:c>
      <x:c r="G5" s="152" t="str">
        <x:v>影响的WBS/风险</x:v>
      </x:c>
    </x:row>
    <x:row r="6" ht="52" customHeight="1">
      <x:c r="A6" s="144" t="str">
        <x:v>E-001</x:v>
      </x:c>
      <x:c r="B6" s="144" t="str">
        <x:v>构建</x:v>
      </x:c>
      <x:c r="C6" s="144" t="str">
        <x:v>BYD入口为DEVELOP/KL15/FUNTEST_OFF/SYMMETRY</x:v>
      </x:c>
      <x:c r="D6" s="144" t="str">
        <x:v>D:/Project/CR60LightBYD/xxx/coem/BYD_UKE/buildscripts/build.bat</x:v>
      </x:c>
      <x:c r="E6" s="144" t="str">
        <x:v>61</x:v>
      </x:c>
      <x:c r="F6" s="144" t="str">
        <x:v>显式</x:v>
      </x:c>
      <x:c r="G6" s="144" t="str">
        <x:v>M0-02,R-001</x:v>
      </x:c>
    </x:row>
    <x:row r="7" ht="52" customHeight="1">
      <x:c r="A7" s="144" t="str">
        <x:v>E-002</x:v>
      </x:c>
      <x:c r="B7" s="144" t="str">
        <x:v>目标</x:v>
      </x:c>
      <x:c r="C7" s="144" t="str">
        <x:v>AWR2E44P与AUTOSAR/编译目标定义</x:v>
      </x:c>
      <x:c r="D7" s="144" t="str">
        <x:v>D:/Project/CR60LightBYD/xxx/settings.py</x:v>
      </x:c>
      <x:c r="E7" s="144" t="str">
        <x:v>8,30-45</x:v>
      </x:c>
      <x:c r="F7" s="144" t="str">
        <x:v>显式</x:v>
      </x:c>
      <x:c r="G7" s="144" t="str">
        <x:v>M0-03</x:v>
      </x:c>
    </x:row>
    <x:row r="8" ht="52" customHeight="1">
      <x:c r="A8" s="144" t="str">
        <x:v>E-003</x:v>
      </x:c>
      <x:c r="B8" s="144" t="str">
        <x:v>构建范围</x:v>
      </x:c>
      <x:c r="C8" s="144" t="str">
        <x:v>SYMMETRY选择adas/symmetry并编译BSW/RTE/ASW/mmwave/integration/COEM</x:v>
      </x:c>
      <x:c r="D8" s="144" t="str">
        <x:v>D:/Project/CR60LightBYD/xxx/SConstruct</x:v>
      </x:c>
      <x:c r="E8" s="144" t="str">
        <x:v>121-128,171-178</x:v>
      </x:c>
      <x:c r="F8" s="144" t="str">
        <x:v>显式</x:v>
      </x:c>
      <x:c r="G8" s="144" t="str">
        <x:v>M0-03,M1</x:v>
      </x:c>
    </x:row>
    <x:row r="9" ht="52" customHeight="1">
      <x:c r="A9" s="144" t="str">
        <x:v>E-004</x:v>
      </x:c>
      <x:c r="B9" s="144" t="str">
        <x:v>镜像</x:v>
      </x:c>
      <x:c r="C9" s="144" t="str">
        <x:v>M4为预编译xem4，R5链接DOA库</x:v>
      </x:c>
      <x:c r="D9" s="144" t="str">
        <x:v>D:/Project/CR60LightBYD/xxx/SConstruct</x:v>
      </x:c>
      <x:c r="E9" s="144" t="str">
        <x:v>276-285</x:v>
      </x:c>
      <x:c r="F9" s="144" t="str">
        <x:v>显式</x:v>
      </x:c>
      <x:c r="G9" s="144" t="str">
        <x:v>M0-07,M1-01</x:v>
      </x:c>
    </x:row>
    <x:row r="10" ht="52" customHeight="1">
      <x:c r="A10" s="144" t="str">
        <x:v>E-005</x:v>
      </x:c>
      <x:c r="B10" s="144" t="str">
        <x:v>镜像</x:v>
      </x:c>
      <x:c r="C10" s="144" t="str">
        <x:v>最终镜像核ID R5=0/M4=2/RSS=3</x:v>
      </x:c>
      <x:c r="D10" s="144" t="str">
        <x:v>D:/Project/CR60LightBYD/xxx/tools/ImageGen/ImageGen.py</x:v>
      </x:c>
      <x:c r="E10" s="144" t="str">
        <x:v>388-406</x:v>
      </x:c>
      <x:c r="F10" s="144" t="str">
        <x:v>显式</x:v>
      </x:c>
      <x:c r="G10" s="144" t="str">
        <x:v>M1-01</x:v>
      </x:c>
    </x:row>
    <x:row r="11" ht="52" customHeight="1">
      <x:c r="A11" s="144" t="str">
        <x:v>E-006</x:v>
      </x:c>
      <x:c r="B11" s="144" t="str">
        <x:v>启动</x:v>
      </x:c>
      <x:c r="C11" s="144" t="str">
        <x:v>EcuM外设/IPC/rbBlock初始化顺序</x:v>
      </x:c>
      <x:c r="D11" s="144" t="str">
        <x:v>D:/Project/CR60LightBYD/xxx/bswpf/autosar/EcuM/integration/EcuM_Callout_Stubs.c</x:v>
      </x:c>
      <x:c r="E11" s="144" t="str">
        <x:v>515-586</x:v>
      </x:c>
      <x:c r="F11" s="144" t="str">
        <x:v>显式</x:v>
      </x:c>
      <x:c r="G11" s="144" t="str">
        <x:v>M1-02,M1-10</x:v>
      </x:c>
    </x:row>
    <x:row r="12" ht="52" customHeight="1">
      <x:c r="A12" s="144" t="str">
        <x:v>E-007</x:v>
      </x:c>
      <x:c r="B12" s="144" t="str">
        <x:v>启动</x:v>
      </x:c>
      <x:c r="C12" s="144" t="str">
        <x:v>CUDA/CLDA/rbBlock成功后才启动雷达</x:v>
      </x:c>
      <x:c r="D12" s="144" t="str">
        <x:v>D:/Project/CR60LightBYD/xxx/integration/Os_Cbk_Idle.c</x:v>
      </x:c>
      <x:c r="E12" s="144" t="str">
        <x:v>87-93</x:v>
      </x:c>
      <x:c r="F12" s="144" t="str">
        <x:v>显式</x:v>
      </x:c>
      <x:c r="G12" s="144" t="str">
        <x:v>M1-11,R-012</x:v>
      </x:c>
    </x:row>
    <x:row r="13" ht="52" customHeight="1">
      <x:c r="A13" s="144" t="str">
        <x:v>E-008</x:v>
      </x:c>
      <x:c r="B13" s="144" t="str">
        <x:v>CUDA</x:v>
      </x:c>
      <x:c r="C13" s="144" t="str">
        <x:v>四位置EgoCar/RadarPos/CalibInput ID与长度</x:v>
      </x:c>
      <x:c r="D13" s="144" t="str">
        <x:v>D:/Project/CR60LightBYD/xxx/coem/BYD_UKE/components/rbBlock/rbBlock_CUDA_user.h</x:v>
      </x:c>
      <x:c r="E13" s="144" t="str">
        <x:v>11-44</x:v>
      </x:c>
      <x:c r="F13" s="144" t="str">
        <x:v>显式</x:v>
      </x:c>
      <x:c r="G13" s="144" t="str">
        <x:v>M1-11</x:v>
      </x:c>
    </x:row>
    <x:row r="14" ht="52" customHeight="1">
      <x:c r="A14" s="144" t="str">
        <x:v>E-009</x:v>
      </x:c>
      <x:c r="B14" s="144" t="str">
        <x:v>CLDA</x:v>
      </x:c>
      <x:c r="C14" s="144" t="str">
        <x:v>三个子块长度2048/1212/1172</x:v>
      </x:c>
      <x:c r="D14" s="144" t="str">
        <x:v>D:/Project/CR60LightBYD/xxx/bswpf/framework/rbBlock/scr/rbBlock.c</x:v>
      </x:c>
      <x:c r="E14" s="144" t="str">
        <x:v>34-40</x:v>
      </x:c>
      <x:c r="F14" s="144" t="str">
        <x:v>显式</x:v>
      </x:c>
      <x:c r="G14" s="144" t="str">
        <x:v>M1-11</x:v>
      </x:c>
    </x:row>
    <x:row r="15" ht="52" customHeight="1">
      <x:c r="A15" s="144" t="str">
        <x:v>E-010</x:v>
      </x:c>
      <x:c r="B15" s="144" t="str">
        <x:v>rbBlock</x:v>
      </x:c>
      <x:c r="C15" s="144" t="str">
        <x:v>CUDA/CLDA地址与长度</x:v>
      </x:c>
      <x:c r="D15" s="144" t="str">
        <x:v>D:/Project/CR60LightBYD/xxx/bswpf/framework/rbBlock/api/rbBlock.h</x:v>
      </x:c>
      <x:c r="E15" s="144" t="str">
        <x:v>45-50</x:v>
      </x:c>
      <x:c r="F15" s="144" t="str">
        <x:v>显式</x:v>
      </x:c>
      <x:c r="G15" s="144" t="str">
        <x:v>M1-11</x:v>
      </x:c>
    </x:row>
    <x:row r="16" ht="52" customHeight="1">
      <x:c r="A16" s="144" t="str">
        <x:v>E-011</x:v>
      </x:c>
      <x:c r="B16" s="144" t="str">
        <x:v>多核</x:v>
      </x:c>
      <x:c r="C16" s="144" t="str">
        <x:v>MSS/M4 boot寄存器握手</x:v>
      </x:c>
      <x:c r="D16" s="144" t="str">
        <x:v>D:/Project/CR60LightBYD/xxx/mmwave/mmw_common.c</x:v>
      </x:c>
      <x:c r="E16" s="144" t="str">
        <x:v>44-77</x:v>
      </x:c>
      <x:c r="F16" s="144" t="str">
        <x:v>显式</x:v>
      </x:c>
      <x:c r="G16" s="144" t="str">
        <x:v>M1-12</x:v>
      </x:c>
    </x:row>
    <x:row r="17" ht="52" customHeight="1">
      <x:c r="A17" s="144" t="str">
        <x:v>E-012</x:v>
      </x:c>
      <x:c r="B17" s="144" t="str">
        <x:v>多核</x:v>
      </x:c>
      <x:c r="C17" s="144" t="str">
        <x:v>M4等待无timeout</x:v>
      </x:c>
      <x:c r="D17" s="144" t="str">
        <x:v>D:/Project/CR60LightBYD/xxx/mmwave/mmw_main.c</x:v>
      </x:c>
      <x:c r="E17" s="144" t="str">
        <x:v>2783-2807</x:v>
      </x:c>
      <x:c r="F17" s="144" t="str">
        <x:v>显式</x:v>
      </x:c>
      <x:c r="G17" s="144" t="str">
        <x:v>M1-12,R-007</x:v>
      </x:c>
    </x:row>
    <x:row r="18" ht="52" customHeight="1">
      <x:c r="A18" s="144" t="str">
        <x:v>E-013</x:v>
      </x:c>
      <x:c r="B18" s="144" t="str">
        <x:v>IPC</x:v>
      </x:c>
      <x:c r="C18" s="144" t="str">
        <x:v>0x10/0x11/0x12消息解析与任务激活</x:v>
      </x:c>
      <x:c r="D18" s="144" t="str">
        <x:v>D:/Project/CR60LightBYD/xxx/rte/OsTask_MMW.c</x:v>
      </x:c>
      <x:c r="E18" s="144" t="str">
        <x:v>93-139</x:v>
      </x:c>
      <x:c r="F18" s="144" t="str">
        <x:v>显式</x:v>
      </x:c>
      <x:c r="G18" s="144" t="str">
        <x:v>M1-13</x:v>
      </x:c>
    </x:row>
    <x:row r="19" ht="52" customHeight="1">
      <x:c r="A19" s="144" t="str">
        <x:v>E-014</x:v>
      </x:c>
      <x:c r="B19" s="144" t="str">
        <x:v>IPC</x:v>
      </x:c>
      <x:c r="C19" s="144" t="str">
        <x:v>pre-start命令两次仅发0x11字节</x:v>
      </x:c>
      <x:c r="D19" s="144" t="str">
        <x:v>D:/Project/CR60LightBYD/xxx/mmwave/mmw_main.c</x:v>
      </x:c>
      <x:c r="E19" s="144" t="str">
        <x:v>1179-1197</x:v>
      </x:c>
      <x:c r="F19" s="144" t="str">
        <x:v>显式</x:v>
      </x:c>
      <x:c r="G19" s="144" t="str">
        <x:v>M0-07</x:v>
      </x:c>
    </x:row>
    <x:row r="20" ht="52" customHeight="1">
      <x:c r="A20" s="144" t="str">
        <x:v>E-015</x:v>
      </x:c>
      <x:c r="B20" s="144" t="str">
        <x:v>内存</x:v>
      </x:c>
      <x:c r="C20" s="144" t="str">
        <x:v>shared_mem/gheap/Mailbox布局</x:v>
      </x:c>
      <x:c r="D20" s="144" t="str">
        <x:v>D:/Project/CR60LightBYD/xxx/bswpf/ld/TPR12_MCU_LS.lds</x:v>
      </x:c>
      <x:c r="E20" s="144" t="str">
        <x:v>25-48,164-171</x:v>
      </x:c>
      <x:c r="F20" s="144" t="str">
        <x:v>显式</x:v>
      </x:c>
      <x:c r="G20" s="144" t="str">
        <x:v>M1-03,M1-14</x:v>
      </x:c>
    </x:row>
    <x:row r="21" ht="52" customHeight="1">
      <x:c r="A21" s="144" t="str">
        <x:v>E-016</x:v>
      </x:c>
      <x:c r="B21" s="144" t="str">
        <x:v>MPU</x:v>
      </x:c>
      <x:c r="C21" s="144" t="str">
        <x:v>共享内存non-cacheable/shareable</x:v>
      </x:c>
      <x:c r="D21" s="144" t="str">
        <x:v>D:/Project/CR60LightBYD/xxx/bswpf/mcal/MpuP_T/ti_dpl_config.c</x:v>
      </x:c>
      <x:c r="E21" s="144" t="str">
        <x:v>156-183</x:v>
      </x:c>
      <x:c r="F21" s="144" t="str">
        <x:v>显式</x:v>
      </x:c>
      <x:c r="G21" s="144" t="str">
        <x:v>M1-03,M1-14</x:v>
      </x:c>
    </x:row>
    <x:row r="22" ht="52" customHeight="1">
      <x:c r="A22" s="144" t="str">
        <x:v>E-017</x:v>
      </x:c>
      <x:c r="B22" s="144" t="str">
        <x:v>ADC</x:v>
      </x:c>
      <x:c r="C22" s="144" t="str">
        <x:v>ADCBuf ping/pong、threshold1、Rx offset</x:v>
      </x:c>
      <x:c r="D22" s="144" t="str">
        <x:v>D:/Project/CR60LightBYD/xxx/mmwave/mmw_adc/mmwdemo_adcconfig.c</x:v>
      </x:c>
      <x:c r="E22" s="144" t="str">
        <x:v>71-215</x:v>
      </x:c>
      <x:c r="F22" s="144" t="str">
        <x:v>显式</x:v>
      </x:c>
      <x:c r="G22" s="144" t="str">
        <x:v>M1-17</x:v>
      </x:c>
    </x:row>
    <x:row r="23" ht="52" customHeight="1">
      <x:c r="A23" s="144" t="str">
        <x:v>E-018</x:v>
      </x:c>
      <x:c r="B23" s="144" t="str">
        <x:v>DMA</x:v>
      </x:c>
      <x:c r="C23" s="144" t="str">
        <x:v>算法DMA通道/1104B AoA单元</x:v>
      </x:c>
      <x:c r="D23" s="144" t="str">
        <x:v>D:/Project/CR60LightBYD/xxx/adas/symmetry/eDMAinterface/cdd_doa_dma.c</x:v>
      </x:c>
      <x:c r="E23" s="144" t="str">
        <x:v>47-105</x:v>
      </x:c>
      <x:c r="F23" s="144" t="str">
        <x:v>显式</x:v>
      </x:c>
      <x:c r="G23" s="144" t="str">
        <x:v>M1-17</x:v>
      </x:c>
    </x:row>
    <x:row r="24" ht="52" customHeight="1">
      <x:c r="A24" s="144" t="str">
        <x:v>E-019</x:v>
      </x:c>
      <x:c r="B24" s="144" t="str">
        <x:v>算法</x:v>
      </x:c>
      <x:c r="C24" s="144" t="str">
        <x:v>Trigger66执行signal/perception/mapping</x:v>
      </x:c>
      <x:c r="D24" s="144" t="str">
        <x:v>D:/Project/CR60LightBYD/xxx/rte/OsTask_MMW.c</x:v>
      </x:c>
      <x:c r="E24" s="144" t="str">
        <x:v>242-334</x:v>
      </x:c>
      <x:c r="F24" s="144" t="str">
        <x:v>显式</x:v>
      </x:c>
      <x:c r="G24" s="144" t="str">
        <x:v>M1-18,M1-19</x:v>
      </x:c>
    </x:row>
    <x:row r="25" ht="52" customHeight="1">
      <x:c r="A25" s="144" t="str">
        <x:v>E-020</x:v>
      </x:c>
      <x:c r="B25" s="144" t="str">
        <x:v>算法</x:v>
      </x:c>
      <x:c r="C25" s="144" t="str">
        <x:v>time_get_us实际返回ms</x:v>
      </x:c>
      <x:c r="D25" s="144" t="str">
        <x:v>D:/Project/CR60LightBYD/xxx/adas/symmetry/dsp/signal_process.c</x:v>
      </x:c>
      <x:c r="E25" s="144" t="str">
        <x:v>58-72</x:v>
      </x:c>
      <x:c r="F25" s="144" t="str">
        <x:v>显式矛盾</x:v>
      </x:c>
      <x:c r="G25" s="144" t="str">
        <x:v>M1-18</x:v>
      </x:c>
    </x:row>
    <x:row r="26" ht="52" customHeight="1">
      <x:c r="A26" s="144" t="str">
        <x:v>E-021</x:v>
      </x:c>
      <x:c r="B26" s="144" t="str">
        <x:v>CAN输入</x:v>
      </x:c>
      <x:c r="C26" s="144" t="str">
        <x:v>车辆数据物理转换与映射</x:v>
      </x:c>
      <x:c r="D26" s="144" t="str">
        <x:v>D:/Project/CR60LightBYD/xxx/coem/BYD_UKE/components/AswIf/ASW_ComMapping/RteComMapping_Rx.c</x:v>
      </x:c>
      <x:c r="E26" s="144" t="str">
        <x:v>36-140</x:v>
      </x:c>
      <x:c r="F26" s="144" t="str">
        <x:v>显式</x:v>
      </x:c>
      <x:c r="G26" s="144" t="str">
        <x:v>M1-20</x:v>
      </x:c>
    </x:row>
    <x:row r="27" ht="52" customHeight="1">
      <x:c r="A27" s="144" t="str">
        <x:v>E-022</x:v>
      </x:c>
      <x:c r="B27" s="144" t="str">
        <x:v>帧锁存</x:v>
      </x:c>
      <x:c r="C27" s="144" t="str">
        <x:v>0x11锁存输入、0x10切换当前帧</x:v>
      </x:c>
      <x:c r="D27" s="144" t="str">
        <x:v>D:/Project/CR60LightBYD/xxx/asw/ASW_IN/ASWIN_InCalc.c</x:v>
      </x:c>
      <x:c r="E27" s="144" t="str">
        <x:v>41-84</x:v>
      </x:c>
      <x:c r="F27" s="144" t="str">
        <x:v>显式</x:v>
      </x:c>
      <x:c r="G27" s="144" t="str">
        <x:v>M1-20</x:v>
      </x:c>
    </x:row>
    <x:row r="28" ht="52" customHeight="1">
      <x:c r="A28" s="144" t="str">
        <x:v>E-023</x:v>
      </x:c>
      <x:c r="B28" s="144" t="str">
        <x:v>CAN输出</x:v>
      </x:c>
      <x:c r="C28" s="144" t="str">
        <x:v>位置相关Mapping到Com_SendSignal</x:v>
      </x:c>
      <x:c r="D28" s="144" t="str">
        <x:v>D:/Project/CR60LightBYD/xxx/coem/BYD_UKE/components/AswIf/ASW_ComMapping/RteComMapping_Tx.c</x:v>
      </x:c>
      <x:c r="E28" s="144" t="str">
        <x:v>198-250</x:v>
      </x:c>
      <x:c r="F28" s="144" t="str">
        <x:v>显式</x:v>
      </x:c>
      <x:c r="G28" s="144" t="str">
        <x:v>M1-21</x:v>
      </x:c>
    </x:row>
    <x:row r="29" ht="52" customHeight="1">
      <x:c r="A29" s="144" t="str">
        <x:v>E-024</x:v>
      </x:c>
      <x:c r="B29" s="144" t="str">
        <x:v>RF风险</x:v>
      </x:c>
      <x:c r="C29" s="144" t="str">
        <x:v>配置为CONTINUOUS</x:v>
      </x:c>
      <x:c r="D29" s="144" t="str">
        <x:v>D:/Project/CR60LightBYD/xxx/adas/symmetry/rfconfig/mmw_cli.c</x:v>
      </x:c>
      <x:c r="E29" s="144" t="str">
        <x:v>146</x:v>
      </x:c>
      <x:c r="F29" s="144" t="str">
        <x:v>显式矛盾</x:v>
      </x:c>
      <x:c r="G29" s="144" t="str">
        <x:v>R-002</x:v>
      </x:c>
    </x:row>
    <x:row r="30" ht="52" customHeight="1">
      <x:c r="A30" s="144" t="str">
        <x:v>E-025</x:v>
      </x:c>
      <x:c r="B30" s="144" t="str">
        <x:v>RF风险</x:v>
      </x:c>
      <x:c r="C30" s="144" t="str">
        <x:v>连续模式分支调用rlEnableContMode</x:v>
      </x:c>
      <x:c r="D30" s="144" t="str">
        <x:v>D:/Project/CR60LightBYD/xxx/adas/symmetry/rfconfig/mmwave_link_common.c</x:v>
      </x:c>
      <x:c r="E30" s="144" t="str">
        <x:v>11667-11672</x:v>
      </x:c>
      <x:c r="F30" s="144" t="str">
        <x:v>显式</x:v>
      </x:c>
      <x:c r="G30" s="144" t="str">
        <x:v>R-002</x:v>
      </x:c>
    </x:row>
    <x:row r="31" ht="52" customHeight="1">
      <x:c r="A31" s="144" t="str">
        <x:v>E-026</x:v>
      </x:c>
      <x:c r="B31" s="144" t="str">
        <x:v>调度风险</x:v>
      </x:c>
      <x:c r="C31" s="144" t="str">
        <x:v>TriggerWave激活被注释</x:v>
      </x:c>
      <x:c r="D31" s="144" t="str">
        <x:v>D:/Project/CR60LightBYD/xxx/rte/OsTask_MMW.c</x:v>
      </x:c>
      <x:c r="E31" s="144" t="str">
        <x:v>159-166</x:v>
      </x:c>
      <x:c r="F31" s="144" t="str">
        <x:v>显式矛盾</x:v>
      </x:c>
      <x:c r="G31" s="144" t="str">
        <x:v>R-003</x:v>
      </x:c>
    </x:row>
    <x:row r="32" ht="52" customHeight="1">
      <x:c r="A32" s="144" t="str">
        <x:v>E-027</x:v>
      </x:c>
      <x:c r="B32" s="144" t="str">
        <x:v>RF风险</x:v>
      </x:c>
      <x:c r="C32" s="144" t="str">
        <x:v>RF parser注释但读取输出</x:v>
      </x:c>
      <x:c r="D32" s="144" t="str">
        <x:v>D:/Project/CR60LightBYD/xxx/mmwave/mmw_main.c</x:v>
      </x:c>
      <x:c r="E32" s="144" t="str">
        <x:v>1457-1477,1556-1563</x:v>
      </x:c>
      <x:c r="F32" s="144" t="str">
        <x:v>显式矛盾</x:v>
      </x:c>
      <x:c r="G32" s="144" t="str">
        <x:v>R-004</x:v>
      </x:c>
    </x:row>
    <x:row r="33" ht="52" customHeight="1">
      <x:c r="A33" s="144" t="str">
        <x:v>E-028</x:v>
      </x:c>
      <x:c r="B33" s="144" t="str">
        <x:v>构建风险</x:v>
      </x:c>
      <x:c r="C33" s="144" t="str">
        <x:v>调用缺失genMCAL/postGenMCAL</x:v>
      </x:c>
      <x:c r="D33" s="144" t="str">
        <x:v>D:/Project/CR60LightBYD/xxx/coem/BYD_UKE/buildscripts/build.bat</x:v>
      </x:c>
      <x:c r="E33" s="144" t="str">
        <x:v>31-49</x:v>
      </x:c>
      <x:c r="F33" s="144" t="str">
        <x:v>显式</x:v>
      </x:c>
      <x:c r="G33" s="144" t="str">
        <x:v>R-008</x:v>
      </x:c>
    </x:row>
    <x:row r="34" ht="52" customHeight="1">
      <x:c r="A34" s="144" t="str">
        <x:v>E-029</x:v>
      </x:c>
      <x:c r="B34" s="144" t="str">
        <x:v>生成风险</x:v>
      </x:c>
      <x:c r="C34" s="144" t="str">
        <x:v>RTE生成物含旧BAIC路径/warnings</x:v>
      </x:c>
      <x:c r="D34" s="144" t="str">
        <x:v>D:/Project/CR60LightBYD/xxx/coem/BYD_UKE/gen_rte/RteErr.xml</x:v>
      </x:c>
      <x:c r="E34" s="144" t="str">
        <x:v>文件全局</x:v>
      </x:c>
      <x:c r="F34" s="144" t="str">
        <x:v>显式</x:v>
      </x:c>
      <x:c r="G34" s="144" t="str">
        <x:v>R-010</x:v>
      </x:c>
    </x:row>
    <x:row r="35" ht="52" customHeight="1">
      <x:c r="A35" s="144" t="str">
        <x:v>E-030</x:v>
      </x:c>
      <x:c r="B35" s="144" t="str">
        <x:v>NvM</x:v>
      </x:c>
      <x:c r="C35" s="144" t="str">
        <x:v>persistent ID映射与105项descriptor</x:v>
      </x:c>
      <x:c r="D35" s="144" t="str">
        <x:v>D:/Project/CR60LightBYD/xxx/coem/BYD_UKE/gen_bsw/NvM/NvM_Cfg.c</x:v>
      </x:c>
      <x:c r="E35" s="144" t="str">
        <x:v>1176,1303</x:v>
      </x:c>
      <x:c r="F35" s="144" t="str">
        <x:v>显式</x:v>
      </x:c>
      <x:c r="G35" s="144" t="str">
        <x:v>M2-05</x:v>
      </x:c>
    </x:row>
    <x:row r="36" ht="52" customHeight="1">
      <x:c r="A36" s="144" t="str">
        <x:v>E-031</x:v>
      </x:c>
      <x:c r="B36" s="144" t="str">
        <x:v>NvM</x:v>
      </x:c>
      <x:c r="C36" s="144" t="str">
        <x:v>长度与RAM指针表</x:v>
      </x:c>
      <x:c r="D36" s="144" t="str">
        <x:v>D:/Project/CR60LightBYD/xxx/coem/BYD_UKE/gen_bsw/NvM/NvM_Cfg.c</x:v>
      </x:c>
      <x:c r="E36" s="144" t="str">
        <x:v>4871,4984</x:v>
      </x:c>
      <x:c r="F36" s="144" t="str">
        <x:v>显式</x:v>
      </x:c>
      <x:c r="G36" s="144" t="str">
        <x:v>M2-05</x:v>
      </x:c>
    </x:row>
    <x:row r="37" ht="52" customHeight="1">
      <x:c r="A37" s="144" t="str">
        <x:v>E-032</x:v>
      </x:c>
      <x:c r="B37" s="144" t="str">
        <x:v>Fee</x:v>
      </x:c>
      <x:c r="C37" s="144" t="str">
        <x:v>103业务块与冗余索引</x:v>
      </x:c>
      <x:c r="D37" s="144" t="str">
        <x:v>D:/Project/CR60LightBYD/xxx/coem/BYD_UKE/gen_bsw/Fee/rba_FeeFs1x_Prv_Cfg.c</x:v>
      </x:c>
      <x:c r="E37" s="144" t="str">
        <x:v>39-159</x:v>
      </x:c>
      <x:c r="F37" s="144" t="str">
        <x:v>显式</x:v>
      </x:c>
      <x:c r="G37" s="144" t="str">
        <x:v>M2-06</x:v>
      </x:c>
    </x:row>
    <x:row r="38" ht="52" customHeight="1">
      <x:c r="A38" s="144" t="str">
        <x:v>E-033</x:v>
      </x:c>
      <x:c r="B38" s="144" t="str">
        <x:v>Fee</x:v>
      </x:c>
      <x:c r="C38" s="144" t="str">
        <x:v>双Bank地址/大小/erase value</x:v>
      </x:c>
      <x:c r="D38" s="144" t="str">
        <x:v>D:/Project/CR60LightBYD/xxx/coem/BYD_UKE/gen_bsw/Fee/rba_FeeFs1x_Prv_Cfg.h</x:v>
      </x:c>
      <x:c r="E38" s="144" t="str">
        <x:v>68,77-86</x:v>
      </x:c>
      <x:c r="F38" s="144" t="str">
        <x:v>显式</x:v>
      </x:c>
      <x:c r="G38" s="144" t="str">
        <x:v>M2-06</x:v>
      </x:c>
    </x:row>
    <x:row r="39" ht="52" customHeight="1">
      <x:c r="A39" s="144" t="str">
        <x:v>E-034</x:v>
      </x:c>
      <x:c r="B39" s="144" t="str">
        <x:v>Fls</x:v>
      </x:c>
      <x:c r="C39" s="144" t="str">
        <x:v>4MiB sector、page8、max read/write768</x:v>
      </x:c>
      <x:c r="D39" s="144" t="str">
        <x:v>D:/Project/CR60LightBYD/xxx/coem/BYD_UKE/gen_mcal/src/Fls_PBcfg.c</x:v>
      </x:c>
      <x:c r="E39" s="144" t="str">
        <x:v>63-81</x:v>
      </x:c>
      <x:c r="F39" s="144" t="str">
        <x:v>显式</x:v>
      </x:c>
      <x:c r="G39" s="144" t="str">
        <x:v>M1-07</x:v>
      </x:c>
    </x:row>
    <x:row r="40" ht="52" customHeight="1">
      <x:c r="A40" s="144" t="str">
        <x:v>E-035</x:v>
      </x:c>
      <x:c r="B40" s="144" t="str">
        <x:v>Dcm</x:v>
      </x:c>
      <x:c r="C40" s="144" t="str">
        <x:v>服务表启用项</x:v>
      </x:c>
      <x:c r="D40" s="144" t="str">
        <x:v>D:/Project/CR60LightBYD/xxx/coem/BYD_UKE/gen_bsw/Dcm/Dcm_Lcfg_Dsd.c</x:v>
      </x:c>
      <x:c r="E40" s="144" t="str">
        <x:v>367-556</x:v>
      </x:c>
      <x:c r="F40" s="144" t="str">
        <x:v>显式</x:v>
      </x:c>
      <x:c r="G40" s="144" t="str">
        <x:v>M2-09</x:v>
      </x:c>
    </x:row>
    <x:row r="41" ht="52" customHeight="1">
      <x:c r="A41" s="144" t="str">
        <x:v>E-036</x:v>
      </x:c>
      <x:c r="B41" s="144" t="str">
        <x:v>Dcm</x:v>
      </x:c>
      <x:c r="C41" s="144" t="str">
        <x:v>5 session和P2/P2*</x:v>
      </x:c>
      <x:c r="D41" s="144" t="str">
        <x:v>D:/Project/CR60LightBYD/xxx/coem/BYD_UKE/gen_bsw/Dcm/Dcm_Lcfg_DspUds.c</x:v>
      </x:c>
      <x:c r="E41" s="144" t="str">
        <x:v>44-91</x:v>
      </x:c>
      <x:c r="F41" s="144" t="str">
        <x:v>显式</x:v>
      </x:c>
      <x:c r="G41" s="144" t="str">
        <x:v>M2-09</x:v>
      </x:c>
    </x:row>
    <x:row r="42" ht="52" customHeight="1">
      <x:c r="A42" s="144" t="str">
        <x:v>E-037</x:v>
      </x:c>
      <x:c r="B42" s="144" t="str">
        <x:v>Dcm</x:v>
      </x:c>
      <x:c r="C42" s="144" t="str">
        <x:v>3安全等级参数</x:v>
      </x:c>
      <x:c r="D42" s="144" t="str">
        <x:v>D:/Project/CR60LightBYD/xxx/coem/BYD_UKE/gen_bsw/Dcm/Dcm_Lcfg_DspUds.c</x:v>
      </x:c>
      <x:c r="E42" s="144" t="str">
        <x:v>102-181</x:v>
      </x:c>
      <x:c r="F42" s="144" t="str">
        <x:v>显式</x:v>
      </x:c>
      <x:c r="G42" s="144" t="str">
        <x:v>M2-12</x:v>
      </x:c>
    </x:row>
    <x:row r="43" ht="52" customHeight="1">
      <x:c r="A43" s="144" t="str">
        <x:v>E-038</x:v>
      </x:c>
      <x:c r="B43" s="144" t="str">
        <x:v>Dcm</x:v>
      </x:c>
      <x:c r="C43" s="144" t="str">
        <x:v>48 DID表与policy</x:v>
      </x:c>
      <x:c r="D43" s="144" t="str">
        <x:v>D:/Project/CR60LightBYD/xxx/coem/BYD_UKE/gen_bsw/Dcm/Dcm_Lcfg_DspUds.c</x:v>
      </x:c>
      <x:c r="E43" s="144" t="str">
        <x:v>2921-3005</x:v>
      </x:c>
      <x:c r="F43" s="144" t="str">
        <x:v>显式</x:v>
      </x:c>
      <x:c r="G43" s="144" t="str">
        <x:v>M2-10</x:v>
      </x:c>
    </x:row>
    <x:row r="44" ht="52" customHeight="1">
      <x:c r="A44" s="144" t="str">
        <x:v>E-039</x:v>
      </x:c>
      <x:c r="B44" s="144" t="str">
        <x:v>Dem</x:v>
      </x:c>
      <x:c r="C44" s="144" t="str">
        <x:v>217 Event</x:v>
      </x:c>
      <x:c r="D44" s="144" t="str">
        <x:v>D:/Project/CR60LightBYD/xxx/coem/BYD_UKE/gen_bsw/Dem/Dem_Cfg_EventId.h</x:v>
      </x:c>
      <x:c r="E44" s="144" t="str">
        <x:v>24-25</x:v>
      </x:c>
      <x:c r="F44" s="144" t="str">
        <x:v>显式</x:v>
      </x:c>
      <x:c r="G44" s="144" t="str">
        <x:v>M2-08</x:v>
      </x:c>
    </x:row>
    <x:row r="45" ht="52" customHeight="1">
      <x:c r="A45" s="144" t="str">
        <x:v>E-040</x:v>
      </x:c>
      <x:c r="B45" s="144" t="str">
        <x:v>Dem</x:v>
      </x:c>
      <x:c r="C45" s="144" t="str">
        <x:v>59 DTC及severity</x:v>
      </x:c>
      <x:c r="D45" s="144" t="str">
        <x:v>D:/Project/CR60LightBYD/xxx/coem/BYD_UKE/gen_bsw/Dem/Dem_Cfg_DTC_DataStructures.c</x:v>
      </x:c>
      <x:c r="E45" s="144" t="str">
        <x:v>24-149</x:v>
      </x:c>
      <x:c r="F45" s="144" t="str">
        <x:v>显式</x:v>
      </x:c>
      <x:c r="G45" s="144" t="str">
        <x:v>M2-08</x:v>
      </x:c>
    </x:row>
    <x:row r="46" ht="52" customHeight="1">
      <x:c r="A46" s="144" t="str">
        <x:v>E-041</x:v>
      </x:c>
      <x:c r="B46" s="144" t="str">
        <x:v>Dem</x:v>
      </x:c>
      <x:c r="C46" s="144" t="str">
        <x:v>主存储40/aging/occurrence/无displacement</x:v>
      </x:c>
      <x:c r="D46" s="144" t="str">
        <x:v>D:/Project/CR60LightBYD/xxx/coem/BYD_UKE/gen_bsw/Dem/Dem_Cfg_EvMem.h</x:v>
      </x:c>
      <x:c r="E46" s="144" t="str">
        <x:v>39-143</x:v>
      </x:c>
      <x:c r="F46" s="144" t="str">
        <x:v>显式</x:v>
      </x:c>
      <x:c r="G46" s="144" t="str">
        <x:v>M2-08</x:v>
      </x:c>
    </x:row>
    <x:row r="47" ht="52" customHeight="1">
      <x:c r="A47" s="144" t="str">
        <x:v>E-042</x:v>
      </x:c>
      <x:c r="B47" s="144" t="str">
        <x:v>CanIf</x:v>
      </x:c>
      <x:c r="C47" s="144" t="str">
        <x:v>38 Tx/70 Rx/2控制器</x:v>
      </x:c>
      <x:c r="D47" s="144" t="str">
        <x:v>D:/Project/CR60LightBYD/xxx/coem/BYD_UKE/gen_bsw/CanIf/CanIf_Cfg.h</x:v>
      </x:c>
      <x:c r="E47" s="144" t="str">
        <x:v>113,252,342</x:v>
      </x:c>
      <x:c r="F47" s="144" t="str">
        <x:v>显式</x:v>
      </x:c>
      <x:c r="G47" s="144" t="str">
        <x:v>M2-01</x:v>
      </x:c>
    </x:row>
    <x:row r="48" ht="52" customHeight="1">
      <x:c r="A48" s="144" t="str">
        <x:v>E-043</x:v>
      </x:c>
      <x:c r="B48" s="144" t="str">
        <x:v>Com</x:v>
      </x:c>
      <x:c r="C48" s="144" t="str">
        <x:v>687 Rx/770 Tx signal、0 group、34/64 I-PDU</x:v>
      </x:c>
      <x:c r="D48" s="144" t="str">
        <x:v>D:/Project/CR60LightBYD/xxx/coem/BYD_UKE/gen_bsw/Com/Com_PBcfg_Variant.h</x:v>
      </x:c>
      <x:c r="E48" s="144" t="str">
        <x:v>41-67</x:v>
      </x:c>
      <x:c r="F48" s="144" t="str">
        <x:v>显式</x:v>
      </x:c>
      <x:c r="G48" s="144" t="str">
        <x:v>M2-01,M2-02</x:v>
      </x:c>
    </x:row>
    <x:row r="49" ht="52" customHeight="1">
      <x:c r="A49" s="144" t="str">
        <x:v>E-044</x:v>
      </x:c>
      <x:c r="B49" s="144" t="str">
        <x:v>CanNm</x:v>
      </x:c>
      <x:c r="C49" s="144" t="str">
        <x:v>周期/timeout/immediate/NodeID</x:v>
      </x:c>
      <x:c r="D49" s="144" t="str">
        <x:v>D:/Project/CR60LightBYD/xxx/coem/BYD_UKE/gen_bsw/CanNm_PreCompile_and_PB_Variant/CanNm_PBcfg.c</x:v>
      </x:c>
      <x:c r="E49" s="144" t="str">
        <x:v>40-95</x:v>
      </x:c>
      <x:c r="F49" s="144" t="str">
        <x:v>显式</x:v>
      </x:c>
      <x:c r="G49" s="144" t="str">
        <x:v>M2-03</x:v>
      </x:c>
    </x:row>
    <x:row r="50" ht="52" customHeight="1">
      <x:c r="A50" s="144" t="str">
        <x:v>E-045</x:v>
      </x:c>
      <x:c r="B50" s="144" t="str">
        <x:v>TimeSync</x:v>
      </x:c>
      <x:c r="C50" s="144" t="str">
        <x:v>1 master/2 slave配置</x:v>
      </x:c>
      <x:c r="D50" s="144" t="str">
        <x:v>D:/Project/CR60LightBYD/xxx/coem/BYD_UKE/gen_bsw/CanTSyn/CanTSyn_PBcfg.c</x:v>
      </x:c>
      <x:c r="E50" s="144" t="str">
        <x:v>82-138</x:v>
      </x:c>
      <x:c r="F50" s="144" t="str">
        <x:v>显式</x:v>
      </x:c>
      <x:c r="G50" s="144" t="str">
        <x:v>M1-16,M2-04</x:v>
      </x:c>
    </x:row>
    <x:row r="51" ht="52" customHeight="1">
      <x:c r="A51" s="144" t="str">
        <x:v>E-046</x:v>
      </x:c>
      <x:c r="B51" s="144" t="str">
        <x:v>Wdg</x:v>
      </x:c>
      <x:c r="C51" s="144" t="str">
        <x:v>WdgM应用checkpoint/控制被#if 0</x:v>
      </x:c>
      <x:c r="D51" s="144" t="str">
        <x:v>D:/Project/CR60LightBYD/xxx/asw/ASW_WDG/src/ASW_WDG.c</x:v>
      </x:c>
      <x:c r="E51" s="144" t="str">
        <x:v>56-251</x:v>
      </x:c>
      <x:c r="F51" s="144" t="str">
        <x:v>显式</x:v>
      </x:c>
      <x:c r="G51" s="144" t="str">
        <x:v>M1-23,R-017</x:v>
      </x:c>
    </x:row>
    <x:row r="52" ht="52" customHeight="1">
      <x:c r="A52" s="144" t="str">
        <x:v>E-047</x:v>
      </x:c>
      <x:c r="B52" s="144" t="str">
        <x:v>Wdg</x:v>
      </x:c>
      <x:c r="C52" s="144" t="str">
        <x:v>独立PMIC FuSa watchdog回调/计数</x:v>
      </x:c>
      <x:c r="D52" s="144" t="str">
        <x:v>D:/Project/CR60LightBYD/xxx/bswpf/cdd/WDGDrv/FUSA_WDGDrv.c</x:v>
      </x:c>
      <x:c r="E52" s="144" t="str">
        <x:v>47-134</x:v>
      </x:c>
      <x:c r="F52" s="144" t="str">
        <x:v>显式</x:v>
      </x:c>
      <x:c r="G52" s="144" t="str">
        <x:v>M1-23</x:v>
      </x:c>
    </x:row>
    <x:row r="53" ht="52" customHeight="1">
      <x:c r="A53" s="144" t="str">
        <x:v>E-048</x:v>
      </x:c>
      <x:c r="B53" s="144" t="str">
        <x:v>XCP</x:v>
      </x:c>
      <x:c r="C53" s="144" t="str">
        <x:v>seed/key文件声明需重做且为固定样例</x:v>
      </x:c>
      <x:c r="D53" s="144" t="str">
        <x:v>D:/Project/CR60LightBYD/xxx/bswpf/autosar/Xcp/integration/Xcp_SeedAndKey.c</x:v>
      </x:c>
      <x:c r="E53" s="144" t="str">
        <x:v>14-23,61-181</x:v>
      </x:c>
      <x:c r="F53" s="144" t="str">
        <x:v>显式</x:v>
      </x:c>
      <x:c r="G53" s="144" t="str">
        <x:v>M2-17,R-018</x:v>
      </x:c>
    </x:row>
    <x:row r="54" ht="52" customHeight="1">
      <x:c r="A54" s="144" t="str">
        <x:v>E-049</x:v>
      </x:c>
      <x:c r="B54" s="144" t="str">
        <x:v>XCP</x:v>
      </x:c>
      <x:c r="C54" s="144" t="str">
        <x:v>内存读写保护关闭</x:v>
      </x:c>
      <x:c r="D54" s="144" t="str">
        <x:v>D:/Project/CR60LightBYD/xxx/coem/BYD_UKE/gen_bsw/Xcp/Xcp_Cfg.h</x:v>
      </x:c>
      <x:c r="E54" s="144" t="str">
        <x:v>152-175</x:v>
      </x:c>
      <x:c r="F54" s="144" t="str">
        <x:v>显式</x:v>
      </x:c>
      <x:c r="G54" s="144" t="str">
        <x:v>M2-17,R-018</x:v>
      </x:c>
    </x:row>
    <x:row r="55" ht="52" customHeight="1">
      <x:c r="A55" s="144" t="str">
        <x:v>E-050</x:v>
      </x:c>
      <x:c r="B55" s="144" t="str">
        <x:v>Boot</x:v>
      </x:c>
      <x:c r="C55" s="144" t="str">
        <x:v>容器memory map</x:v>
      </x:c>
      <x:c r="D55" s="144" t="str">
        <x:v>D:/Project/CR60LightBYD/xxx/tools/ContainerGen/ContainerGen.py</x:v>
      </x:c>
      <x:c r="E55" s="144" t="str">
        <x:v>38-66</x:v>
      </x:c>
      <x:c r="F55" s="144" t="str">
        <x:v>显式</x:v>
      </x:c>
      <x:c r="G55" s="144" t="str">
        <x:v>BT-02</x:v>
      </x:c>
    </x:row>
    <x:row r="56" ht="52" customHeight="1">
      <x:c r="A56" s="144" t="str">
        <x:v>E-051</x:v>
      </x:c>
      <x:c r="B56" s="144" t="str">
        <x:v>安全</x:v>
      </x:c>
      <x:c r="C56" s="144" t="str">
        <x:v>SHA512/RSA/AES-GCM与生命周期</x:v>
      </x:c>
      <x:c r="D56" s="144" t="str">
        <x:v>D:/Project/CR60LightBYD/xxx/bswpf/framework/pf_Sec/rbSecBoot/src/rbSecBoot.c</x:v>
      </x:c>
      <x:c r="E56" s="144" t="str">
        <x:v>178-403</x:v>
      </x:c>
      <x:c r="F56" s="144" t="str">
        <x:v>显式</x:v>
      </x:c>
      <x:c r="G56" s="144" t="str">
        <x:v>M2-21,BT-04</x:v>
      </x:c>
    </x:row>
    <x:row r="57" ht="52" customHeight="1">
      <x:c r="A57" s="144" t="str">
        <x:v>E-052</x:v>
      </x:c>
      <x:c r="B57" s="144" t="str">
        <x:v>签名</x:v>
      </x:c>
      <x:c r="C57" s="144" t="str">
        <x:v>efused路径调用外部KMS</x:v>
      </x:c>
      <x:c r="D57" s="144" t="str">
        <x:v>D:/Project/CR60LightBYD/xxx/tools/ContainerGen/BlockProcessor.py</x:v>
      </x:c>
      <x:c r="E57" s="144" t="str">
        <x:v>548-629</x:v>
      </x:c>
      <x:c r="F57" s="144" t="str">
        <x:v>显式</x:v>
      </x:c>
      <x:c r="G57" s="144" t="str">
        <x:v>M2-21,BT-04</x:v>
      </x:c>
    </x:row>
    <x:row r="58" ht="52" customHeight="1">
      <x:c r="A58" s="144" t="str">
        <x:v>E-053</x:v>
      </x:c>
      <x:c r="B58" s="144" t="str">
        <x:v>网络缺陷</x:v>
      </x:c>
      <x:c r="C58" s="144" t="str">
        <x:v>0x49A逻辑使用12D flag</x:v>
      </x:c>
      <x:c r="D58" s="144" t="str">
        <x:v>D:/Project/CR60LightBYD/xxx/coem/BYD_UKE/components/com/src/net_X_Mngmt.c</x:v>
      </x:c>
      <x:c r="E58" s="144" t="str">
        <x:v>137-156</x:v>
      </x:c>
      <x:c r="F58" s="144" t="str">
        <x:v>显式疑点</x:v>
      </x:c>
      <x:c r="G58" s="144" t="str">
        <x:v>M2-25,R-023</x:v>
      </x:c>
    </x:row>
    <x:row r="59" ht="52" customHeight="1">
      <x:c r="A59" s="144" t="str">
        <x:v>E-054</x:v>
      </x:c>
      <x:c r="B59" s="144" t="str">
        <x:v>休眠</x:v>
      </x:c>
      <x:c r="C59" s="144" t="str">
        <x:v>约3s LCM到BswM/EcuM GoDown路径</x:v>
      </x:c>
      <x:c r="D59" s="144" t="str">
        <x:v>D:/Project/CR60LightBYD/xxx/bswpf/framework/pf_LCM/pf_LCM.c</x:v>
      </x:c>
      <x:c r="E59" s="144" t="str">
        <x:v>23-32</x:v>
      </x:c>
      <x:c r="F59" s="144" t="str">
        <x:v>显式/计算</x:v>
      </x:c>
      <x:c r="G59" s="144" t="str">
        <x:v>M3-06</x:v>
      </x:c>
    </x:row>
    <x:row r="60" ht="52" customHeight="1">
      <x:c r="A60" s="144" t="str">
        <x:v>E-055</x:v>
      </x:c>
      <x:c r="B60" s="144" t="str">
        <x:v>CI</x:v>
      </x:c>
      <x:c r="C60" s="144" t="str">
        <x:v>主UT列表与客户模块列表规模差异</x:v>
      </x:c>
      <x:c r="D60" s="144" t="str">
        <x:v>D:/Project/CR60LightBYD/xxx/unittest/unittest_list.json</x:v>
      </x:c>
      <x:c r="E60" s="144" t="str">
        <x:v>文件全局</x:v>
      </x:c>
      <x:c r="F60" s="144" t="str">
        <x:v>显式</x:v>
      </x:c>
      <x:c r="G60" s="144" t="str">
        <x:v>M2-26,R-024</x:v>
      </x:c>
    </x:row>
    <x:row r="61" ht="52" customHeight="1">
      <x:c r="A61" s="144" t="str">
        <x:v>E-056</x:v>
      </x:c>
      <x:c r="B61" s="144" t="str">
        <x:v>发布</x:v>
      </x:c>
      <x:c r="C61" s="144" t="str">
        <x:v>归档/HW job制品路径与允许空归档</x:v>
      </x:c>
      <x:c r="D61" s="144" t="str">
        <x:v>D:/Project/CR60LightBYD/xxx/jenkins</x:v>
      </x:c>
      <x:c r="E61" s="144" t="str">
        <x:v>build.yaml/hw_test.yaml节点</x:v>
      </x:c>
      <x:c r="F61" s="144" t="str">
        <x:v>显式</x:v>
      </x:c>
      <x:c r="G61" s="144" t="str">
        <x:v>M3-01,R-025</x:v>
      </x:c>
    </x:row>
    <x:row r="62" ht="52" customHeight="1">
      <x:c r="A62" s="144" t="str">
        <x:v>HASH-01</x:v>
      </x:c>
      <x:c r="B62" s="144" t="str">
        <x:v>证据快照哈希</x:v>
      </x:c>
      <x:c r="C62" s="144" t="str">
        <x:v>文件大小=6580 Byte；SHA-256=c17d4261edc7b86f88b0fd1384c7dff83a2fa613ffeb6ba4127731892a95ef27</x:v>
      </x:c>
      <x:c r="D62" s="144" t="str">
        <x:v>D:/Project/CR60LightBYD/xxx/scons_gen.bat</x:v>
      </x:c>
      <x:c r="E62" s="144" t="str">
        <x:v>文件全量</x:v>
      </x:c>
      <x:c r="F62" s="144" t="str">
        <x:v>SHA-256快照绑定</x:v>
      </x:c>
      <x:c r="G62" s="144" t="str">
        <x:v>全工作簿/版本追溯</x:v>
      </x:c>
    </x:row>
    <x:row r="63" ht="52" customHeight="1">
      <x:c r="A63" s="144" t="str">
        <x:v>HASH-02</x:v>
      </x:c>
      <x:c r="B63" s="144" t="str">
        <x:v>证据快照哈希</x:v>
      </x:c>
      <x:c r="C63" s="144" t="str">
        <x:v>文件大小=24640 Byte；SHA-256=f2c7e87864090c35cc6cbd6d850be5abc950a492b0cee6bfa6d5f47484bb64ee</x:v>
      </x:c>
      <x:c r="D63" s="144" t="str">
        <x:v>D:/Project/CR60LightBYD/xxx/SConstruct</x:v>
      </x:c>
      <x:c r="E63" s="144" t="str">
        <x:v>文件全量</x:v>
      </x:c>
      <x:c r="F63" s="144" t="str">
        <x:v>SHA-256快照绑定</x:v>
      </x:c>
      <x:c r="G63" s="144" t="str">
        <x:v>全工作簿/版本追溯</x:v>
      </x:c>
    </x:row>
    <x:row r="64" ht="52" customHeight="1">
      <x:c r="A64" s="144" t="str">
        <x:v>HASH-03</x:v>
      </x:c>
      <x:c r="B64" s="144" t="str">
        <x:v>证据快照哈希</x:v>
      </x:c>
      <x:c r="C64" s="144" t="str">
        <x:v>文件大小=3459 Byte；SHA-256=e2c69db402dde66c402dbc30f0690c9ea20fe14739931b09f30d21ebbc57c73b</x:v>
      </x:c>
      <x:c r="D64" s="144" t="str">
        <x:v>D:/Project/CR60LightBYD/xxx/coem/BYD_UKE/buildscripts/build.bat</x:v>
      </x:c>
      <x:c r="E64" s="144" t="str">
        <x:v>文件全量</x:v>
      </x:c>
      <x:c r="F64" s="144" t="str">
        <x:v>SHA-256快照绑定</x:v>
      </x:c>
      <x:c r="G64" s="144" t="str">
        <x:v>全工作簿/版本追溯</x:v>
      </x:c>
    </x:row>
    <x:row r="65" ht="52" customHeight="1">
      <x:c r="A65" s="144" t="str">
        <x:v>HASH-04</x:v>
      </x:c>
      <x:c r="B65" s="144" t="str">
        <x:v>证据快照哈希</x:v>
      </x:c>
      <x:c r="C65" s="144" t="str">
        <x:v>文件大小=374137 Byte；SHA-256=cdaac8f648df894fc68be1aaee0a1c97cf326327d19db92cd89b49b982e5e709</x:v>
      </x:c>
      <x:c r="D65" s="144" t="str">
        <x:v>D:/Project/CR60LightBYD/xxx/coem/BYD_UKE/gen_bsw/NvM/NvM_Cfg.c</x:v>
      </x:c>
      <x:c r="E65" s="144" t="str">
        <x:v>文件全量</x:v>
      </x:c>
      <x:c r="F65" s="144" t="str">
        <x:v>SHA-256快照绑定</x:v>
      </x:c>
      <x:c r="G65" s="144" t="str">
        <x:v>全工作簿/版本追溯</x:v>
      </x:c>
    </x:row>
    <x:row r="66" ht="52" customHeight="1">
      <x:c r="A66" s="144" t="str">
        <x:v>HASH-05</x:v>
      </x:c>
      <x:c r="B66" s="144" t="str">
        <x:v>证据快照哈希</x:v>
      </x:c>
      <x:c r="C66" s="144" t="str">
        <x:v>文件大小=17814 Byte；SHA-256=0407b664028407415b8823dad3bcf0ee1a07527fe86b1cb304a48e936607e1e5</x:v>
      </x:c>
      <x:c r="D66" s="144" t="str">
        <x:v>D:/Project/CR60LightBYD/xxx/coem/BYD_UKE/gen_bsw/Dem/Dem_Cfg_EventId.h</x:v>
      </x:c>
      <x:c r="E66" s="144" t="str">
        <x:v>文件全量</x:v>
      </x:c>
      <x:c r="F66" s="144" t="str">
        <x:v>SHA-256快照绑定</x:v>
      </x:c>
      <x:c r="G66" s="144" t="str">
        <x:v>全工作簿/版本追溯</x:v>
      </x:c>
    </x:row>
    <x:row r="67" ht="52" customHeight="1">
      <x:c r="A67" s="144" t="str">
        <x:v>HASH-06</x:v>
      </x:c>
      <x:c r="B67" s="144" t="str">
        <x:v>证据快照哈希</x:v>
      </x:c>
      <x:c r="C67" s="144" t="str">
        <x:v>文件大小=61357 Byte；SHA-256=d323ac0679052aedb5a9a49e4de92617c2890ee58dfd1c4a18395e8136b84787</x:v>
      </x:c>
      <x:c r="D67" s="144" t="str">
        <x:v>D:/Project/CR60LightBYD/xxx/coem/BYD_UKE/gen_bsw/Dem/Dem_Cfg_DtcId.h</x:v>
      </x:c>
      <x:c r="E67" s="144" t="str">
        <x:v>文件全量</x:v>
      </x:c>
      <x:c r="F67" s="144" t="str">
        <x:v>SHA-256快照绑定</x:v>
      </x:c>
      <x:c r="G67" s="144" t="str">
        <x:v>全工作簿/版本追溯</x:v>
      </x:c>
    </x:row>
    <x:row r="68" ht="52" customHeight="1">
      <x:c r="A68" s="144" t="str">
        <x:v>HASH-07</x:v>
      </x:c>
      <x:c r="B68" s="144" t="str">
        <x:v>证据快照哈希</x:v>
      </x:c>
      <x:c r="C68" s="144" t="str">
        <x:v>文件大小=136076 Byte；SHA-256=08dbcbb9499d48423c977b89366cc04d51a4767720f7f4b7949ea834d88b690a</x:v>
      </x:c>
      <x:c r="D68" s="144" t="str">
        <x:v>D:/Project/CR60LightBYD/xxx/coem/BYD_UKE/gen_bsw/Com/Com_Cfg_SymbolicNames.h</x:v>
      </x:c>
      <x:c r="E68" s="144" t="str">
        <x:v>文件全量</x:v>
      </x:c>
      <x:c r="F68" s="144" t="str">
        <x:v>SHA-256快照绑定</x:v>
      </x:c>
      <x:c r="G68" s="144" t="str">
        <x:v>全工作簿/版本追溯</x:v>
      </x:c>
    </x:row>
    <x:row r="69" ht="52" customHeight="1">
      <x:c r="A69" s="144" t="str">
        <x:v>HASH-08</x:v>
      </x:c>
      <x:c r="B69" s="144" t="str">
        <x:v>证据快照哈希</x:v>
      </x:c>
      <x:c r="C69" s="144" t="str">
        <x:v>文件大小=26373 Byte；SHA-256=5112cf299f05a8f0ee74dc18143c4724d4a0d7a95ed14d3b55d7d82ff2e65fe1</x:v>
      </x:c>
      <x:c r="D69" s="144" t="str">
        <x:v>D:/Project/CR60LightBYD/xxx/coem/BYD_UKE/tools/RTA_CAR/gen/os/Configuration Summary.txt</x:v>
      </x:c>
      <x:c r="E69" s="144" t="str">
        <x:v>文件全量</x:v>
      </x:c>
      <x:c r="F69" s="144" t="str">
        <x:v>SHA-256快照绑定</x:v>
      </x:c>
      <x:c r="G69" s="144" t="str">
        <x:v>全工作簿/版本追溯</x:v>
      </x:c>
    </x:row>
    <x:row r="70" ht="52" customHeight="1">
      <x:c r="A70" s="144" t="str">
        <x:v>HASH-09</x:v>
      </x:c>
      <x:c r="B70" s="144" t="str">
        <x:v>证据快照哈希</x:v>
      </x:c>
      <x:c r="C70" s="144" t="str">
        <x:v>文件大小=9415 Byte；SHA-256=a8283ed74a528d363fd35fa8379cb9b790ad14bd0310393a2a1769f2143ec390</x:v>
      </x:c>
      <x:c r="D70" s="144" t="str">
        <x:v>D:/Project/CR60LightBYD/xxx/rte/OsTask_MMW.c</x:v>
      </x:c>
      <x:c r="E70" s="144" t="str">
        <x:v>文件全量</x:v>
      </x:c>
      <x:c r="F70" s="144" t="str">
        <x:v>SHA-256快照绑定</x:v>
      </x:c>
      <x:c r="G70" s="144" t="str">
        <x:v>全工作簿/版本追溯</x:v>
      </x:c>
    </x:row>
    <x:row r="71" ht="52" customHeight="1">
      <x:c r="A71" s="144" t="str">
        <x:v>HASH-10</x:v>
      </x:c>
      <x:c r="B71" s="144" t="str">
        <x:v>证据快照哈希</x:v>
      </x:c>
      <x:c r="C71" s="144" t="str">
        <x:v>文件大小=128807 Byte；SHA-256=af7a4db0d3b1d3bb9b42719db83b49f95e15fe4a97d6094bfe7c1a201fca27ae</x:v>
      </x:c>
      <x:c r="D71" s="144" t="str">
        <x:v>D:/Project/CR60LightBYD/xxx/mmwave/mmw_main.c</x:v>
      </x:c>
      <x:c r="E71" s="144" t="str">
        <x:v>文件全量</x:v>
      </x:c>
      <x:c r="F71" s="144" t="str">
        <x:v>SHA-256快照绑定</x:v>
      </x:c>
      <x:c r="G71" s="144" t="str">
        <x:v>全工作簿/版本追溯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92e861669f4e05"/>
  </x:tableParts>
</x:worksheet>
</file>